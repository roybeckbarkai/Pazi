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RI\python\pazi\Pazi\simulation_changing_Var_apr11\"/>
    </mc:Choice>
  </mc:AlternateContent>
  <bookViews>
    <workbookView xWindow="0" yWindow="0" windowWidth="15525" windowHeight="6780"/>
  </bookViews>
  <sheets>
    <sheet name="fitting_results" sheetId="1" r:id="rId1"/>
    <sheet name="Sheet1" sheetId="2" r:id="rId2"/>
  </sheets>
  <definedNames>
    <definedName name="fitting_results" localSheetId="0">fitting_results!$A$50:$AA$60</definedName>
    <definedName name="fitting_results_1" localSheetId="0">fitting_results!$A$63:$AA$87</definedName>
    <definedName name="fitting_results_2" localSheetId="0">fitting_results!$A$90:$AA$95</definedName>
    <definedName name="fitting_results_3" localSheetId="0">fitting_results!$A$98:$AA$1233</definedName>
    <definedName name="fitting_results_4" localSheetId="0">fitting_results!$A$1236:$AB$1239</definedName>
  </definedNames>
  <calcPr calcId="162913"/>
</workbook>
</file>

<file path=xl/calcChain.xml><?xml version="1.0" encoding="utf-8"?>
<calcChain xmlns="http://schemas.openxmlformats.org/spreadsheetml/2006/main">
  <c r="AH1238" i="1" l="1"/>
  <c r="AH1239" i="1"/>
  <c r="AH1237" i="1"/>
  <c r="AG1238" i="1"/>
  <c r="AG1239" i="1"/>
  <c r="AG1237" i="1"/>
  <c r="AC1238" i="1"/>
  <c r="AD1238" i="1"/>
  <c r="AE1238" i="1"/>
  <c r="AF1238" i="1"/>
  <c r="AJ1238" i="1"/>
  <c r="AK1238" i="1"/>
  <c r="AC1239" i="1"/>
  <c r="AF1239" i="1" s="1"/>
  <c r="AD1239" i="1"/>
  <c r="AE1239" i="1" s="1"/>
  <c r="AJ1239" i="1"/>
  <c r="AK1239" i="1"/>
  <c r="AJ1237" i="1"/>
  <c r="AD1237" i="1"/>
  <c r="AE1237" i="1" s="1"/>
  <c r="AK1237" i="1"/>
  <c r="AC1237" i="1"/>
  <c r="AF1237" i="1" s="1"/>
  <c r="AI1238" i="1" l="1"/>
  <c r="AI1239" i="1"/>
  <c r="AI1237" i="1"/>
  <c r="AB100" i="1"/>
  <c r="AE100" i="1" s="1"/>
  <c r="AF100" i="1" s="1"/>
  <c r="AC100" i="1"/>
  <c r="AD100" i="1" s="1"/>
  <c r="AG100" i="1"/>
  <c r="AI100" i="1"/>
  <c r="AJ100" i="1"/>
  <c r="AB101" i="1"/>
  <c r="AC101" i="1"/>
  <c r="AD101" i="1"/>
  <c r="AE101" i="1"/>
  <c r="AF101" i="1"/>
  <c r="AG101" i="1"/>
  <c r="AI101" i="1"/>
  <c r="AJ101" i="1"/>
  <c r="AB102" i="1"/>
  <c r="AC102" i="1"/>
  <c r="AD102" i="1" s="1"/>
  <c r="AE102" i="1"/>
  <c r="AF102" i="1" s="1"/>
  <c r="AH102" i="1" s="1"/>
  <c r="AG102" i="1"/>
  <c r="AI102" i="1"/>
  <c r="AJ102" i="1"/>
  <c r="AB103" i="1"/>
  <c r="AE103" i="1" s="1"/>
  <c r="AC103" i="1"/>
  <c r="AD103" i="1" s="1"/>
  <c r="AF103" i="1"/>
  <c r="AG103" i="1"/>
  <c r="AI103" i="1"/>
  <c r="AJ103" i="1"/>
  <c r="AB104" i="1"/>
  <c r="AC104" i="1"/>
  <c r="AD104" i="1" s="1"/>
  <c r="AE104" i="1"/>
  <c r="AF104" i="1" s="1"/>
  <c r="AG104" i="1"/>
  <c r="AI104" i="1"/>
  <c r="AJ104" i="1"/>
  <c r="AB105" i="1"/>
  <c r="AE105" i="1" s="1"/>
  <c r="AF105" i="1" s="1"/>
  <c r="AC105" i="1"/>
  <c r="AD105" i="1"/>
  <c r="AG105" i="1"/>
  <c r="AI105" i="1"/>
  <c r="AJ105" i="1"/>
  <c r="AB106" i="1"/>
  <c r="AC106" i="1"/>
  <c r="AD106" i="1" s="1"/>
  <c r="AE106" i="1"/>
  <c r="AF106" i="1"/>
  <c r="AG106" i="1"/>
  <c r="AI106" i="1"/>
  <c r="AJ106" i="1"/>
  <c r="AB107" i="1"/>
  <c r="AE107" i="1" s="1"/>
  <c r="AF107" i="1" s="1"/>
  <c r="AH107" i="1" s="1"/>
  <c r="AC107" i="1"/>
  <c r="AD107" i="1" s="1"/>
  <c r="AG107" i="1"/>
  <c r="AI107" i="1"/>
  <c r="AJ107" i="1"/>
  <c r="AB108" i="1"/>
  <c r="AE108" i="1" s="1"/>
  <c r="AF108" i="1" s="1"/>
  <c r="AH108" i="1" s="1"/>
  <c r="AC108" i="1"/>
  <c r="AG108" i="1"/>
  <c r="AI108" i="1"/>
  <c r="AJ108" i="1"/>
  <c r="AB109" i="1"/>
  <c r="AC109" i="1"/>
  <c r="AD109" i="1" s="1"/>
  <c r="AE109" i="1"/>
  <c r="AF109" i="1"/>
  <c r="AG109" i="1"/>
  <c r="AI109" i="1"/>
  <c r="AJ109" i="1"/>
  <c r="AB110" i="1"/>
  <c r="AE110" i="1" s="1"/>
  <c r="AF110" i="1" s="1"/>
  <c r="AC110" i="1"/>
  <c r="AD110" i="1" s="1"/>
  <c r="AG110" i="1"/>
  <c r="AI110" i="1"/>
  <c r="AJ110" i="1"/>
  <c r="AB111" i="1"/>
  <c r="AC111" i="1"/>
  <c r="AD111" i="1" s="1"/>
  <c r="AE111" i="1"/>
  <c r="AF111" i="1"/>
  <c r="AG111" i="1"/>
  <c r="AI111" i="1"/>
  <c r="AJ111" i="1"/>
  <c r="AB112" i="1"/>
  <c r="AE112" i="1" s="1"/>
  <c r="AF112" i="1" s="1"/>
  <c r="AH112" i="1" s="1"/>
  <c r="AC112" i="1"/>
  <c r="AD112" i="1" s="1"/>
  <c r="AG112" i="1"/>
  <c r="AI112" i="1"/>
  <c r="AJ112" i="1"/>
  <c r="AB113" i="1"/>
  <c r="AE113" i="1" s="1"/>
  <c r="AF113" i="1" s="1"/>
  <c r="AH113" i="1" s="1"/>
  <c r="AC113" i="1"/>
  <c r="AD113" i="1" s="1"/>
  <c r="AG113" i="1"/>
  <c r="AI113" i="1"/>
  <c r="AJ113" i="1"/>
  <c r="AB114" i="1"/>
  <c r="AE114" i="1" s="1"/>
  <c r="AF114" i="1" s="1"/>
  <c r="AH114" i="1" s="1"/>
  <c r="AC114" i="1"/>
  <c r="AD114" i="1" s="1"/>
  <c r="AG114" i="1"/>
  <c r="AI114" i="1"/>
  <c r="AJ114" i="1"/>
  <c r="AB115" i="1"/>
  <c r="AC115" i="1"/>
  <c r="AG115" i="1"/>
  <c r="AI115" i="1"/>
  <c r="AJ115" i="1"/>
  <c r="AB116" i="1"/>
  <c r="AC116" i="1"/>
  <c r="AD116" i="1" s="1"/>
  <c r="AE116" i="1"/>
  <c r="AF116" i="1"/>
  <c r="AG116" i="1"/>
  <c r="AI116" i="1"/>
  <c r="AJ116" i="1"/>
  <c r="AB117" i="1"/>
  <c r="AD117" i="1" s="1"/>
  <c r="AC117" i="1"/>
  <c r="AG117" i="1"/>
  <c r="AI117" i="1"/>
  <c r="AJ117" i="1"/>
  <c r="AB118" i="1"/>
  <c r="AE118" i="1" s="1"/>
  <c r="AF118" i="1" s="1"/>
  <c r="AH118" i="1" s="1"/>
  <c r="AC118" i="1"/>
  <c r="AG118" i="1"/>
  <c r="AI118" i="1"/>
  <c r="AJ118" i="1"/>
  <c r="AB119" i="1"/>
  <c r="AE119" i="1" s="1"/>
  <c r="AF119" i="1" s="1"/>
  <c r="AH119" i="1" s="1"/>
  <c r="AC119" i="1"/>
  <c r="AD119" i="1" s="1"/>
  <c r="AG119" i="1"/>
  <c r="AI119" i="1"/>
  <c r="AJ119" i="1"/>
  <c r="AB120" i="1"/>
  <c r="AE120" i="1" s="1"/>
  <c r="AF120" i="1" s="1"/>
  <c r="AC120" i="1"/>
  <c r="AG120" i="1"/>
  <c r="AI120" i="1"/>
  <c r="AJ120" i="1"/>
  <c r="AB121" i="1"/>
  <c r="AE121" i="1" s="1"/>
  <c r="AF121" i="1" s="1"/>
  <c r="AH121" i="1" s="1"/>
  <c r="AC121" i="1"/>
  <c r="AG121" i="1"/>
  <c r="AI121" i="1"/>
  <c r="AJ121" i="1"/>
  <c r="AB122" i="1"/>
  <c r="AC122" i="1"/>
  <c r="AD122" i="1" s="1"/>
  <c r="AE122" i="1"/>
  <c r="AF122" i="1" s="1"/>
  <c r="AH122" i="1" s="1"/>
  <c r="AG122" i="1"/>
  <c r="AI122" i="1"/>
  <c r="AJ122" i="1"/>
  <c r="AB123" i="1"/>
  <c r="AC123" i="1"/>
  <c r="AG123" i="1"/>
  <c r="AI123" i="1"/>
  <c r="AJ123" i="1"/>
  <c r="AB124" i="1"/>
  <c r="AC124" i="1"/>
  <c r="AG124" i="1"/>
  <c r="AI124" i="1"/>
  <c r="AJ124" i="1"/>
  <c r="AB125" i="1"/>
  <c r="AE125" i="1" s="1"/>
  <c r="AF125" i="1" s="1"/>
  <c r="AH125" i="1" s="1"/>
  <c r="AC125" i="1"/>
  <c r="AD125" i="1" s="1"/>
  <c r="AG125" i="1"/>
  <c r="AI125" i="1"/>
  <c r="AJ125" i="1"/>
  <c r="AB126" i="1"/>
  <c r="AE126" i="1" s="1"/>
  <c r="AF126" i="1" s="1"/>
  <c r="AC126" i="1"/>
  <c r="AD126" i="1"/>
  <c r="AG126" i="1"/>
  <c r="AI126" i="1"/>
  <c r="AJ126" i="1"/>
  <c r="AB127" i="1"/>
  <c r="AE127" i="1" s="1"/>
  <c r="AC127" i="1"/>
  <c r="AD127" i="1" s="1"/>
  <c r="AF127" i="1"/>
  <c r="AG127" i="1"/>
  <c r="AI127" i="1"/>
  <c r="AJ127" i="1"/>
  <c r="AB128" i="1"/>
  <c r="AC128" i="1"/>
  <c r="AG128" i="1"/>
  <c r="AI128" i="1"/>
  <c r="AJ128" i="1"/>
  <c r="AB129" i="1"/>
  <c r="AC129" i="1"/>
  <c r="AD129" i="1"/>
  <c r="AE129" i="1"/>
  <c r="AF129" i="1" s="1"/>
  <c r="AH129" i="1" s="1"/>
  <c r="AG129" i="1"/>
  <c r="AI129" i="1"/>
  <c r="AJ129" i="1"/>
  <c r="AB130" i="1"/>
  <c r="AE130" i="1" s="1"/>
  <c r="AF130" i="1" s="1"/>
  <c r="AC130" i="1"/>
  <c r="AD130" i="1" s="1"/>
  <c r="AG130" i="1"/>
  <c r="AI130" i="1"/>
  <c r="AJ130" i="1"/>
  <c r="AB131" i="1"/>
  <c r="AC131" i="1"/>
  <c r="AD131" i="1"/>
  <c r="AE131" i="1"/>
  <c r="AF131" i="1" s="1"/>
  <c r="AH131" i="1" s="1"/>
  <c r="AG131" i="1"/>
  <c r="AI131" i="1"/>
  <c r="AJ131" i="1"/>
  <c r="AB132" i="1"/>
  <c r="AE132" i="1" s="1"/>
  <c r="AF132" i="1" s="1"/>
  <c r="AC132" i="1"/>
  <c r="AG132" i="1"/>
  <c r="AH132" i="1" s="1"/>
  <c r="AI132" i="1"/>
  <c r="AJ132" i="1"/>
  <c r="AB133" i="1"/>
  <c r="AE133" i="1" s="1"/>
  <c r="AF133" i="1" s="1"/>
  <c r="AH133" i="1" s="1"/>
  <c r="AC133" i="1"/>
  <c r="AD133" i="1" s="1"/>
  <c r="AG133" i="1"/>
  <c r="AI133" i="1"/>
  <c r="AJ133" i="1"/>
  <c r="AB134" i="1"/>
  <c r="AC134" i="1"/>
  <c r="AD134" i="1" s="1"/>
  <c r="AE134" i="1"/>
  <c r="AF134" i="1" s="1"/>
  <c r="AH134" i="1" s="1"/>
  <c r="AG134" i="1"/>
  <c r="AI134" i="1"/>
  <c r="AJ134" i="1"/>
  <c r="AB135" i="1"/>
  <c r="AC135" i="1"/>
  <c r="AD135" i="1" s="1"/>
  <c r="AE135" i="1"/>
  <c r="AF135" i="1" s="1"/>
  <c r="AG135" i="1"/>
  <c r="AI135" i="1"/>
  <c r="AJ135" i="1"/>
  <c r="AB136" i="1"/>
  <c r="AE136" i="1" s="1"/>
  <c r="AF136" i="1" s="1"/>
  <c r="AH136" i="1" s="1"/>
  <c r="AC136" i="1"/>
  <c r="AG136" i="1"/>
  <c r="AI136" i="1"/>
  <c r="AJ136" i="1"/>
  <c r="AB137" i="1"/>
  <c r="AE137" i="1" s="1"/>
  <c r="AF137" i="1" s="1"/>
  <c r="AC137" i="1"/>
  <c r="AD137" i="1"/>
  <c r="AG137" i="1"/>
  <c r="AI137" i="1"/>
  <c r="AJ137" i="1"/>
  <c r="AB138" i="1"/>
  <c r="AC138" i="1"/>
  <c r="AD138" i="1" s="1"/>
  <c r="AE138" i="1"/>
  <c r="AF138" i="1"/>
  <c r="AG138" i="1"/>
  <c r="AI138" i="1"/>
  <c r="AJ138" i="1"/>
  <c r="AB139" i="1"/>
  <c r="AC139" i="1"/>
  <c r="AG139" i="1"/>
  <c r="AI139" i="1"/>
  <c r="AJ139" i="1"/>
  <c r="AB140" i="1"/>
  <c r="AE140" i="1" s="1"/>
  <c r="AF140" i="1" s="1"/>
  <c r="AH140" i="1" s="1"/>
  <c r="AC140" i="1"/>
  <c r="AG140" i="1"/>
  <c r="AI140" i="1"/>
  <c r="AJ140" i="1"/>
  <c r="AB141" i="1"/>
  <c r="AE141" i="1" s="1"/>
  <c r="AF141" i="1" s="1"/>
  <c r="AC141" i="1"/>
  <c r="AD141" i="1"/>
  <c r="AG141" i="1"/>
  <c r="AI141" i="1"/>
  <c r="AJ141" i="1"/>
  <c r="AB142" i="1"/>
  <c r="AE142" i="1" s="1"/>
  <c r="AF142" i="1" s="1"/>
  <c r="AC142" i="1"/>
  <c r="AD142" i="1" s="1"/>
  <c r="AG142" i="1"/>
  <c r="AI142" i="1"/>
  <c r="AJ142" i="1"/>
  <c r="AB143" i="1"/>
  <c r="AC143" i="1"/>
  <c r="AD143" i="1"/>
  <c r="AE143" i="1"/>
  <c r="AF143" i="1"/>
  <c r="AG143" i="1"/>
  <c r="AI143" i="1"/>
  <c r="AJ143" i="1"/>
  <c r="AB144" i="1"/>
  <c r="AE144" i="1" s="1"/>
  <c r="AF144" i="1" s="1"/>
  <c r="AH144" i="1" s="1"/>
  <c r="AC144" i="1"/>
  <c r="AG144" i="1"/>
  <c r="AI144" i="1"/>
  <c r="AJ144" i="1"/>
  <c r="AB145" i="1"/>
  <c r="AC145" i="1"/>
  <c r="AG145" i="1"/>
  <c r="AI145" i="1"/>
  <c r="AJ145" i="1"/>
  <c r="AB146" i="1"/>
  <c r="AE146" i="1" s="1"/>
  <c r="AF146" i="1" s="1"/>
  <c r="AC146" i="1"/>
  <c r="AG146" i="1"/>
  <c r="AI146" i="1"/>
  <c r="AJ146" i="1"/>
  <c r="AB147" i="1"/>
  <c r="AC147" i="1"/>
  <c r="AD147" i="1" s="1"/>
  <c r="AE147" i="1"/>
  <c r="AF147" i="1" s="1"/>
  <c r="AH147" i="1" s="1"/>
  <c r="AG147" i="1"/>
  <c r="AI147" i="1"/>
  <c r="AJ147" i="1"/>
  <c r="AB148" i="1"/>
  <c r="AE148" i="1" s="1"/>
  <c r="AF148" i="1" s="1"/>
  <c r="AH148" i="1" s="1"/>
  <c r="AC148" i="1"/>
  <c r="AG148" i="1"/>
  <c r="AI148" i="1"/>
  <c r="AJ148" i="1"/>
  <c r="AB149" i="1"/>
  <c r="AE149" i="1" s="1"/>
  <c r="AF149" i="1" s="1"/>
  <c r="AH149" i="1" s="1"/>
  <c r="AC149" i="1"/>
  <c r="AD149" i="1" s="1"/>
  <c r="AG149" i="1"/>
  <c r="AI149" i="1"/>
  <c r="AJ149" i="1"/>
  <c r="AB150" i="1"/>
  <c r="AC150" i="1"/>
  <c r="AG150" i="1"/>
  <c r="AI150" i="1"/>
  <c r="AJ150" i="1"/>
  <c r="AB151" i="1"/>
  <c r="AE151" i="1" s="1"/>
  <c r="AF151" i="1" s="1"/>
  <c r="AC151" i="1"/>
  <c r="AD151" i="1"/>
  <c r="AG151" i="1"/>
  <c r="AI151" i="1"/>
  <c r="AJ151" i="1"/>
  <c r="AB152" i="1"/>
  <c r="AC152" i="1"/>
  <c r="AD152" i="1" s="1"/>
  <c r="AE152" i="1"/>
  <c r="AF152" i="1" s="1"/>
  <c r="AG152" i="1"/>
  <c r="AI152" i="1"/>
  <c r="AJ152" i="1"/>
  <c r="AB153" i="1"/>
  <c r="AE153" i="1" s="1"/>
  <c r="AF153" i="1" s="1"/>
  <c r="AH153" i="1" s="1"/>
  <c r="AC153" i="1"/>
  <c r="AD153" i="1" s="1"/>
  <c r="AG153" i="1"/>
  <c r="AI153" i="1"/>
  <c r="AJ153" i="1"/>
  <c r="AB154" i="1"/>
  <c r="AE154" i="1" s="1"/>
  <c r="AF154" i="1" s="1"/>
  <c r="AC154" i="1"/>
  <c r="AG154" i="1"/>
  <c r="AI154" i="1"/>
  <c r="AJ154" i="1"/>
  <c r="AB155" i="1"/>
  <c r="AE155" i="1" s="1"/>
  <c r="AF155" i="1" s="1"/>
  <c r="AC155" i="1"/>
  <c r="AD155" i="1" s="1"/>
  <c r="AG155" i="1"/>
  <c r="AI155" i="1"/>
  <c r="AJ155" i="1"/>
  <c r="AB156" i="1"/>
  <c r="AE156" i="1" s="1"/>
  <c r="AF156" i="1" s="1"/>
  <c r="AH156" i="1" s="1"/>
  <c r="AC156" i="1"/>
  <c r="AG156" i="1"/>
  <c r="AI156" i="1"/>
  <c r="AJ156" i="1"/>
  <c r="AB157" i="1"/>
  <c r="AC157" i="1"/>
  <c r="AD157" i="1"/>
  <c r="AE157" i="1"/>
  <c r="AF157" i="1" s="1"/>
  <c r="AH157" i="1" s="1"/>
  <c r="AG157" i="1"/>
  <c r="AI157" i="1"/>
  <c r="AJ157" i="1"/>
  <c r="AB158" i="1"/>
  <c r="AE158" i="1" s="1"/>
  <c r="AF158" i="1" s="1"/>
  <c r="AH158" i="1" s="1"/>
  <c r="AC158" i="1"/>
  <c r="AG158" i="1"/>
  <c r="AI158" i="1"/>
  <c r="AJ158" i="1"/>
  <c r="AB159" i="1"/>
  <c r="AE159" i="1" s="1"/>
  <c r="AC159" i="1"/>
  <c r="AF159" i="1"/>
  <c r="AG159" i="1"/>
  <c r="AI159" i="1"/>
  <c r="AJ159" i="1"/>
  <c r="AB160" i="1"/>
  <c r="AC160" i="1"/>
  <c r="AG160" i="1"/>
  <c r="AI160" i="1"/>
  <c r="AJ160" i="1"/>
  <c r="AB161" i="1"/>
  <c r="AC161" i="1"/>
  <c r="AD161" i="1"/>
  <c r="AE161" i="1"/>
  <c r="AF161" i="1" s="1"/>
  <c r="AG161" i="1"/>
  <c r="AI161" i="1"/>
  <c r="AJ161" i="1"/>
  <c r="AB162" i="1"/>
  <c r="AE162" i="1" s="1"/>
  <c r="AF162" i="1" s="1"/>
  <c r="AH162" i="1" s="1"/>
  <c r="AC162" i="1"/>
  <c r="AG162" i="1"/>
  <c r="AI162" i="1"/>
  <c r="AJ162" i="1"/>
  <c r="AB163" i="1"/>
  <c r="AE163" i="1" s="1"/>
  <c r="AF163" i="1" s="1"/>
  <c r="AC163" i="1"/>
  <c r="AD163" i="1"/>
  <c r="AG163" i="1"/>
  <c r="AI163" i="1"/>
  <c r="AJ163" i="1"/>
  <c r="AB164" i="1"/>
  <c r="AC164" i="1"/>
  <c r="AE164" i="1"/>
  <c r="AF164" i="1"/>
  <c r="AH164" i="1" s="1"/>
  <c r="AG164" i="1"/>
  <c r="AI164" i="1"/>
  <c r="AJ164" i="1"/>
  <c r="AB165" i="1"/>
  <c r="AE165" i="1" s="1"/>
  <c r="AF165" i="1" s="1"/>
  <c r="AH165" i="1" s="1"/>
  <c r="AC165" i="1"/>
  <c r="AD165" i="1" s="1"/>
  <c r="AG165" i="1"/>
  <c r="AI165" i="1"/>
  <c r="AJ165" i="1"/>
  <c r="AB166" i="1"/>
  <c r="AE166" i="1" s="1"/>
  <c r="AF166" i="1" s="1"/>
  <c r="AH166" i="1" s="1"/>
  <c r="AC166" i="1"/>
  <c r="AG166" i="1"/>
  <c r="AI166" i="1"/>
  <c r="AJ166" i="1"/>
  <c r="AB167" i="1"/>
  <c r="AC167" i="1"/>
  <c r="AD167" i="1"/>
  <c r="AE167" i="1"/>
  <c r="AF167" i="1"/>
  <c r="AH167" i="1" s="1"/>
  <c r="AG167" i="1"/>
  <c r="AI167" i="1"/>
  <c r="AJ167" i="1"/>
  <c r="AB168" i="1"/>
  <c r="AC168" i="1"/>
  <c r="AD168" i="1" s="1"/>
  <c r="AE168" i="1"/>
  <c r="AF168" i="1" s="1"/>
  <c r="AH168" i="1" s="1"/>
  <c r="AG168" i="1"/>
  <c r="AI168" i="1"/>
  <c r="AJ168" i="1"/>
  <c r="AB169" i="1"/>
  <c r="AE169" i="1" s="1"/>
  <c r="AF169" i="1" s="1"/>
  <c r="AH169" i="1" s="1"/>
  <c r="AC169" i="1"/>
  <c r="AG169" i="1"/>
  <c r="AI169" i="1"/>
  <c r="AJ169" i="1"/>
  <c r="AB170" i="1"/>
  <c r="AE170" i="1" s="1"/>
  <c r="AF170" i="1" s="1"/>
  <c r="AH170" i="1" s="1"/>
  <c r="AC170" i="1"/>
  <c r="AD170" i="1" s="1"/>
  <c r="AG170" i="1"/>
  <c r="AI170" i="1"/>
  <c r="AJ170" i="1"/>
  <c r="AB171" i="1"/>
  <c r="AE171" i="1" s="1"/>
  <c r="AF171" i="1" s="1"/>
  <c r="AC171" i="1"/>
  <c r="AG171" i="1"/>
  <c r="AI171" i="1"/>
  <c r="AJ171" i="1"/>
  <c r="AB172" i="1"/>
  <c r="AE172" i="1" s="1"/>
  <c r="AF172" i="1" s="1"/>
  <c r="AC172" i="1"/>
  <c r="AD172" i="1" s="1"/>
  <c r="AG172" i="1"/>
  <c r="AI172" i="1"/>
  <c r="AJ172" i="1"/>
  <c r="AB173" i="1"/>
  <c r="AD173" i="1" s="1"/>
  <c r="AC173" i="1"/>
  <c r="AE173" i="1"/>
  <c r="AF173" i="1" s="1"/>
  <c r="AH173" i="1" s="1"/>
  <c r="AG173" i="1"/>
  <c r="AI173" i="1"/>
  <c r="AJ173" i="1"/>
  <c r="AB174" i="1"/>
  <c r="AE174" i="1" s="1"/>
  <c r="AF174" i="1" s="1"/>
  <c r="AH174" i="1" s="1"/>
  <c r="AC174" i="1"/>
  <c r="AD174" i="1" s="1"/>
  <c r="AG174" i="1"/>
  <c r="AI174" i="1"/>
  <c r="AJ174" i="1"/>
  <c r="AB175" i="1"/>
  <c r="AE175" i="1" s="1"/>
  <c r="AF175" i="1" s="1"/>
  <c r="AC175" i="1"/>
  <c r="AD175" i="1"/>
  <c r="AG175" i="1"/>
  <c r="AH175" i="1"/>
  <c r="AI175" i="1"/>
  <c r="AJ175" i="1"/>
  <c r="AB176" i="1"/>
  <c r="AE176" i="1" s="1"/>
  <c r="AF176" i="1" s="1"/>
  <c r="AC176" i="1"/>
  <c r="AG176" i="1"/>
  <c r="AI176" i="1"/>
  <c r="AJ176" i="1"/>
  <c r="AB177" i="1"/>
  <c r="AE177" i="1" s="1"/>
  <c r="AF177" i="1" s="1"/>
  <c r="AH177" i="1" s="1"/>
  <c r="AC177" i="1"/>
  <c r="AD177" i="1" s="1"/>
  <c r="AG177" i="1"/>
  <c r="AI177" i="1"/>
  <c r="AJ177" i="1"/>
  <c r="AB178" i="1"/>
  <c r="AE178" i="1" s="1"/>
  <c r="AF178" i="1" s="1"/>
  <c r="AH178" i="1" s="1"/>
  <c r="AC178" i="1"/>
  <c r="AG178" i="1"/>
  <c r="AI178" i="1"/>
  <c r="AJ178" i="1"/>
  <c r="AB179" i="1"/>
  <c r="AE179" i="1" s="1"/>
  <c r="AF179" i="1" s="1"/>
  <c r="AH179" i="1" s="1"/>
  <c r="AC179" i="1"/>
  <c r="AG179" i="1"/>
  <c r="AI179" i="1"/>
  <c r="AJ179" i="1"/>
  <c r="AB180" i="1"/>
  <c r="AC180" i="1"/>
  <c r="AD180" i="1" s="1"/>
  <c r="AE180" i="1"/>
  <c r="AF180" i="1" s="1"/>
  <c r="AH180" i="1" s="1"/>
  <c r="AG180" i="1"/>
  <c r="AI180" i="1"/>
  <c r="AJ180" i="1"/>
  <c r="AB181" i="1"/>
  <c r="AE181" i="1" s="1"/>
  <c r="AF181" i="1" s="1"/>
  <c r="AH181" i="1" s="1"/>
  <c r="AC181" i="1"/>
  <c r="AG181" i="1"/>
  <c r="AI181" i="1"/>
  <c r="AJ181" i="1"/>
  <c r="AB182" i="1"/>
  <c r="AE182" i="1" s="1"/>
  <c r="AF182" i="1" s="1"/>
  <c r="AH182" i="1" s="1"/>
  <c r="AC182" i="1"/>
  <c r="AG182" i="1"/>
  <c r="AI182" i="1"/>
  <c r="AJ182" i="1"/>
  <c r="AB183" i="1"/>
  <c r="AE183" i="1" s="1"/>
  <c r="AF183" i="1" s="1"/>
  <c r="AH183" i="1" s="1"/>
  <c r="AC183" i="1"/>
  <c r="AD183" i="1" s="1"/>
  <c r="AG183" i="1"/>
  <c r="AI183" i="1"/>
  <c r="AJ183" i="1"/>
  <c r="AB184" i="1"/>
  <c r="AE184" i="1" s="1"/>
  <c r="AF184" i="1" s="1"/>
  <c r="AC184" i="1"/>
  <c r="AG184" i="1"/>
  <c r="AI184" i="1"/>
  <c r="AJ184" i="1"/>
  <c r="AB185" i="1"/>
  <c r="AE185" i="1" s="1"/>
  <c r="AF185" i="1" s="1"/>
  <c r="AH185" i="1" s="1"/>
  <c r="AC185" i="1"/>
  <c r="AG185" i="1"/>
  <c r="AI185" i="1"/>
  <c r="AJ185" i="1"/>
  <c r="AB186" i="1"/>
  <c r="AC186" i="1"/>
  <c r="AD186" i="1" s="1"/>
  <c r="AE186" i="1"/>
  <c r="AF186" i="1" s="1"/>
  <c r="AG186" i="1"/>
  <c r="AI186" i="1"/>
  <c r="AJ186" i="1"/>
  <c r="AB187" i="1"/>
  <c r="AE187" i="1" s="1"/>
  <c r="AF187" i="1" s="1"/>
  <c r="AC187" i="1"/>
  <c r="AG187" i="1"/>
  <c r="AI187" i="1"/>
  <c r="AJ187" i="1"/>
  <c r="AB188" i="1"/>
  <c r="AE188" i="1" s="1"/>
  <c r="AF188" i="1" s="1"/>
  <c r="AH188" i="1" s="1"/>
  <c r="AC188" i="1"/>
  <c r="AG188" i="1"/>
  <c r="AI188" i="1"/>
  <c r="AJ188" i="1"/>
  <c r="AB189" i="1"/>
  <c r="AC189" i="1"/>
  <c r="AD189" i="1"/>
  <c r="AE189" i="1"/>
  <c r="AF189" i="1" s="1"/>
  <c r="AH189" i="1" s="1"/>
  <c r="AG189" i="1"/>
  <c r="AI189" i="1"/>
  <c r="AJ189" i="1"/>
  <c r="AB190" i="1"/>
  <c r="AE190" i="1" s="1"/>
  <c r="AF190" i="1" s="1"/>
  <c r="AH190" i="1" s="1"/>
  <c r="AC190" i="1"/>
  <c r="AD190" i="1" s="1"/>
  <c r="AG190" i="1"/>
  <c r="AI190" i="1"/>
  <c r="AJ190" i="1"/>
  <c r="AB191" i="1"/>
  <c r="AE191" i="1" s="1"/>
  <c r="AF191" i="1" s="1"/>
  <c r="AC191" i="1"/>
  <c r="AD191" i="1"/>
  <c r="AG191" i="1"/>
  <c r="AI191" i="1"/>
  <c r="AJ191" i="1"/>
  <c r="AB192" i="1"/>
  <c r="AC192" i="1"/>
  <c r="AD192" i="1" s="1"/>
  <c r="AE192" i="1"/>
  <c r="AF192" i="1" s="1"/>
  <c r="AG192" i="1"/>
  <c r="AI192" i="1"/>
  <c r="AJ192" i="1"/>
  <c r="AB193" i="1"/>
  <c r="AE193" i="1" s="1"/>
  <c r="AF193" i="1" s="1"/>
  <c r="AH193" i="1" s="1"/>
  <c r="AC193" i="1"/>
  <c r="AG193" i="1"/>
  <c r="AI193" i="1"/>
  <c r="AJ193" i="1"/>
  <c r="AB194" i="1"/>
  <c r="AE194" i="1" s="1"/>
  <c r="AF194" i="1" s="1"/>
  <c r="AC194" i="1"/>
  <c r="AD194" i="1" s="1"/>
  <c r="AG194" i="1"/>
  <c r="AI194" i="1"/>
  <c r="AJ194" i="1"/>
  <c r="AB195" i="1"/>
  <c r="AE195" i="1" s="1"/>
  <c r="AF195" i="1" s="1"/>
  <c r="AC195" i="1"/>
  <c r="AG195" i="1"/>
  <c r="AI195" i="1"/>
  <c r="AJ195" i="1"/>
  <c r="AB196" i="1"/>
  <c r="AC196" i="1"/>
  <c r="AD196" i="1" s="1"/>
  <c r="AE196" i="1"/>
  <c r="AF196" i="1" s="1"/>
  <c r="AH196" i="1" s="1"/>
  <c r="AG196" i="1"/>
  <c r="AI196" i="1"/>
  <c r="AJ196" i="1"/>
  <c r="AB197" i="1"/>
  <c r="AC197" i="1"/>
  <c r="AD197" i="1"/>
  <c r="AE197" i="1"/>
  <c r="AF197" i="1" s="1"/>
  <c r="AG197" i="1"/>
  <c r="AI197" i="1"/>
  <c r="AJ197" i="1"/>
  <c r="AB198" i="1"/>
  <c r="AE198" i="1" s="1"/>
  <c r="AF198" i="1" s="1"/>
  <c r="AH198" i="1" s="1"/>
  <c r="AC198" i="1"/>
  <c r="AG198" i="1"/>
  <c r="AI198" i="1"/>
  <c r="AJ198" i="1"/>
  <c r="AB199" i="1"/>
  <c r="AC199" i="1"/>
  <c r="AD199" i="1"/>
  <c r="AE199" i="1"/>
  <c r="AF199" i="1" s="1"/>
  <c r="AH199" i="1" s="1"/>
  <c r="AG199" i="1"/>
  <c r="AI199" i="1"/>
  <c r="AJ199" i="1"/>
  <c r="AB200" i="1"/>
  <c r="AE200" i="1" s="1"/>
  <c r="AF200" i="1" s="1"/>
  <c r="AH200" i="1" s="1"/>
  <c r="AC200" i="1"/>
  <c r="AG200" i="1"/>
  <c r="AI200" i="1"/>
  <c r="AJ200" i="1"/>
  <c r="AB201" i="1"/>
  <c r="AE201" i="1" s="1"/>
  <c r="AF201" i="1" s="1"/>
  <c r="AH201" i="1" s="1"/>
  <c r="AC201" i="1"/>
  <c r="AD201" i="1" s="1"/>
  <c r="AG201" i="1"/>
  <c r="AI201" i="1"/>
  <c r="AJ201" i="1"/>
  <c r="AB202" i="1"/>
  <c r="AE202" i="1" s="1"/>
  <c r="AF202" i="1" s="1"/>
  <c r="AH202" i="1" s="1"/>
  <c r="AC202" i="1"/>
  <c r="AG202" i="1"/>
  <c r="AI202" i="1"/>
  <c r="AJ202" i="1"/>
  <c r="AB203" i="1"/>
  <c r="AE203" i="1" s="1"/>
  <c r="AF203" i="1" s="1"/>
  <c r="AC203" i="1"/>
  <c r="AG203" i="1"/>
  <c r="AI203" i="1"/>
  <c r="AJ203" i="1"/>
  <c r="AB204" i="1"/>
  <c r="AE204" i="1" s="1"/>
  <c r="AF204" i="1" s="1"/>
  <c r="AH204" i="1" s="1"/>
  <c r="AC204" i="1"/>
  <c r="AD204" i="1" s="1"/>
  <c r="AG204" i="1"/>
  <c r="AI204" i="1"/>
  <c r="AJ204" i="1"/>
  <c r="AB205" i="1"/>
  <c r="AC205" i="1"/>
  <c r="AD205" i="1"/>
  <c r="AE205" i="1"/>
  <c r="AF205" i="1" s="1"/>
  <c r="AH205" i="1" s="1"/>
  <c r="AG205" i="1"/>
  <c r="AI205" i="1"/>
  <c r="AJ205" i="1"/>
  <c r="AB206" i="1"/>
  <c r="AE206" i="1" s="1"/>
  <c r="AF206" i="1" s="1"/>
  <c r="AH206" i="1" s="1"/>
  <c r="AC206" i="1"/>
  <c r="AG206" i="1"/>
  <c r="AI206" i="1"/>
  <c r="AJ206" i="1"/>
  <c r="AB207" i="1"/>
  <c r="AE207" i="1" s="1"/>
  <c r="AF207" i="1" s="1"/>
  <c r="AC207" i="1"/>
  <c r="AD207" i="1" s="1"/>
  <c r="AG207" i="1"/>
  <c r="AH207" i="1"/>
  <c r="AI207" i="1"/>
  <c r="AJ207" i="1"/>
  <c r="AB208" i="1"/>
  <c r="AE208" i="1" s="1"/>
  <c r="AF208" i="1" s="1"/>
  <c r="AC208" i="1"/>
  <c r="AD208" i="1" s="1"/>
  <c r="AG208" i="1"/>
  <c r="AI208" i="1"/>
  <c r="AJ208" i="1"/>
  <c r="AB209" i="1"/>
  <c r="AE209" i="1" s="1"/>
  <c r="AF209" i="1" s="1"/>
  <c r="AH209" i="1" s="1"/>
  <c r="AC209" i="1"/>
  <c r="AG209" i="1"/>
  <c r="AI209" i="1"/>
  <c r="AJ209" i="1"/>
  <c r="AB210" i="1"/>
  <c r="AE210" i="1" s="1"/>
  <c r="AF210" i="1" s="1"/>
  <c r="AC210" i="1"/>
  <c r="AG210" i="1"/>
  <c r="AI210" i="1"/>
  <c r="AJ210" i="1"/>
  <c r="AB211" i="1"/>
  <c r="AE211" i="1" s="1"/>
  <c r="AF211" i="1" s="1"/>
  <c r="AH211" i="1" s="1"/>
  <c r="AC211" i="1"/>
  <c r="AD211" i="1" s="1"/>
  <c r="AG211" i="1"/>
  <c r="AI211" i="1"/>
  <c r="AJ211" i="1"/>
  <c r="AB212" i="1"/>
  <c r="AC212" i="1"/>
  <c r="AD212" i="1" s="1"/>
  <c r="AE212" i="1"/>
  <c r="AF212" i="1" s="1"/>
  <c r="AH212" i="1" s="1"/>
  <c r="AG212" i="1"/>
  <c r="AI212" i="1"/>
  <c r="AJ212" i="1"/>
  <c r="AB213" i="1"/>
  <c r="AC213" i="1"/>
  <c r="AD213" i="1" s="1"/>
  <c r="AE213" i="1"/>
  <c r="AF213" i="1"/>
  <c r="AG213" i="1"/>
  <c r="AI213" i="1"/>
  <c r="AJ213" i="1"/>
  <c r="AB214" i="1"/>
  <c r="AE214" i="1" s="1"/>
  <c r="AF214" i="1" s="1"/>
  <c r="AC214" i="1"/>
  <c r="AG214" i="1"/>
  <c r="AI214" i="1"/>
  <c r="AJ214" i="1"/>
  <c r="AB215" i="1"/>
  <c r="AE215" i="1" s="1"/>
  <c r="AF215" i="1" s="1"/>
  <c r="AC215" i="1"/>
  <c r="AG215" i="1"/>
  <c r="AI215" i="1"/>
  <c r="AJ215" i="1"/>
  <c r="AB216" i="1"/>
  <c r="AE216" i="1" s="1"/>
  <c r="AF216" i="1" s="1"/>
  <c r="AH216" i="1" s="1"/>
  <c r="AC216" i="1"/>
  <c r="AG216" i="1"/>
  <c r="AI216" i="1"/>
  <c r="AJ216" i="1"/>
  <c r="AB217" i="1"/>
  <c r="AE217" i="1" s="1"/>
  <c r="AF217" i="1" s="1"/>
  <c r="AC217" i="1"/>
  <c r="AD217" i="1" s="1"/>
  <c r="AG217" i="1"/>
  <c r="AI217" i="1"/>
  <c r="AJ217" i="1"/>
  <c r="AB218" i="1"/>
  <c r="AC218" i="1"/>
  <c r="AD218" i="1"/>
  <c r="AE218" i="1"/>
  <c r="AF218" i="1"/>
  <c r="AH218" i="1" s="1"/>
  <c r="AG218" i="1"/>
  <c r="AI218" i="1"/>
  <c r="AJ218" i="1"/>
  <c r="AB219" i="1"/>
  <c r="AE219" i="1" s="1"/>
  <c r="AF219" i="1" s="1"/>
  <c r="AH219" i="1" s="1"/>
  <c r="AC219" i="1"/>
  <c r="AD219" i="1" s="1"/>
  <c r="AG219" i="1"/>
  <c r="AI219" i="1"/>
  <c r="AJ219" i="1"/>
  <c r="AB220" i="1"/>
  <c r="AE220" i="1" s="1"/>
  <c r="AC220" i="1"/>
  <c r="AD220" i="1" s="1"/>
  <c r="AF220" i="1"/>
  <c r="AG220" i="1"/>
  <c r="AH220" i="1"/>
  <c r="AI220" i="1"/>
  <c r="AJ220" i="1"/>
  <c r="AB221" i="1"/>
  <c r="AC221" i="1"/>
  <c r="AG221" i="1"/>
  <c r="AI221" i="1"/>
  <c r="AJ221" i="1"/>
  <c r="AB222" i="1"/>
  <c r="AC222" i="1"/>
  <c r="AD222" i="1"/>
  <c r="AE222" i="1"/>
  <c r="AF222" i="1"/>
  <c r="AG222" i="1"/>
  <c r="AI222" i="1"/>
  <c r="AJ222" i="1"/>
  <c r="AB223" i="1"/>
  <c r="AC223" i="1"/>
  <c r="AG223" i="1"/>
  <c r="AI223" i="1"/>
  <c r="AJ223" i="1"/>
  <c r="AB224" i="1"/>
  <c r="AC224" i="1"/>
  <c r="AD224" i="1"/>
  <c r="AE224" i="1"/>
  <c r="AF224" i="1" s="1"/>
  <c r="AH224" i="1" s="1"/>
  <c r="AG224" i="1"/>
  <c r="AI224" i="1"/>
  <c r="AJ224" i="1"/>
  <c r="AB225" i="1"/>
  <c r="AE225" i="1" s="1"/>
  <c r="AF225" i="1" s="1"/>
  <c r="AH225" i="1" s="1"/>
  <c r="AC225" i="1"/>
  <c r="AD225" i="1"/>
  <c r="AG225" i="1"/>
  <c r="AI225" i="1"/>
  <c r="AJ225" i="1"/>
  <c r="AB226" i="1"/>
  <c r="AE226" i="1" s="1"/>
  <c r="AF226" i="1" s="1"/>
  <c r="AH226" i="1" s="1"/>
  <c r="AC226" i="1"/>
  <c r="AG226" i="1"/>
  <c r="AI226" i="1"/>
  <c r="AJ226" i="1"/>
  <c r="AB227" i="1"/>
  <c r="AE227" i="1" s="1"/>
  <c r="AF227" i="1" s="1"/>
  <c r="AC227" i="1"/>
  <c r="AD227" i="1" s="1"/>
  <c r="AG227" i="1"/>
  <c r="AI227" i="1"/>
  <c r="AJ227" i="1"/>
  <c r="AB228" i="1"/>
  <c r="AE228" i="1" s="1"/>
  <c r="AF228" i="1" s="1"/>
  <c r="AH228" i="1" s="1"/>
  <c r="AC228" i="1"/>
  <c r="AD228" i="1" s="1"/>
  <c r="AG228" i="1"/>
  <c r="AI228" i="1"/>
  <c r="AJ228" i="1"/>
  <c r="AB229" i="1"/>
  <c r="AE229" i="1" s="1"/>
  <c r="AF229" i="1" s="1"/>
  <c r="AH229" i="1" s="1"/>
  <c r="AC229" i="1"/>
  <c r="AG229" i="1"/>
  <c r="AI229" i="1"/>
  <c r="AJ229" i="1"/>
  <c r="AB230" i="1"/>
  <c r="AC230" i="1"/>
  <c r="AE230" i="1"/>
  <c r="AF230" i="1" s="1"/>
  <c r="AG230" i="1"/>
  <c r="AH230" i="1"/>
  <c r="AI230" i="1"/>
  <c r="AJ230" i="1"/>
  <c r="AB231" i="1"/>
  <c r="AE231" i="1" s="1"/>
  <c r="AF231" i="1" s="1"/>
  <c r="AC231" i="1"/>
  <c r="AD231" i="1" s="1"/>
  <c r="AG231" i="1"/>
  <c r="AI231" i="1"/>
  <c r="AJ231" i="1"/>
  <c r="AB232" i="1"/>
  <c r="AC232" i="1"/>
  <c r="AD232" i="1" s="1"/>
  <c r="AE232" i="1"/>
  <c r="AF232" i="1" s="1"/>
  <c r="AH232" i="1" s="1"/>
  <c r="AG232" i="1"/>
  <c r="AI232" i="1"/>
  <c r="AJ232" i="1"/>
  <c r="AB233" i="1"/>
  <c r="AE233" i="1" s="1"/>
  <c r="AF233" i="1" s="1"/>
  <c r="AC233" i="1"/>
  <c r="AD233" i="1"/>
  <c r="AG233" i="1"/>
  <c r="AI233" i="1"/>
  <c r="AJ233" i="1"/>
  <c r="AB234" i="1"/>
  <c r="AE234" i="1" s="1"/>
  <c r="AF234" i="1" s="1"/>
  <c r="AH234" i="1" s="1"/>
  <c r="AC234" i="1"/>
  <c r="AG234" i="1"/>
  <c r="AI234" i="1"/>
  <c r="AJ234" i="1"/>
  <c r="AB235" i="1"/>
  <c r="AE235" i="1" s="1"/>
  <c r="AF235" i="1" s="1"/>
  <c r="AC235" i="1"/>
  <c r="AD235" i="1" s="1"/>
  <c r="AG235" i="1"/>
  <c r="AI235" i="1"/>
  <c r="AJ235" i="1"/>
  <c r="AB236" i="1"/>
  <c r="AE236" i="1" s="1"/>
  <c r="AF236" i="1" s="1"/>
  <c r="AC236" i="1"/>
  <c r="AG236" i="1"/>
  <c r="AH236" i="1"/>
  <c r="AI236" i="1"/>
  <c r="AJ236" i="1"/>
  <c r="AB237" i="1"/>
  <c r="AC237" i="1"/>
  <c r="AD237" i="1" s="1"/>
  <c r="AE237" i="1"/>
  <c r="AF237" i="1" s="1"/>
  <c r="AH237" i="1" s="1"/>
  <c r="AG237" i="1"/>
  <c r="AI237" i="1"/>
  <c r="AJ237" i="1"/>
  <c r="AB238" i="1"/>
  <c r="AE238" i="1" s="1"/>
  <c r="AF238" i="1" s="1"/>
  <c r="AC238" i="1"/>
  <c r="AG238" i="1"/>
  <c r="AI238" i="1"/>
  <c r="AJ238" i="1"/>
  <c r="AB239" i="1"/>
  <c r="AE239" i="1" s="1"/>
  <c r="AC239" i="1"/>
  <c r="AD239" i="1"/>
  <c r="AF239" i="1"/>
  <c r="AG239" i="1"/>
  <c r="AI239" i="1"/>
  <c r="AJ239" i="1"/>
  <c r="AB240" i="1"/>
  <c r="AC240" i="1"/>
  <c r="AE240" i="1"/>
  <c r="AF240" i="1" s="1"/>
  <c r="AH240" i="1" s="1"/>
  <c r="AG240" i="1"/>
  <c r="AI240" i="1"/>
  <c r="AJ240" i="1"/>
  <c r="AB241" i="1"/>
  <c r="AE241" i="1" s="1"/>
  <c r="AC241" i="1"/>
  <c r="AD241" i="1" s="1"/>
  <c r="AF241" i="1"/>
  <c r="AG241" i="1"/>
  <c r="AI241" i="1"/>
  <c r="AJ241" i="1"/>
  <c r="AB242" i="1"/>
  <c r="AE242" i="1" s="1"/>
  <c r="AF242" i="1" s="1"/>
  <c r="AH242" i="1" s="1"/>
  <c r="AC242" i="1"/>
  <c r="AD242" i="1" s="1"/>
  <c r="AG242" i="1"/>
  <c r="AI242" i="1"/>
  <c r="AJ242" i="1"/>
  <c r="AB243" i="1"/>
  <c r="AC243" i="1"/>
  <c r="AD243" i="1"/>
  <c r="AE243" i="1"/>
  <c r="AF243" i="1" s="1"/>
  <c r="AH243" i="1" s="1"/>
  <c r="AG243" i="1"/>
  <c r="AI243" i="1"/>
  <c r="AJ243" i="1"/>
  <c r="AB244" i="1"/>
  <c r="AC244" i="1"/>
  <c r="AD244" i="1" s="1"/>
  <c r="AE244" i="1"/>
  <c r="AF244" i="1" s="1"/>
  <c r="AG244" i="1"/>
  <c r="AI244" i="1"/>
  <c r="AJ244" i="1"/>
  <c r="AB245" i="1"/>
  <c r="AC245" i="1"/>
  <c r="AG245" i="1"/>
  <c r="AI245" i="1"/>
  <c r="AJ245" i="1"/>
  <c r="AB246" i="1"/>
  <c r="AC246" i="1"/>
  <c r="AE246" i="1"/>
  <c r="AF246" i="1" s="1"/>
  <c r="AG246" i="1"/>
  <c r="AH246" i="1" s="1"/>
  <c r="AI246" i="1"/>
  <c r="AJ246" i="1"/>
  <c r="AB247" i="1"/>
  <c r="AE247" i="1" s="1"/>
  <c r="AF247" i="1" s="1"/>
  <c r="AC247" i="1"/>
  <c r="AD247" i="1" s="1"/>
  <c r="AG247" i="1"/>
  <c r="AI247" i="1"/>
  <c r="AJ247" i="1"/>
  <c r="AB248" i="1"/>
  <c r="AE248" i="1" s="1"/>
  <c r="AC248" i="1"/>
  <c r="AF248" i="1"/>
  <c r="AH248" i="1" s="1"/>
  <c r="AG248" i="1"/>
  <c r="AI248" i="1"/>
  <c r="AJ248" i="1"/>
  <c r="AB249" i="1"/>
  <c r="AE249" i="1" s="1"/>
  <c r="AF249" i="1" s="1"/>
  <c r="AC249" i="1"/>
  <c r="AD249" i="1"/>
  <c r="AG249" i="1"/>
  <c r="AI249" i="1"/>
  <c r="AJ249" i="1"/>
  <c r="AB250" i="1"/>
  <c r="AE250" i="1" s="1"/>
  <c r="AF250" i="1" s="1"/>
  <c r="AH250" i="1" s="1"/>
  <c r="AC250" i="1"/>
  <c r="AD250" i="1" s="1"/>
  <c r="AG250" i="1"/>
  <c r="AI250" i="1"/>
  <c r="AJ250" i="1"/>
  <c r="AB251" i="1"/>
  <c r="AE251" i="1" s="1"/>
  <c r="AF251" i="1" s="1"/>
  <c r="AH251" i="1" s="1"/>
  <c r="AC251" i="1"/>
  <c r="AG251" i="1"/>
  <c r="AI251" i="1"/>
  <c r="AJ251" i="1"/>
  <c r="AB252" i="1"/>
  <c r="AC252" i="1"/>
  <c r="AG252" i="1"/>
  <c r="AI252" i="1"/>
  <c r="AJ252" i="1"/>
  <c r="AB253" i="1"/>
  <c r="AC253" i="1"/>
  <c r="AG253" i="1"/>
  <c r="AI253" i="1"/>
  <c r="AJ253" i="1"/>
  <c r="AB254" i="1"/>
  <c r="AE254" i="1" s="1"/>
  <c r="AF254" i="1" s="1"/>
  <c r="AC254" i="1"/>
  <c r="AD254" i="1" s="1"/>
  <c r="AG254" i="1"/>
  <c r="AI254" i="1"/>
  <c r="AJ254" i="1"/>
  <c r="AB255" i="1"/>
  <c r="AE255" i="1" s="1"/>
  <c r="AC255" i="1"/>
  <c r="AD255" i="1"/>
  <c r="AF255" i="1"/>
  <c r="AH255" i="1" s="1"/>
  <c r="AG255" i="1"/>
  <c r="AI255" i="1"/>
  <c r="AJ255" i="1"/>
  <c r="AB256" i="1"/>
  <c r="AE256" i="1" s="1"/>
  <c r="AF256" i="1" s="1"/>
  <c r="AH256" i="1" s="1"/>
  <c r="AC256" i="1"/>
  <c r="AG256" i="1"/>
  <c r="AI256" i="1"/>
  <c r="AJ256" i="1"/>
  <c r="AB257" i="1"/>
  <c r="AE257" i="1" s="1"/>
  <c r="AF257" i="1" s="1"/>
  <c r="AC257" i="1"/>
  <c r="AD257" i="1" s="1"/>
  <c r="AG257" i="1"/>
  <c r="AI257" i="1"/>
  <c r="AJ257" i="1"/>
  <c r="AB258" i="1"/>
  <c r="AE258" i="1" s="1"/>
  <c r="AF258" i="1" s="1"/>
  <c r="AC258" i="1"/>
  <c r="AD258" i="1" s="1"/>
  <c r="AG258" i="1"/>
  <c r="AI258" i="1"/>
  <c r="AJ258" i="1"/>
  <c r="AB259" i="1"/>
  <c r="AE259" i="1" s="1"/>
  <c r="AF259" i="1" s="1"/>
  <c r="AC259" i="1"/>
  <c r="AD259" i="1" s="1"/>
  <c r="AG259" i="1"/>
  <c r="AH259" i="1" s="1"/>
  <c r="AI259" i="1"/>
  <c r="AJ259" i="1"/>
  <c r="AB260" i="1"/>
  <c r="AE260" i="1" s="1"/>
  <c r="AF260" i="1" s="1"/>
  <c r="AH260" i="1" s="1"/>
  <c r="AC260" i="1"/>
  <c r="AG260" i="1"/>
  <c r="AI260" i="1"/>
  <c r="AJ260" i="1"/>
  <c r="AB261" i="1"/>
  <c r="AE261" i="1" s="1"/>
  <c r="AF261" i="1" s="1"/>
  <c r="AH261" i="1" s="1"/>
  <c r="AC261" i="1"/>
  <c r="AG261" i="1"/>
  <c r="AI261" i="1"/>
  <c r="AJ261" i="1"/>
  <c r="AB262" i="1"/>
  <c r="AC262" i="1"/>
  <c r="AD262" i="1" s="1"/>
  <c r="AE262" i="1"/>
  <c r="AF262" i="1" s="1"/>
  <c r="AH262" i="1" s="1"/>
  <c r="AG262" i="1"/>
  <c r="AI262" i="1"/>
  <c r="AJ262" i="1"/>
  <c r="AB263" i="1"/>
  <c r="AC263" i="1"/>
  <c r="AE263" i="1"/>
  <c r="AF263" i="1" s="1"/>
  <c r="AH263" i="1" s="1"/>
  <c r="AG263" i="1"/>
  <c r="AI263" i="1"/>
  <c r="AJ263" i="1"/>
  <c r="AB264" i="1"/>
  <c r="AC264" i="1"/>
  <c r="AD264" i="1" s="1"/>
  <c r="AE264" i="1"/>
  <c r="AF264" i="1"/>
  <c r="AG264" i="1"/>
  <c r="AH264" i="1"/>
  <c r="AI264" i="1"/>
  <c r="AJ264" i="1"/>
  <c r="AB265" i="1"/>
  <c r="AE265" i="1" s="1"/>
  <c r="AF265" i="1" s="1"/>
  <c r="AH265" i="1" s="1"/>
  <c r="AC265" i="1"/>
  <c r="AG265" i="1"/>
  <c r="AI265" i="1"/>
  <c r="AJ265" i="1"/>
  <c r="AB266" i="1"/>
  <c r="AE266" i="1" s="1"/>
  <c r="AF266" i="1" s="1"/>
  <c r="AH266" i="1" s="1"/>
  <c r="AC266" i="1"/>
  <c r="AD266" i="1" s="1"/>
  <c r="AG266" i="1"/>
  <c r="AI266" i="1"/>
  <c r="AJ266" i="1"/>
  <c r="AB267" i="1"/>
  <c r="AE267" i="1" s="1"/>
  <c r="AF267" i="1" s="1"/>
  <c r="AC267" i="1"/>
  <c r="AG267" i="1"/>
  <c r="AI267" i="1"/>
  <c r="AJ267" i="1"/>
  <c r="AB268" i="1"/>
  <c r="AC268" i="1"/>
  <c r="AD268" i="1" s="1"/>
  <c r="AE268" i="1"/>
  <c r="AF268" i="1" s="1"/>
  <c r="AH268" i="1" s="1"/>
  <c r="AG268" i="1"/>
  <c r="AI268" i="1"/>
  <c r="AJ268" i="1"/>
  <c r="AB269" i="1"/>
  <c r="AC269" i="1"/>
  <c r="AD269" i="1"/>
  <c r="AE269" i="1"/>
  <c r="AF269" i="1"/>
  <c r="AG269" i="1"/>
  <c r="AI269" i="1"/>
  <c r="AJ269" i="1"/>
  <c r="AB270" i="1"/>
  <c r="AC270" i="1"/>
  <c r="AG270" i="1"/>
  <c r="AI270" i="1"/>
  <c r="AJ270" i="1"/>
  <c r="AB271" i="1"/>
  <c r="AE271" i="1" s="1"/>
  <c r="AF271" i="1" s="1"/>
  <c r="AH271" i="1" s="1"/>
  <c r="AC271" i="1"/>
  <c r="AD271" i="1" s="1"/>
  <c r="AG271" i="1"/>
  <c r="AI271" i="1"/>
  <c r="AJ271" i="1"/>
  <c r="AB272" i="1"/>
  <c r="AE272" i="1" s="1"/>
  <c r="AF272" i="1" s="1"/>
  <c r="AH272" i="1" s="1"/>
  <c r="AC272" i="1"/>
  <c r="AG272" i="1"/>
  <c r="AI272" i="1"/>
  <c r="AJ272" i="1"/>
  <c r="AB273" i="1"/>
  <c r="AD273" i="1" s="1"/>
  <c r="AC273" i="1"/>
  <c r="AE273" i="1"/>
  <c r="AF273" i="1"/>
  <c r="AH273" i="1" s="1"/>
  <c r="AG273" i="1"/>
  <c r="AI273" i="1"/>
  <c r="AJ273" i="1"/>
  <c r="AB274" i="1"/>
  <c r="AE274" i="1" s="1"/>
  <c r="AF274" i="1" s="1"/>
  <c r="AC274" i="1"/>
  <c r="AD274" i="1" s="1"/>
  <c r="AG274" i="1"/>
  <c r="AI274" i="1"/>
  <c r="AJ274" i="1"/>
  <c r="AB275" i="1"/>
  <c r="AC275" i="1"/>
  <c r="AD275" i="1"/>
  <c r="AE275" i="1"/>
  <c r="AF275" i="1" s="1"/>
  <c r="AH275" i="1" s="1"/>
  <c r="AG275" i="1"/>
  <c r="AI275" i="1"/>
  <c r="AJ275" i="1"/>
  <c r="AB276" i="1"/>
  <c r="AE276" i="1" s="1"/>
  <c r="AF276" i="1" s="1"/>
  <c r="AH276" i="1" s="1"/>
  <c r="AC276" i="1"/>
  <c r="AG276" i="1"/>
  <c r="AI276" i="1"/>
  <c r="AJ276" i="1"/>
  <c r="AB277" i="1"/>
  <c r="AE277" i="1" s="1"/>
  <c r="AF277" i="1" s="1"/>
  <c r="AH277" i="1" s="1"/>
  <c r="AC277" i="1"/>
  <c r="AD277" i="1" s="1"/>
  <c r="AG277" i="1"/>
  <c r="AI277" i="1"/>
  <c r="AJ277" i="1"/>
  <c r="AB278" i="1"/>
  <c r="AE278" i="1" s="1"/>
  <c r="AF278" i="1" s="1"/>
  <c r="AC278" i="1"/>
  <c r="AG278" i="1"/>
  <c r="AI278" i="1"/>
  <c r="AJ278" i="1"/>
  <c r="AB279" i="1"/>
  <c r="AC279" i="1"/>
  <c r="AG279" i="1"/>
  <c r="AI279" i="1"/>
  <c r="AJ279" i="1"/>
  <c r="AB280" i="1"/>
  <c r="AE280" i="1" s="1"/>
  <c r="AC280" i="1"/>
  <c r="AF280" i="1"/>
  <c r="AG280" i="1"/>
  <c r="AH280" i="1" s="1"/>
  <c r="AI280" i="1"/>
  <c r="AJ280" i="1"/>
  <c r="AB281" i="1"/>
  <c r="AE281" i="1" s="1"/>
  <c r="AF281" i="1" s="1"/>
  <c r="AC281" i="1"/>
  <c r="AD281" i="1"/>
  <c r="AG281" i="1"/>
  <c r="AI281" i="1"/>
  <c r="AJ281" i="1"/>
  <c r="AB282" i="1"/>
  <c r="AE282" i="1" s="1"/>
  <c r="AF282" i="1" s="1"/>
  <c r="AH282" i="1" s="1"/>
  <c r="AC282" i="1"/>
  <c r="AG282" i="1"/>
  <c r="AI282" i="1"/>
  <c r="AJ282" i="1"/>
  <c r="AB283" i="1"/>
  <c r="AE283" i="1" s="1"/>
  <c r="AF283" i="1" s="1"/>
  <c r="AH283" i="1" s="1"/>
  <c r="AC283" i="1"/>
  <c r="AG283" i="1"/>
  <c r="AI283" i="1"/>
  <c r="AJ283" i="1"/>
  <c r="AB284" i="1"/>
  <c r="AE284" i="1" s="1"/>
  <c r="AF284" i="1" s="1"/>
  <c r="AC284" i="1"/>
  <c r="AG284" i="1"/>
  <c r="AI284" i="1"/>
  <c r="AJ284" i="1"/>
  <c r="AB285" i="1"/>
  <c r="AE285" i="1" s="1"/>
  <c r="AF285" i="1" s="1"/>
  <c r="AH285" i="1" s="1"/>
  <c r="AC285" i="1"/>
  <c r="AD285" i="1" s="1"/>
  <c r="AG285" i="1"/>
  <c r="AI285" i="1"/>
  <c r="AJ285" i="1"/>
  <c r="AB286" i="1"/>
  <c r="AC286" i="1"/>
  <c r="AD286" i="1" s="1"/>
  <c r="AE286" i="1"/>
  <c r="AF286" i="1" s="1"/>
  <c r="AH286" i="1" s="1"/>
  <c r="AG286" i="1"/>
  <c r="AI286" i="1"/>
  <c r="AJ286" i="1"/>
  <c r="AB287" i="1"/>
  <c r="AE287" i="1" s="1"/>
  <c r="AF287" i="1" s="1"/>
  <c r="AH287" i="1" s="1"/>
  <c r="AC287" i="1"/>
  <c r="AD287" i="1" s="1"/>
  <c r="AG287" i="1"/>
  <c r="AI287" i="1"/>
  <c r="AJ287" i="1"/>
  <c r="AB288" i="1"/>
  <c r="AE288" i="1" s="1"/>
  <c r="AF288" i="1" s="1"/>
  <c r="AC288" i="1"/>
  <c r="AG288" i="1"/>
  <c r="AI288" i="1"/>
  <c r="AJ288" i="1"/>
  <c r="AB289" i="1"/>
  <c r="AC289" i="1"/>
  <c r="AD289" i="1"/>
  <c r="AE289" i="1"/>
  <c r="AF289" i="1"/>
  <c r="AH289" i="1" s="1"/>
  <c r="AG289" i="1"/>
  <c r="AI289" i="1"/>
  <c r="AJ289" i="1"/>
  <c r="AB290" i="1"/>
  <c r="AE290" i="1" s="1"/>
  <c r="AF290" i="1" s="1"/>
  <c r="AH290" i="1" s="1"/>
  <c r="AC290" i="1"/>
  <c r="AG290" i="1"/>
  <c r="AI290" i="1"/>
  <c r="AJ290" i="1"/>
  <c r="AB291" i="1"/>
  <c r="AC291" i="1"/>
  <c r="AD291" i="1"/>
  <c r="AE291" i="1"/>
  <c r="AF291" i="1"/>
  <c r="AG291" i="1"/>
  <c r="AH291" i="1"/>
  <c r="AI291" i="1"/>
  <c r="AJ291" i="1"/>
  <c r="AB292" i="1"/>
  <c r="AC292" i="1"/>
  <c r="AD292" i="1" s="1"/>
  <c r="AE292" i="1"/>
  <c r="AF292" i="1" s="1"/>
  <c r="AH292" i="1" s="1"/>
  <c r="AG292" i="1"/>
  <c r="AI292" i="1"/>
  <c r="AJ292" i="1"/>
  <c r="AB293" i="1"/>
  <c r="AD293" i="1" s="1"/>
  <c r="AC293" i="1"/>
  <c r="AE293" i="1"/>
  <c r="AF293" i="1"/>
  <c r="AG293" i="1"/>
  <c r="AH293" i="1"/>
  <c r="AI293" i="1"/>
  <c r="AJ293" i="1"/>
  <c r="AB294" i="1"/>
  <c r="AC294" i="1"/>
  <c r="AD294" i="1" s="1"/>
  <c r="AE294" i="1"/>
  <c r="AF294" i="1" s="1"/>
  <c r="AH294" i="1" s="1"/>
  <c r="AG294" i="1"/>
  <c r="AI294" i="1"/>
  <c r="AJ294" i="1"/>
  <c r="AB295" i="1"/>
  <c r="AC295" i="1"/>
  <c r="AD295" i="1" s="1"/>
  <c r="AE295" i="1"/>
  <c r="AF295" i="1"/>
  <c r="AG295" i="1"/>
  <c r="AI295" i="1"/>
  <c r="AJ295" i="1"/>
  <c r="AB296" i="1"/>
  <c r="AE296" i="1" s="1"/>
  <c r="AF296" i="1" s="1"/>
  <c r="AH296" i="1" s="1"/>
  <c r="AC296" i="1"/>
  <c r="AD296" i="1" s="1"/>
  <c r="AG296" i="1"/>
  <c r="AI296" i="1"/>
  <c r="AJ296" i="1"/>
  <c r="AB297" i="1"/>
  <c r="AE297" i="1" s="1"/>
  <c r="AF297" i="1" s="1"/>
  <c r="AC297" i="1"/>
  <c r="AG297" i="1"/>
  <c r="AI297" i="1"/>
  <c r="AJ297" i="1"/>
  <c r="AB298" i="1"/>
  <c r="AC298" i="1"/>
  <c r="AD298" i="1" s="1"/>
  <c r="AE298" i="1"/>
  <c r="AF298" i="1"/>
  <c r="AG298" i="1"/>
  <c r="AI298" i="1"/>
  <c r="AJ298" i="1"/>
  <c r="AB299" i="1"/>
  <c r="AE299" i="1" s="1"/>
  <c r="AF299" i="1" s="1"/>
  <c r="AC299" i="1"/>
  <c r="AG299" i="1"/>
  <c r="AI299" i="1"/>
  <c r="AJ299" i="1"/>
  <c r="AB300" i="1"/>
  <c r="AE300" i="1" s="1"/>
  <c r="AF300" i="1" s="1"/>
  <c r="AC300" i="1"/>
  <c r="AD300" i="1" s="1"/>
  <c r="AG300" i="1"/>
  <c r="AI300" i="1"/>
  <c r="AJ300" i="1"/>
  <c r="AB301" i="1"/>
  <c r="AC301" i="1"/>
  <c r="AD301" i="1"/>
  <c r="AE301" i="1"/>
  <c r="AF301" i="1"/>
  <c r="AH301" i="1" s="1"/>
  <c r="AG301" i="1"/>
  <c r="AI301" i="1"/>
  <c r="AJ301" i="1"/>
  <c r="AB302" i="1"/>
  <c r="AD302" i="1" s="1"/>
  <c r="AC302" i="1"/>
  <c r="AE302" i="1"/>
  <c r="AF302" i="1" s="1"/>
  <c r="AH302" i="1" s="1"/>
  <c r="AG302" i="1"/>
  <c r="AI302" i="1"/>
  <c r="AJ302" i="1"/>
  <c r="AB303" i="1"/>
  <c r="AE303" i="1" s="1"/>
  <c r="AC303" i="1"/>
  <c r="AF303" i="1"/>
  <c r="AH303" i="1" s="1"/>
  <c r="AG303" i="1"/>
  <c r="AI303" i="1"/>
  <c r="AJ303" i="1"/>
  <c r="AB304" i="1"/>
  <c r="AD304" i="1" s="1"/>
  <c r="AC304" i="1"/>
  <c r="AE304" i="1"/>
  <c r="AF304" i="1" s="1"/>
  <c r="AG304" i="1"/>
  <c r="AI304" i="1"/>
  <c r="AJ304" i="1"/>
  <c r="AB305" i="1"/>
  <c r="AC305" i="1"/>
  <c r="AD305" i="1"/>
  <c r="AE305" i="1"/>
  <c r="AF305" i="1" s="1"/>
  <c r="AH305" i="1" s="1"/>
  <c r="AG305" i="1"/>
  <c r="AI305" i="1"/>
  <c r="AJ305" i="1"/>
  <c r="AB306" i="1"/>
  <c r="AE306" i="1" s="1"/>
  <c r="AF306" i="1" s="1"/>
  <c r="AH306" i="1" s="1"/>
  <c r="AC306" i="1"/>
  <c r="AG306" i="1"/>
  <c r="AI306" i="1"/>
  <c r="AJ306" i="1"/>
  <c r="AB307" i="1"/>
  <c r="AD307" i="1" s="1"/>
  <c r="AC307" i="1"/>
  <c r="AG307" i="1"/>
  <c r="AI307" i="1"/>
  <c r="AJ307" i="1"/>
  <c r="AB308" i="1"/>
  <c r="AE308" i="1" s="1"/>
  <c r="AF308" i="1" s="1"/>
  <c r="AH308" i="1" s="1"/>
  <c r="AC308" i="1"/>
  <c r="AD308" i="1" s="1"/>
  <c r="AG308" i="1"/>
  <c r="AI308" i="1"/>
  <c r="AJ308" i="1"/>
  <c r="AB309" i="1"/>
  <c r="AE309" i="1" s="1"/>
  <c r="AF309" i="1" s="1"/>
  <c r="AH309" i="1" s="1"/>
  <c r="AC309" i="1"/>
  <c r="AG309" i="1"/>
  <c r="AI309" i="1"/>
  <c r="AJ309" i="1"/>
  <c r="AB310" i="1"/>
  <c r="AE310" i="1" s="1"/>
  <c r="AF310" i="1" s="1"/>
  <c r="AH310" i="1" s="1"/>
  <c r="AC310" i="1"/>
  <c r="AD310" i="1" s="1"/>
  <c r="AG310" i="1"/>
  <c r="AI310" i="1"/>
  <c r="AJ310" i="1"/>
  <c r="AB311" i="1"/>
  <c r="AE311" i="1" s="1"/>
  <c r="AF311" i="1" s="1"/>
  <c r="AC311" i="1"/>
  <c r="AD311" i="1" s="1"/>
  <c r="AG311" i="1"/>
  <c r="AI311" i="1"/>
  <c r="AJ311" i="1"/>
  <c r="AB312" i="1"/>
  <c r="AC312" i="1"/>
  <c r="AD312" i="1" s="1"/>
  <c r="AE312" i="1"/>
  <c r="AF312" i="1" s="1"/>
  <c r="AH312" i="1" s="1"/>
  <c r="AG312" i="1"/>
  <c r="AI312" i="1"/>
  <c r="AJ312" i="1"/>
  <c r="AB313" i="1"/>
  <c r="AE313" i="1" s="1"/>
  <c r="AF313" i="1" s="1"/>
  <c r="AC313" i="1"/>
  <c r="AG313" i="1"/>
  <c r="AI313" i="1"/>
  <c r="AJ313" i="1"/>
  <c r="AB314" i="1"/>
  <c r="AE314" i="1" s="1"/>
  <c r="AF314" i="1" s="1"/>
  <c r="AH314" i="1" s="1"/>
  <c r="AC314" i="1"/>
  <c r="AD314" i="1" s="1"/>
  <c r="AG314" i="1"/>
  <c r="AI314" i="1"/>
  <c r="AJ314" i="1"/>
  <c r="AB315" i="1"/>
  <c r="AE315" i="1" s="1"/>
  <c r="AF315" i="1" s="1"/>
  <c r="AH315" i="1" s="1"/>
  <c r="AC315" i="1"/>
  <c r="AG315" i="1"/>
  <c r="AI315" i="1"/>
  <c r="AJ315" i="1"/>
  <c r="AB316" i="1"/>
  <c r="AC316" i="1"/>
  <c r="AD316" i="1" s="1"/>
  <c r="AE316" i="1"/>
  <c r="AF316" i="1" s="1"/>
  <c r="AH316" i="1" s="1"/>
  <c r="AG316" i="1"/>
  <c r="AI316" i="1"/>
  <c r="AJ316" i="1"/>
  <c r="AB317" i="1"/>
  <c r="AC317" i="1"/>
  <c r="AD317" i="1"/>
  <c r="AE317" i="1"/>
  <c r="AF317" i="1" s="1"/>
  <c r="AH317" i="1" s="1"/>
  <c r="AG317" i="1"/>
  <c r="AI317" i="1"/>
  <c r="AJ317" i="1"/>
  <c r="AB318" i="1"/>
  <c r="AC318" i="1"/>
  <c r="AD318" i="1"/>
  <c r="AE318" i="1"/>
  <c r="AF318" i="1" s="1"/>
  <c r="AH318" i="1" s="1"/>
  <c r="AG318" i="1"/>
  <c r="AI318" i="1"/>
  <c r="AJ318" i="1"/>
  <c r="AB319" i="1"/>
  <c r="AE319" i="1" s="1"/>
  <c r="AF319" i="1" s="1"/>
  <c r="AH319" i="1" s="1"/>
  <c r="AC319" i="1"/>
  <c r="AG319" i="1"/>
  <c r="AI319" i="1"/>
  <c r="AJ319" i="1"/>
  <c r="AB320" i="1"/>
  <c r="AE320" i="1" s="1"/>
  <c r="AF320" i="1" s="1"/>
  <c r="AH320" i="1" s="1"/>
  <c r="AC320" i="1"/>
  <c r="AD320" i="1" s="1"/>
  <c r="AG320" i="1"/>
  <c r="AI320" i="1"/>
  <c r="AJ320" i="1"/>
  <c r="AB321" i="1"/>
  <c r="AD321" i="1" s="1"/>
  <c r="AC321" i="1"/>
  <c r="AE321" i="1"/>
  <c r="AF321" i="1" s="1"/>
  <c r="AH321" i="1" s="1"/>
  <c r="AG321" i="1"/>
  <c r="AI321" i="1"/>
  <c r="AJ321" i="1"/>
  <c r="AB322" i="1"/>
  <c r="AE322" i="1" s="1"/>
  <c r="AF322" i="1" s="1"/>
  <c r="AC322" i="1"/>
  <c r="AD322" i="1" s="1"/>
  <c r="AG322" i="1"/>
  <c r="AI322" i="1"/>
  <c r="AJ322" i="1"/>
  <c r="AB323" i="1"/>
  <c r="AE323" i="1" s="1"/>
  <c r="AF323" i="1" s="1"/>
  <c r="AC323" i="1"/>
  <c r="AD323" i="1" s="1"/>
  <c r="AG323" i="1"/>
  <c r="AI323" i="1"/>
  <c r="AJ323" i="1"/>
  <c r="AB324" i="1"/>
  <c r="AC324" i="1"/>
  <c r="AD324" i="1" s="1"/>
  <c r="AE324" i="1"/>
  <c r="AF324" i="1" s="1"/>
  <c r="AH324" i="1" s="1"/>
  <c r="AG324" i="1"/>
  <c r="AI324" i="1"/>
  <c r="AJ324" i="1"/>
  <c r="AB325" i="1"/>
  <c r="AE325" i="1" s="1"/>
  <c r="AF325" i="1" s="1"/>
  <c r="AH325" i="1" s="1"/>
  <c r="AC325" i="1"/>
  <c r="AD325" i="1"/>
  <c r="AG325" i="1"/>
  <c r="AI325" i="1"/>
  <c r="AJ325" i="1"/>
  <c r="AB326" i="1"/>
  <c r="AE326" i="1" s="1"/>
  <c r="AF326" i="1" s="1"/>
  <c r="AH326" i="1" s="1"/>
  <c r="AC326" i="1"/>
  <c r="AG326" i="1"/>
  <c r="AI326" i="1"/>
  <c r="AJ326" i="1"/>
  <c r="AB327" i="1"/>
  <c r="AE327" i="1" s="1"/>
  <c r="AF327" i="1" s="1"/>
  <c r="AH327" i="1" s="1"/>
  <c r="AC327" i="1"/>
  <c r="AD327" i="1" s="1"/>
  <c r="AG327" i="1"/>
  <c r="AI327" i="1"/>
  <c r="AJ327" i="1"/>
  <c r="AB328" i="1"/>
  <c r="AC328" i="1"/>
  <c r="AD328" i="1" s="1"/>
  <c r="AE328" i="1"/>
  <c r="AF328" i="1" s="1"/>
  <c r="AH328" i="1" s="1"/>
  <c r="AG328" i="1"/>
  <c r="AI328" i="1"/>
  <c r="AJ328" i="1"/>
  <c r="AB329" i="1"/>
  <c r="AE329" i="1" s="1"/>
  <c r="AF329" i="1" s="1"/>
  <c r="AC329" i="1"/>
  <c r="AD329" i="1"/>
  <c r="AG329" i="1"/>
  <c r="AI329" i="1"/>
  <c r="AJ329" i="1"/>
  <c r="AB330" i="1"/>
  <c r="AE330" i="1" s="1"/>
  <c r="AF330" i="1" s="1"/>
  <c r="AH330" i="1" s="1"/>
  <c r="AC330" i="1"/>
  <c r="AD330" i="1" s="1"/>
  <c r="AG330" i="1"/>
  <c r="AI330" i="1"/>
  <c r="AJ330" i="1"/>
  <c r="AB331" i="1"/>
  <c r="AE331" i="1" s="1"/>
  <c r="AF331" i="1" s="1"/>
  <c r="AH331" i="1" s="1"/>
  <c r="AC331" i="1"/>
  <c r="AG331" i="1"/>
  <c r="AI331" i="1"/>
  <c r="AJ331" i="1"/>
  <c r="AB332" i="1"/>
  <c r="AE332" i="1" s="1"/>
  <c r="AF332" i="1" s="1"/>
  <c r="AC332" i="1"/>
  <c r="AD332" i="1"/>
  <c r="AG332" i="1"/>
  <c r="AI332" i="1"/>
  <c r="AJ332" i="1"/>
  <c r="AB333" i="1"/>
  <c r="AD333" i="1" s="1"/>
  <c r="AC333" i="1"/>
  <c r="AG333" i="1"/>
  <c r="AI333" i="1"/>
  <c r="AJ333" i="1"/>
  <c r="AB334" i="1"/>
  <c r="AE334" i="1" s="1"/>
  <c r="AF334" i="1" s="1"/>
  <c r="AC334" i="1"/>
  <c r="AG334" i="1"/>
  <c r="AI334" i="1"/>
  <c r="AJ334" i="1"/>
  <c r="AB335" i="1"/>
  <c r="AE335" i="1" s="1"/>
  <c r="AF335" i="1" s="1"/>
  <c r="AC335" i="1"/>
  <c r="AD335" i="1"/>
  <c r="AG335" i="1"/>
  <c r="AH335" i="1"/>
  <c r="AI335" i="1"/>
  <c r="AJ335" i="1"/>
  <c r="AB336" i="1"/>
  <c r="AE336" i="1" s="1"/>
  <c r="AF336" i="1" s="1"/>
  <c r="AC336" i="1"/>
  <c r="AG336" i="1"/>
  <c r="AI336" i="1"/>
  <c r="AJ336" i="1"/>
  <c r="AB337" i="1"/>
  <c r="AC337" i="1"/>
  <c r="AD337" i="1" s="1"/>
  <c r="AE337" i="1"/>
  <c r="AF337" i="1" s="1"/>
  <c r="AH337" i="1" s="1"/>
  <c r="AG337" i="1"/>
  <c r="AI337" i="1"/>
  <c r="AJ337" i="1"/>
  <c r="AB338" i="1"/>
  <c r="AE338" i="1" s="1"/>
  <c r="AF338" i="1" s="1"/>
  <c r="AH338" i="1" s="1"/>
  <c r="AC338" i="1"/>
  <c r="AG338" i="1"/>
  <c r="AI338" i="1"/>
  <c r="AJ338" i="1"/>
  <c r="AB339" i="1"/>
  <c r="AC339" i="1"/>
  <c r="AD339" i="1"/>
  <c r="AE339" i="1"/>
  <c r="AF339" i="1" s="1"/>
  <c r="AG339" i="1"/>
  <c r="AI339" i="1"/>
  <c r="AJ339" i="1"/>
  <c r="AB340" i="1"/>
  <c r="AE340" i="1" s="1"/>
  <c r="AF340" i="1" s="1"/>
  <c r="AC340" i="1"/>
  <c r="AG340" i="1"/>
  <c r="AI340" i="1"/>
  <c r="AJ340" i="1"/>
  <c r="AB341" i="1"/>
  <c r="AC341" i="1"/>
  <c r="AD341" i="1" s="1"/>
  <c r="AE341" i="1"/>
  <c r="AF341" i="1"/>
  <c r="AH341" i="1" s="1"/>
  <c r="AG341" i="1"/>
  <c r="AI341" i="1"/>
  <c r="AJ341" i="1"/>
  <c r="AB342" i="1"/>
  <c r="AC342" i="1"/>
  <c r="AD342" i="1" s="1"/>
  <c r="AE342" i="1"/>
  <c r="AF342" i="1" s="1"/>
  <c r="AG342" i="1"/>
  <c r="AI342" i="1"/>
  <c r="AJ342" i="1"/>
  <c r="AB343" i="1"/>
  <c r="AE343" i="1" s="1"/>
  <c r="AF343" i="1" s="1"/>
  <c r="AH343" i="1" s="1"/>
  <c r="AC343" i="1"/>
  <c r="AD343" i="1" s="1"/>
  <c r="AG343" i="1"/>
  <c r="AI343" i="1"/>
  <c r="AJ343" i="1"/>
  <c r="AB344" i="1"/>
  <c r="AE344" i="1" s="1"/>
  <c r="AF344" i="1" s="1"/>
  <c r="AH344" i="1" s="1"/>
  <c r="AC344" i="1"/>
  <c r="AD344" i="1" s="1"/>
  <c r="AG344" i="1"/>
  <c r="AI344" i="1"/>
  <c r="AJ344" i="1"/>
  <c r="AB345" i="1"/>
  <c r="AE345" i="1" s="1"/>
  <c r="AF345" i="1" s="1"/>
  <c r="AH345" i="1" s="1"/>
  <c r="AC345" i="1"/>
  <c r="AG345" i="1"/>
  <c r="AI345" i="1"/>
  <c r="AJ345" i="1"/>
  <c r="AB346" i="1"/>
  <c r="AE346" i="1" s="1"/>
  <c r="AF346" i="1" s="1"/>
  <c r="AC346" i="1"/>
  <c r="AG346" i="1"/>
  <c r="AI346" i="1"/>
  <c r="AJ346" i="1"/>
  <c r="AB347" i="1"/>
  <c r="AE347" i="1" s="1"/>
  <c r="AF347" i="1" s="1"/>
  <c r="AH347" i="1" s="1"/>
  <c r="AC347" i="1"/>
  <c r="AG347" i="1"/>
  <c r="AI347" i="1"/>
  <c r="AJ347" i="1"/>
  <c r="AB348" i="1"/>
  <c r="AD348" i="1" s="1"/>
  <c r="AC348" i="1"/>
  <c r="AE348" i="1"/>
  <c r="AF348" i="1" s="1"/>
  <c r="AG348" i="1"/>
  <c r="AI348" i="1"/>
  <c r="AJ348" i="1"/>
  <c r="AB349" i="1"/>
  <c r="AE349" i="1" s="1"/>
  <c r="AF349" i="1" s="1"/>
  <c r="AH349" i="1" s="1"/>
  <c r="AC349" i="1"/>
  <c r="AD349" i="1"/>
  <c r="AG349" i="1"/>
  <c r="AI349" i="1"/>
  <c r="AJ349" i="1"/>
  <c r="AB350" i="1"/>
  <c r="AE350" i="1" s="1"/>
  <c r="AF350" i="1" s="1"/>
  <c r="AC350" i="1"/>
  <c r="AD350" i="1"/>
  <c r="AG350" i="1"/>
  <c r="AI350" i="1"/>
  <c r="AJ350" i="1"/>
  <c r="AB351" i="1"/>
  <c r="AE351" i="1" s="1"/>
  <c r="AF351" i="1" s="1"/>
  <c r="AC351" i="1"/>
  <c r="AD351" i="1"/>
  <c r="AG351" i="1"/>
  <c r="AI351" i="1"/>
  <c r="AJ351" i="1"/>
  <c r="AB352" i="1"/>
  <c r="AE352" i="1" s="1"/>
  <c r="AF352" i="1" s="1"/>
  <c r="AH352" i="1" s="1"/>
  <c r="AC352" i="1"/>
  <c r="AG352" i="1"/>
  <c r="AI352" i="1"/>
  <c r="AJ352" i="1"/>
  <c r="AB353" i="1"/>
  <c r="AC353" i="1"/>
  <c r="AD353" i="1"/>
  <c r="AE353" i="1"/>
  <c r="AF353" i="1" s="1"/>
  <c r="AH353" i="1" s="1"/>
  <c r="AG353" i="1"/>
  <c r="AI353" i="1"/>
  <c r="AJ353" i="1"/>
  <c r="AB354" i="1"/>
  <c r="AE354" i="1" s="1"/>
  <c r="AF354" i="1" s="1"/>
  <c r="AC354" i="1"/>
  <c r="AG354" i="1"/>
  <c r="AI354" i="1"/>
  <c r="AJ354" i="1"/>
  <c r="AB355" i="1"/>
  <c r="AE355" i="1" s="1"/>
  <c r="AF355" i="1" s="1"/>
  <c r="AH355" i="1" s="1"/>
  <c r="AC355" i="1"/>
  <c r="AD355" i="1" s="1"/>
  <c r="AG355" i="1"/>
  <c r="AI355" i="1"/>
  <c r="AJ355" i="1"/>
  <c r="AB356" i="1"/>
  <c r="AC356" i="1"/>
  <c r="AD356" i="1" s="1"/>
  <c r="AE356" i="1"/>
  <c r="AF356" i="1" s="1"/>
  <c r="AG356" i="1"/>
  <c r="AI356" i="1"/>
  <c r="AJ356" i="1"/>
  <c r="AB357" i="1"/>
  <c r="AC357" i="1"/>
  <c r="AE357" i="1"/>
  <c r="AF357" i="1"/>
  <c r="AG357" i="1"/>
  <c r="AI357" i="1"/>
  <c r="AJ357" i="1"/>
  <c r="AB358" i="1"/>
  <c r="AE358" i="1" s="1"/>
  <c r="AF358" i="1" s="1"/>
  <c r="AH358" i="1" s="1"/>
  <c r="AC358" i="1"/>
  <c r="AG358" i="1"/>
  <c r="AI358" i="1"/>
  <c r="AJ358" i="1"/>
  <c r="AB359" i="1"/>
  <c r="AE359" i="1" s="1"/>
  <c r="AF359" i="1" s="1"/>
  <c r="AH359" i="1" s="1"/>
  <c r="AC359" i="1"/>
  <c r="AD359" i="1" s="1"/>
  <c r="AG359" i="1"/>
  <c r="AI359" i="1"/>
  <c r="AJ359" i="1"/>
  <c r="AB360" i="1"/>
  <c r="AE360" i="1" s="1"/>
  <c r="AC360" i="1"/>
  <c r="AF360" i="1"/>
  <c r="AH360" i="1" s="1"/>
  <c r="AG360" i="1"/>
  <c r="AI360" i="1"/>
  <c r="AJ360" i="1"/>
  <c r="AB361" i="1"/>
  <c r="AE361" i="1" s="1"/>
  <c r="AF361" i="1" s="1"/>
  <c r="AC361" i="1"/>
  <c r="AD361" i="1" s="1"/>
  <c r="AG361" i="1"/>
  <c r="AI361" i="1"/>
  <c r="AJ361" i="1"/>
  <c r="AB362" i="1"/>
  <c r="AE362" i="1" s="1"/>
  <c r="AF362" i="1" s="1"/>
  <c r="AH362" i="1" s="1"/>
  <c r="AC362" i="1"/>
  <c r="AG362" i="1"/>
  <c r="AI362" i="1"/>
  <c r="AJ362" i="1"/>
  <c r="AB363" i="1"/>
  <c r="AE363" i="1" s="1"/>
  <c r="AF363" i="1" s="1"/>
  <c r="AH363" i="1" s="1"/>
  <c r="AC363" i="1"/>
  <c r="AG363" i="1"/>
  <c r="AI363" i="1"/>
  <c r="AJ363" i="1"/>
  <c r="AB364" i="1"/>
  <c r="AE364" i="1" s="1"/>
  <c r="AF364" i="1" s="1"/>
  <c r="AC364" i="1"/>
  <c r="AG364" i="1"/>
  <c r="AI364" i="1"/>
  <c r="AJ364" i="1"/>
  <c r="AB365" i="1"/>
  <c r="AC365" i="1"/>
  <c r="AG365" i="1"/>
  <c r="AI365" i="1"/>
  <c r="AJ365" i="1"/>
  <c r="AB366" i="1"/>
  <c r="AE366" i="1" s="1"/>
  <c r="AF366" i="1" s="1"/>
  <c r="AH366" i="1" s="1"/>
  <c r="AC366" i="1"/>
  <c r="AG366" i="1"/>
  <c r="AI366" i="1"/>
  <c r="AJ366" i="1"/>
  <c r="AB367" i="1"/>
  <c r="AE367" i="1" s="1"/>
  <c r="AC367" i="1"/>
  <c r="AD367" i="1"/>
  <c r="AF367" i="1"/>
  <c r="AH367" i="1" s="1"/>
  <c r="AG367" i="1"/>
  <c r="AI367" i="1"/>
  <c r="AJ367" i="1"/>
  <c r="AB368" i="1"/>
  <c r="AE368" i="1" s="1"/>
  <c r="AF368" i="1" s="1"/>
  <c r="AC368" i="1"/>
  <c r="AG368" i="1"/>
  <c r="AI368" i="1"/>
  <c r="AJ368" i="1"/>
  <c r="AB369" i="1"/>
  <c r="AC369" i="1"/>
  <c r="AD369" i="1"/>
  <c r="AE369" i="1"/>
  <c r="AF369" i="1" s="1"/>
  <c r="AG369" i="1"/>
  <c r="AH369" i="1"/>
  <c r="AI369" i="1"/>
  <c r="AJ369" i="1"/>
  <c r="AB370" i="1"/>
  <c r="AE370" i="1" s="1"/>
  <c r="AF370" i="1" s="1"/>
  <c r="AH370" i="1" s="1"/>
  <c r="AC370" i="1"/>
  <c r="AG370" i="1"/>
  <c r="AI370" i="1"/>
  <c r="AJ370" i="1"/>
  <c r="AB371" i="1"/>
  <c r="AE371" i="1" s="1"/>
  <c r="AF371" i="1" s="1"/>
  <c r="AH371" i="1" s="1"/>
  <c r="AC371" i="1"/>
  <c r="AG371" i="1"/>
  <c r="AI371" i="1"/>
  <c r="AJ371" i="1"/>
  <c r="AB372" i="1"/>
  <c r="AC372" i="1"/>
  <c r="AE372" i="1"/>
  <c r="AF372" i="1" s="1"/>
  <c r="AG372" i="1"/>
  <c r="AI372" i="1"/>
  <c r="AJ372" i="1"/>
  <c r="AB373" i="1"/>
  <c r="AC373" i="1"/>
  <c r="AD373" i="1" s="1"/>
  <c r="AE373" i="1"/>
  <c r="AF373" i="1" s="1"/>
  <c r="AG373" i="1"/>
  <c r="AI373" i="1"/>
  <c r="AJ373" i="1"/>
  <c r="AB374" i="1"/>
  <c r="AE374" i="1" s="1"/>
  <c r="AF374" i="1" s="1"/>
  <c r="AC374" i="1"/>
  <c r="AG374" i="1"/>
  <c r="AI374" i="1"/>
  <c r="AJ374" i="1"/>
  <c r="AB375" i="1"/>
  <c r="AC375" i="1"/>
  <c r="AD375" i="1" s="1"/>
  <c r="AE375" i="1"/>
  <c r="AF375" i="1" s="1"/>
  <c r="AH375" i="1" s="1"/>
  <c r="AG375" i="1"/>
  <c r="AI375" i="1"/>
  <c r="AJ375" i="1"/>
  <c r="AB376" i="1"/>
  <c r="AC376" i="1"/>
  <c r="AE376" i="1"/>
  <c r="AF376" i="1" s="1"/>
  <c r="AG376" i="1"/>
  <c r="AI376" i="1"/>
  <c r="AJ376" i="1"/>
  <c r="AB377" i="1"/>
  <c r="AE377" i="1" s="1"/>
  <c r="AF377" i="1" s="1"/>
  <c r="AC377" i="1"/>
  <c r="AD377" i="1" s="1"/>
  <c r="AG377" i="1"/>
  <c r="AI377" i="1"/>
  <c r="AJ377" i="1"/>
  <c r="AB378" i="1"/>
  <c r="AD378" i="1" s="1"/>
  <c r="AC378" i="1"/>
  <c r="AG378" i="1"/>
  <c r="AI378" i="1"/>
  <c r="AJ378" i="1"/>
  <c r="AB379" i="1"/>
  <c r="AE379" i="1" s="1"/>
  <c r="AF379" i="1" s="1"/>
  <c r="AC379" i="1"/>
  <c r="AG379" i="1"/>
  <c r="AI379" i="1"/>
  <c r="AJ379" i="1"/>
  <c r="AB380" i="1"/>
  <c r="AC380" i="1"/>
  <c r="AD380" i="1" s="1"/>
  <c r="AE380" i="1"/>
  <c r="AF380" i="1" s="1"/>
  <c r="AG380" i="1"/>
  <c r="AI380" i="1"/>
  <c r="AJ380" i="1"/>
  <c r="AB381" i="1"/>
  <c r="AE381" i="1" s="1"/>
  <c r="AF381" i="1" s="1"/>
  <c r="AC381" i="1"/>
  <c r="AD381" i="1" s="1"/>
  <c r="AG381" i="1"/>
  <c r="AI381" i="1"/>
  <c r="AJ381" i="1"/>
  <c r="AB382" i="1"/>
  <c r="AC382" i="1"/>
  <c r="AG382" i="1"/>
  <c r="AI382" i="1"/>
  <c r="AJ382" i="1"/>
  <c r="AB383" i="1"/>
  <c r="AC383" i="1"/>
  <c r="AG383" i="1"/>
  <c r="AI383" i="1"/>
  <c r="AJ383" i="1"/>
  <c r="AB384" i="1"/>
  <c r="AC384" i="1"/>
  <c r="AD384" i="1"/>
  <c r="AE384" i="1"/>
  <c r="AF384" i="1" s="1"/>
  <c r="AH384" i="1" s="1"/>
  <c r="AG384" i="1"/>
  <c r="AI384" i="1"/>
  <c r="AJ384" i="1"/>
  <c r="AB385" i="1"/>
  <c r="AC385" i="1"/>
  <c r="AD385" i="1" s="1"/>
  <c r="AE385" i="1"/>
  <c r="AF385" i="1" s="1"/>
  <c r="AH385" i="1" s="1"/>
  <c r="AG385" i="1"/>
  <c r="AI385" i="1"/>
  <c r="AJ385" i="1"/>
  <c r="AB386" i="1"/>
  <c r="AE386" i="1" s="1"/>
  <c r="AF386" i="1" s="1"/>
  <c r="AC386" i="1"/>
  <c r="AG386" i="1"/>
  <c r="AI386" i="1"/>
  <c r="AJ386" i="1"/>
  <c r="AB387" i="1"/>
  <c r="AC387" i="1"/>
  <c r="AG387" i="1"/>
  <c r="AI387" i="1"/>
  <c r="AJ387" i="1"/>
  <c r="AB388" i="1"/>
  <c r="AC388" i="1"/>
  <c r="AD388" i="1" s="1"/>
  <c r="AE388" i="1"/>
  <c r="AF388" i="1" s="1"/>
  <c r="AG388" i="1"/>
  <c r="AI388" i="1"/>
  <c r="AJ388" i="1"/>
  <c r="AB389" i="1"/>
  <c r="AC389" i="1"/>
  <c r="AD389" i="1" s="1"/>
  <c r="AE389" i="1"/>
  <c r="AF389" i="1" s="1"/>
  <c r="AH389" i="1" s="1"/>
  <c r="AG389" i="1"/>
  <c r="AI389" i="1"/>
  <c r="AJ389" i="1"/>
  <c r="AB390" i="1"/>
  <c r="AC390" i="1"/>
  <c r="AD390" i="1" s="1"/>
  <c r="AE390" i="1"/>
  <c r="AF390" i="1" s="1"/>
  <c r="AH390" i="1" s="1"/>
  <c r="AG390" i="1"/>
  <c r="AI390" i="1"/>
  <c r="AJ390" i="1"/>
  <c r="AB391" i="1"/>
  <c r="AE391" i="1" s="1"/>
  <c r="AF391" i="1" s="1"/>
  <c r="AH391" i="1" s="1"/>
  <c r="AC391" i="1"/>
  <c r="AD391" i="1" s="1"/>
  <c r="AG391" i="1"/>
  <c r="AI391" i="1"/>
  <c r="AJ391" i="1"/>
  <c r="AB392" i="1"/>
  <c r="AE392" i="1" s="1"/>
  <c r="AF392" i="1" s="1"/>
  <c r="AH392" i="1" s="1"/>
  <c r="AC392" i="1"/>
  <c r="AD392" i="1" s="1"/>
  <c r="AG392" i="1"/>
  <c r="AI392" i="1"/>
  <c r="AJ392" i="1"/>
  <c r="AB393" i="1"/>
  <c r="AE393" i="1" s="1"/>
  <c r="AF393" i="1" s="1"/>
  <c r="AH393" i="1" s="1"/>
  <c r="AC393" i="1"/>
  <c r="AD393" i="1" s="1"/>
  <c r="AG393" i="1"/>
  <c r="AI393" i="1"/>
  <c r="AJ393" i="1"/>
  <c r="AB394" i="1"/>
  <c r="AE394" i="1" s="1"/>
  <c r="AF394" i="1" s="1"/>
  <c r="AH394" i="1" s="1"/>
  <c r="AC394" i="1"/>
  <c r="AD394" i="1" s="1"/>
  <c r="AG394" i="1"/>
  <c r="AI394" i="1"/>
  <c r="AJ394" i="1"/>
  <c r="AB395" i="1"/>
  <c r="AE395" i="1" s="1"/>
  <c r="AF395" i="1" s="1"/>
  <c r="AH395" i="1" s="1"/>
  <c r="AC395" i="1"/>
  <c r="AG395" i="1"/>
  <c r="AI395" i="1"/>
  <c r="AJ395" i="1"/>
  <c r="AB396" i="1"/>
  <c r="AE396" i="1" s="1"/>
  <c r="AF396" i="1" s="1"/>
  <c r="AC396" i="1"/>
  <c r="AG396" i="1"/>
  <c r="AI396" i="1"/>
  <c r="AJ396" i="1"/>
  <c r="AB397" i="1"/>
  <c r="AE397" i="1" s="1"/>
  <c r="AF397" i="1" s="1"/>
  <c r="AH397" i="1" s="1"/>
  <c r="AC397" i="1"/>
  <c r="AD397" i="1" s="1"/>
  <c r="AG397" i="1"/>
  <c r="AI397" i="1"/>
  <c r="AJ397" i="1"/>
  <c r="AB398" i="1"/>
  <c r="AE398" i="1" s="1"/>
  <c r="AF398" i="1" s="1"/>
  <c r="AH398" i="1" s="1"/>
  <c r="AC398" i="1"/>
  <c r="AG398" i="1"/>
  <c r="AI398" i="1"/>
  <c r="AJ398" i="1"/>
  <c r="AB399" i="1"/>
  <c r="AE399" i="1" s="1"/>
  <c r="AC399" i="1"/>
  <c r="AD399" i="1"/>
  <c r="AF399" i="1"/>
  <c r="AH399" i="1" s="1"/>
  <c r="AG399" i="1"/>
  <c r="AI399" i="1"/>
  <c r="AJ399" i="1"/>
  <c r="AB400" i="1"/>
  <c r="AE400" i="1" s="1"/>
  <c r="AF400" i="1" s="1"/>
  <c r="AC400" i="1"/>
  <c r="AD400" i="1" s="1"/>
  <c r="AG400" i="1"/>
  <c r="AI400" i="1"/>
  <c r="AJ400" i="1"/>
  <c r="AB401" i="1"/>
  <c r="AC401" i="1"/>
  <c r="AD401" i="1"/>
  <c r="AE401" i="1"/>
  <c r="AF401" i="1" s="1"/>
  <c r="AG401" i="1"/>
  <c r="AH401" i="1"/>
  <c r="AI401" i="1"/>
  <c r="AJ401" i="1"/>
  <c r="AB402" i="1"/>
  <c r="AE402" i="1" s="1"/>
  <c r="AF402" i="1" s="1"/>
  <c r="AH402" i="1" s="1"/>
  <c r="AC402" i="1"/>
  <c r="AG402" i="1"/>
  <c r="AI402" i="1"/>
  <c r="AJ402" i="1"/>
  <c r="AB403" i="1"/>
  <c r="AC403" i="1"/>
  <c r="AG403" i="1"/>
  <c r="AI403" i="1"/>
  <c r="AJ403" i="1"/>
  <c r="AB404" i="1"/>
  <c r="AE404" i="1" s="1"/>
  <c r="AF404" i="1" s="1"/>
  <c r="AH404" i="1" s="1"/>
  <c r="AC404" i="1"/>
  <c r="AG404" i="1"/>
  <c r="AI404" i="1"/>
  <c r="AJ404" i="1"/>
  <c r="AB405" i="1"/>
  <c r="AE405" i="1" s="1"/>
  <c r="AF405" i="1" s="1"/>
  <c r="AH405" i="1" s="1"/>
  <c r="AC405" i="1"/>
  <c r="AD405" i="1" s="1"/>
  <c r="AG405" i="1"/>
  <c r="AI405" i="1"/>
  <c r="AJ405" i="1"/>
  <c r="AB406" i="1"/>
  <c r="AC406" i="1"/>
  <c r="AD406" i="1" s="1"/>
  <c r="AE406" i="1"/>
  <c r="AF406" i="1" s="1"/>
  <c r="AG406" i="1"/>
  <c r="AI406" i="1"/>
  <c r="AJ406" i="1"/>
  <c r="AB407" i="1"/>
  <c r="AE407" i="1" s="1"/>
  <c r="AF407" i="1" s="1"/>
  <c r="AH407" i="1" s="1"/>
  <c r="AC407" i="1"/>
  <c r="AD407" i="1" s="1"/>
  <c r="AG407" i="1"/>
  <c r="AI407" i="1"/>
  <c r="AJ407" i="1"/>
  <c r="AB408" i="1"/>
  <c r="AE408" i="1" s="1"/>
  <c r="AF408" i="1" s="1"/>
  <c r="AH408" i="1" s="1"/>
  <c r="AC408" i="1"/>
  <c r="AG408" i="1"/>
  <c r="AI408" i="1"/>
  <c r="AJ408" i="1"/>
  <c r="AB409" i="1"/>
  <c r="AE409" i="1" s="1"/>
  <c r="AF409" i="1" s="1"/>
  <c r="AC409" i="1"/>
  <c r="AG409" i="1"/>
  <c r="AI409" i="1"/>
  <c r="AJ409" i="1"/>
  <c r="AB410" i="1"/>
  <c r="AE410" i="1" s="1"/>
  <c r="AF410" i="1" s="1"/>
  <c r="AH410" i="1" s="1"/>
  <c r="AC410" i="1"/>
  <c r="AG410" i="1"/>
  <c r="AI410" i="1"/>
  <c r="AJ410" i="1"/>
  <c r="AB411" i="1"/>
  <c r="AE411" i="1" s="1"/>
  <c r="AF411" i="1" s="1"/>
  <c r="AC411" i="1"/>
  <c r="AG411" i="1"/>
  <c r="AI411" i="1"/>
  <c r="AJ411" i="1"/>
  <c r="AB412" i="1"/>
  <c r="AC412" i="1"/>
  <c r="AD412" i="1"/>
  <c r="AE412" i="1"/>
  <c r="AF412" i="1" s="1"/>
  <c r="AG412" i="1"/>
  <c r="AI412" i="1"/>
  <c r="AJ412" i="1"/>
  <c r="AB413" i="1"/>
  <c r="AE413" i="1" s="1"/>
  <c r="AF413" i="1" s="1"/>
  <c r="AH413" i="1" s="1"/>
  <c r="AC413" i="1"/>
  <c r="AG413" i="1"/>
  <c r="AI413" i="1"/>
  <c r="AJ413" i="1"/>
  <c r="AB414" i="1"/>
  <c r="AC414" i="1"/>
  <c r="AG414" i="1"/>
  <c r="AI414" i="1"/>
  <c r="AJ414" i="1"/>
  <c r="AB415" i="1"/>
  <c r="AC415" i="1"/>
  <c r="AG415" i="1"/>
  <c r="AI415" i="1"/>
  <c r="AJ415" i="1"/>
  <c r="AB416" i="1"/>
  <c r="AE416" i="1" s="1"/>
  <c r="AF416" i="1" s="1"/>
  <c r="AH416" i="1" s="1"/>
  <c r="AC416" i="1"/>
  <c r="AG416" i="1"/>
  <c r="AI416" i="1"/>
  <c r="AJ416" i="1"/>
  <c r="AB417" i="1"/>
  <c r="AC417" i="1"/>
  <c r="AG417" i="1"/>
  <c r="AI417" i="1"/>
  <c r="AJ417" i="1"/>
  <c r="AB418" i="1"/>
  <c r="AE418" i="1" s="1"/>
  <c r="AF418" i="1" s="1"/>
  <c r="AH418" i="1" s="1"/>
  <c r="AC418" i="1"/>
  <c r="AG418" i="1"/>
  <c r="AI418" i="1"/>
  <c r="AJ418" i="1"/>
  <c r="AB419" i="1"/>
  <c r="AE419" i="1" s="1"/>
  <c r="AF419" i="1" s="1"/>
  <c r="AH419" i="1" s="1"/>
  <c r="AC419" i="1"/>
  <c r="AG419" i="1"/>
  <c r="AI419" i="1"/>
  <c r="AJ419" i="1"/>
  <c r="AB420" i="1"/>
  <c r="AE420" i="1" s="1"/>
  <c r="AF420" i="1" s="1"/>
  <c r="AC420" i="1"/>
  <c r="AG420" i="1"/>
  <c r="AI420" i="1"/>
  <c r="AJ420" i="1"/>
  <c r="AB421" i="1"/>
  <c r="AE421" i="1" s="1"/>
  <c r="AF421" i="1" s="1"/>
  <c r="AH421" i="1" s="1"/>
  <c r="AC421" i="1"/>
  <c r="AD421" i="1" s="1"/>
  <c r="AG421" i="1"/>
  <c r="AI421" i="1"/>
  <c r="AJ421" i="1"/>
  <c r="AB422" i="1"/>
  <c r="AE422" i="1" s="1"/>
  <c r="AF422" i="1" s="1"/>
  <c r="AH422" i="1" s="1"/>
  <c r="AC422" i="1"/>
  <c r="AG422" i="1"/>
  <c r="AI422" i="1"/>
  <c r="AJ422" i="1"/>
  <c r="AB423" i="1"/>
  <c r="AE423" i="1" s="1"/>
  <c r="AF423" i="1" s="1"/>
  <c r="AC423" i="1"/>
  <c r="AD423" i="1" s="1"/>
  <c r="AG423" i="1"/>
  <c r="AI423" i="1"/>
  <c r="AJ423" i="1"/>
  <c r="AB424" i="1"/>
  <c r="AC424" i="1"/>
  <c r="AD424" i="1"/>
  <c r="AE424" i="1"/>
  <c r="AF424" i="1"/>
  <c r="AG424" i="1"/>
  <c r="AI424" i="1"/>
  <c r="AJ424" i="1"/>
  <c r="AB425" i="1"/>
  <c r="AE425" i="1" s="1"/>
  <c r="AF425" i="1" s="1"/>
  <c r="AH425" i="1" s="1"/>
  <c r="AC425" i="1"/>
  <c r="AG425" i="1"/>
  <c r="AI425" i="1"/>
  <c r="AJ425" i="1"/>
  <c r="AB426" i="1"/>
  <c r="AE426" i="1" s="1"/>
  <c r="AF426" i="1" s="1"/>
  <c r="AH426" i="1" s="1"/>
  <c r="AC426" i="1"/>
  <c r="AD426" i="1" s="1"/>
  <c r="AG426" i="1"/>
  <c r="AI426" i="1"/>
  <c r="AJ426" i="1"/>
  <c r="AB427" i="1"/>
  <c r="AE427" i="1" s="1"/>
  <c r="AF427" i="1" s="1"/>
  <c r="AC427" i="1"/>
  <c r="AG427" i="1"/>
  <c r="AI427" i="1"/>
  <c r="AJ427" i="1"/>
  <c r="AB428" i="1"/>
  <c r="AE428" i="1" s="1"/>
  <c r="AF428" i="1" s="1"/>
  <c r="AH428" i="1" s="1"/>
  <c r="AC428" i="1"/>
  <c r="AD428" i="1" s="1"/>
  <c r="AG428" i="1"/>
  <c r="AI428" i="1"/>
  <c r="AJ428" i="1"/>
  <c r="AB429" i="1"/>
  <c r="AE429" i="1" s="1"/>
  <c r="AF429" i="1" s="1"/>
  <c r="AC429" i="1"/>
  <c r="AD429" i="1"/>
  <c r="AG429" i="1"/>
  <c r="AI429" i="1"/>
  <c r="AJ429" i="1"/>
  <c r="AB430" i="1"/>
  <c r="AE430" i="1" s="1"/>
  <c r="AC430" i="1"/>
  <c r="AD430" i="1" s="1"/>
  <c r="AF430" i="1"/>
  <c r="AG430" i="1"/>
  <c r="AI430" i="1"/>
  <c r="AJ430" i="1"/>
  <c r="AB431" i="1"/>
  <c r="AC431" i="1"/>
  <c r="AG431" i="1"/>
  <c r="AI431" i="1"/>
  <c r="AJ431" i="1"/>
  <c r="AB432" i="1"/>
  <c r="AC432" i="1"/>
  <c r="AD432" i="1"/>
  <c r="AE432" i="1"/>
  <c r="AF432" i="1" s="1"/>
  <c r="AG432" i="1"/>
  <c r="AI432" i="1"/>
  <c r="AJ432" i="1"/>
  <c r="AB433" i="1"/>
  <c r="AE433" i="1" s="1"/>
  <c r="AF433" i="1" s="1"/>
  <c r="AH433" i="1" s="1"/>
  <c r="AC433" i="1"/>
  <c r="AD433" i="1" s="1"/>
  <c r="AG433" i="1"/>
  <c r="AI433" i="1"/>
  <c r="AJ433" i="1"/>
  <c r="AB434" i="1"/>
  <c r="AE434" i="1" s="1"/>
  <c r="AF434" i="1" s="1"/>
  <c r="AH434" i="1" s="1"/>
  <c r="AC434" i="1"/>
  <c r="AG434" i="1"/>
  <c r="AI434" i="1"/>
  <c r="AJ434" i="1"/>
  <c r="AB435" i="1"/>
  <c r="AE435" i="1" s="1"/>
  <c r="AF435" i="1" s="1"/>
  <c r="AC435" i="1"/>
  <c r="AD435" i="1" s="1"/>
  <c r="AG435" i="1"/>
  <c r="AI435" i="1"/>
  <c r="AJ435" i="1"/>
  <c r="AB436" i="1"/>
  <c r="AC436" i="1"/>
  <c r="AD436" i="1" s="1"/>
  <c r="AE436" i="1"/>
  <c r="AF436" i="1" s="1"/>
  <c r="AH436" i="1" s="1"/>
  <c r="AG436" i="1"/>
  <c r="AI436" i="1"/>
  <c r="AJ436" i="1"/>
  <c r="AB437" i="1"/>
  <c r="AE437" i="1" s="1"/>
  <c r="AF437" i="1" s="1"/>
  <c r="AC437" i="1"/>
  <c r="AD437" i="1"/>
  <c r="AG437" i="1"/>
  <c r="AI437" i="1"/>
  <c r="AJ437" i="1"/>
  <c r="AB438" i="1"/>
  <c r="AC438" i="1"/>
  <c r="AD438" i="1" s="1"/>
  <c r="AE438" i="1"/>
  <c r="AF438" i="1"/>
  <c r="AG438" i="1"/>
  <c r="AH438" i="1"/>
  <c r="AI438" i="1"/>
  <c r="AJ438" i="1"/>
  <c r="AB439" i="1"/>
  <c r="AE439" i="1" s="1"/>
  <c r="AF439" i="1" s="1"/>
  <c r="AH439" i="1" s="1"/>
  <c r="AC439" i="1"/>
  <c r="AG439" i="1"/>
  <c r="AI439" i="1"/>
  <c r="AJ439" i="1"/>
  <c r="AB440" i="1"/>
  <c r="AC440" i="1"/>
  <c r="AE440" i="1"/>
  <c r="AF440" i="1"/>
  <c r="AG440" i="1"/>
  <c r="AH440" i="1"/>
  <c r="AI440" i="1"/>
  <c r="AJ440" i="1"/>
  <c r="AB441" i="1"/>
  <c r="AD441" i="1" s="1"/>
  <c r="AC441" i="1"/>
  <c r="AG441" i="1"/>
  <c r="AI441" i="1"/>
  <c r="AJ441" i="1"/>
  <c r="AB442" i="1"/>
  <c r="AC442" i="1"/>
  <c r="AE442" i="1"/>
  <c r="AF442" i="1"/>
  <c r="AG442" i="1"/>
  <c r="AH442" i="1"/>
  <c r="AI442" i="1"/>
  <c r="AJ442" i="1"/>
  <c r="AB443" i="1"/>
  <c r="AC443" i="1"/>
  <c r="AG443" i="1"/>
  <c r="AI443" i="1"/>
  <c r="AJ443" i="1"/>
  <c r="AB444" i="1"/>
  <c r="AC444" i="1"/>
  <c r="AD444" i="1" s="1"/>
  <c r="AE444" i="1"/>
  <c r="AF444" i="1" s="1"/>
  <c r="AH444" i="1" s="1"/>
  <c r="AG444" i="1"/>
  <c r="AI444" i="1"/>
  <c r="AJ444" i="1"/>
  <c r="AB445" i="1"/>
  <c r="AE445" i="1" s="1"/>
  <c r="AC445" i="1"/>
  <c r="AD445" i="1"/>
  <c r="AF445" i="1"/>
  <c r="AG445" i="1"/>
  <c r="AH445" i="1"/>
  <c r="AI445" i="1"/>
  <c r="AJ445" i="1"/>
  <c r="AB446" i="1"/>
  <c r="AC446" i="1"/>
  <c r="AD446" i="1"/>
  <c r="AE446" i="1"/>
  <c r="AF446" i="1" s="1"/>
  <c r="AH446" i="1" s="1"/>
  <c r="AG446" i="1"/>
  <c r="AI446" i="1"/>
  <c r="AJ446" i="1"/>
  <c r="AB447" i="1"/>
  <c r="AC447" i="1"/>
  <c r="AD447" i="1" s="1"/>
  <c r="AE447" i="1"/>
  <c r="AF447" i="1"/>
  <c r="AG447" i="1"/>
  <c r="AH447" i="1"/>
  <c r="AI447" i="1"/>
  <c r="AJ447" i="1"/>
  <c r="AB448" i="1"/>
  <c r="AE448" i="1" s="1"/>
  <c r="AF448" i="1" s="1"/>
  <c r="AC448" i="1"/>
  <c r="AG448" i="1"/>
  <c r="AI448" i="1"/>
  <c r="AJ448" i="1"/>
  <c r="AB449" i="1"/>
  <c r="AE449" i="1" s="1"/>
  <c r="AC449" i="1"/>
  <c r="AD449" i="1"/>
  <c r="AF449" i="1"/>
  <c r="AG449" i="1"/>
  <c r="AH449" i="1"/>
  <c r="AI449" i="1"/>
  <c r="AJ449" i="1"/>
  <c r="AB450" i="1"/>
  <c r="AC450" i="1"/>
  <c r="AG450" i="1"/>
  <c r="AI450" i="1"/>
  <c r="AJ450" i="1"/>
  <c r="AB451" i="1"/>
  <c r="AE451" i="1" s="1"/>
  <c r="AF451" i="1" s="1"/>
  <c r="AH451" i="1" s="1"/>
  <c r="AC451" i="1"/>
  <c r="AG451" i="1"/>
  <c r="AI451" i="1"/>
  <c r="AJ451" i="1"/>
  <c r="AB452" i="1"/>
  <c r="AC452" i="1"/>
  <c r="AG452" i="1"/>
  <c r="AI452" i="1"/>
  <c r="AJ452" i="1"/>
  <c r="AB453" i="1"/>
  <c r="AC453" i="1"/>
  <c r="AD453" i="1" s="1"/>
  <c r="AE453" i="1"/>
  <c r="AF453" i="1"/>
  <c r="AH453" i="1" s="1"/>
  <c r="AG453" i="1"/>
  <c r="AI453" i="1"/>
  <c r="AJ453" i="1"/>
  <c r="AB454" i="1"/>
  <c r="AE454" i="1" s="1"/>
  <c r="AC454" i="1"/>
  <c r="AD454" i="1"/>
  <c r="AF454" i="1"/>
  <c r="AG454" i="1"/>
  <c r="AI454" i="1"/>
  <c r="AJ454" i="1"/>
  <c r="AB455" i="1"/>
  <c r="AE455" i="1" s="1"/>
  <c r="AF455" i="1" s="1"/>
  <c r="AC455" i="1"/>
  <c r="AD455" i="1" s="1"/>
  <c r="AG455" i="1"/>
  <c r="AI455" i="1"/>
  <c r="AJ455" i="1"/>
  <c r="AB456" i="1"/>
  <c r="AC456" i="1"/>
  <c r="AD456" i="1"/>
  <c r="AE456" i="1"/>
  <c r="AF456" i="1" s="1"/>
  <c r="AG456" i="1"/>
  <c r="AI456" i="1"/>
  <c r="AJ456" i="1"/>
  <c r="AB457" i="1"/>
  <c r="AE457" i="1" s="1"/>
  <c r="AF457" i="1" s="1"/>
  <c r="AC457" i="1"/>
  <c r="AD457" i="1" s="1"/>
  <c r="AG457" i="1"/>
  <c r="AI457" i="1"/>
  <c r="AJ457" i="1"/>
  <c r="AB458" i="1"/>
  <c r="AE458" i="1" s="1"/>
  <c r="AF458" i="1" s="1"/>
  <c r="AC458" i="1"/>
  <c r="AD458" i="1" s="1"/>
  <c r="AG458" i="1"/>
  <c r="AH458" i="1" s="1"/>
  <c r="AI458" i="1"/>
  <c r="AJ458" i="1"/>
  <c r="AB459" i="1"/>
  <c r="AE459" i="1" s="1"/>
  <c r="AF459" i="1" s="1"/>
  <c r="AH459" i="1" s="1"/>
  <c r="AC459" i="1"/>
  <c r="AG459" i="1"/>
  <c r="AI459" i="1"/>
  <c r="AJ459" i="1"/>
  <c r="AB460" i="1"/>
  <c r="AC460" i="1"/>
  <c r="AD460" i="1"/>
  <c r="AE460" i="1"/>
  <c r="AF460" i="1" s="1"/>
  <c r="AG460" i="1"/>
  <c r="AI460" i="1"/>
  <c r="AJ460" i="1"/>
  <c r="AB461" i="1"/>
  <c r="AE461" i="1" s="1"/>
  <c r="AF461" i="1" s="1"/>
  <c r="AH461" i="1" s="1"/>
  <c r="AC461" i="1"/>
  <c r="AG461" i="1"/>
  <c r="AI461" i="1"/>
  <c r="AJ461" i="1"/>
  <c r="AB462" i="1"/>
  <c r="AC462" i="1"/>
  <c r="AD462" i="1" s="1"/>
  <c r="AE462" i="1"/>
  <c r="AF462" i="1" s="1"/>
  <c r="AH462" i="1" s="1"/>
  <c r="AG462" i="1"/>
  <c r="AI462" i="1"/>
  <c r="AJ462" i="1"/>
  <c r="AB463" i="1"/>
  <c r="AE463" i="1" s="1"/>
  <c r="AF463" i="1" s="1"/>
  <c r="AH463" i="1" s="1"/>
  <c r="AC463" i="1"/>
  <c r="AD463" i="1" s="1"/>
  <c r="AG463" i="1"/>
  <c r="AI463" i="1"/>
  <c r="AJ463" i="1"/>
  <c r="AB464" i="1"/>
  <c r="AE464" i="1" s="1"/>
  <c r="AF464" i="1" s="1"/>
  <c r="AC464" i="1"/>
  <c r="AG464" i="1"/>
  <c r="AI464" i="1"/>
  <c r="AJ464" i="1"/>
  <c r="AB465" i="1"/>
  <c r="AE465" i="1" s="1"/>
  <c r="AF465" i="1" s="1"/>
  <c r="AC465" i="1"/>
  <c r="AD465" i="1" s="1"/>
  <c r="AG465" i="1"/>
  <c r="AI465" i="1"/>
  <c r="AJ465" i="1"/>
  <c r="AB466" i="1"/>
  <c r="AD466" i="1" s="1"/>
  <c r="AC466" i="1"/>
  <c r="AG466" i="1"/>
  <c r="AI466" i="1"/>
  <c r="AJ466" i="1"/>
  <c r="AB467" i="1"/>
  <c r="AC467" i="1"/>
  <c r="AD467" i="1"/>
  <c r="AE467" i="1"/>
  <c r="AF467" i="1" s="1"/>
  <c r="AH467" i="1" s="1"/>
  <c r="AG467" i="1"/>
  <c r="AI467" i="1"/>
  <c r="AJ467" i="1"/>
  <c r="AB468" i="1"/>
  <c r="AC468" i="1"/>
  <c r="AG468" i="1"/>
  <c r="AI468" i="1"/>
  <c r="AJ468" i="1"/>
  <c r="AB469" i="1"/>
  <c r="AE469" i="1" s="1"/>
  <c r="AF469" i="1" s="1"/>
  <c r="AH469" i="1" s="1"/>
  <c r="AC469" i="1"/>
  <c r="AD469" i="1" s="1"/>
  <c r="AG469" i="1"/>
  <c r="AI469" i="1"/>
  <c r="AJ469" i="1"/>
  <c r="AB470" i="1"/>
  <c r="AE470" i="1" s="1"/>
  <c r="AC470" i="1"/>
  <c r="AD470" i="1" s="1"/>
  <c r="AF470" i="1"/>
  <c r="AG470" i="1"/>
  <c r="AH470" i="1"/>
  <c r="AI470" i="1"/>
  <c r="AJ470" i="1"/>
  <c r="AB471" i="1"/>
  <c r="AC471" i="1"/>
  <c r="AG471" i="1"/>
  <c r="AI471" i="1"/>
  <c r="AJ471" i="1"/>
  <c r="AB472" i="1"/>
  <c r="AC472" i="1"/>
  <c r="AD472" i="1"/>
  <c r="AE472" i="1"/>
  <c r="AF472" i="1" s="1"/>
  <c r="AG472" i="1"/>
  <c r="AH472" i="1"/>
  <c r="AI472" i="1"/>
  <c r="AJ472" i="1"/>
  <c r="AB473" i="1"/>
  <c r="AE473" i="1" s="1"/>
  <c r="AF473" i="1" s="1"/>
  <c r="AH473" i="1" s="1"/>
  <c r="AC473" i="1"/>
  <c r="AG473" i="1"/>
  <c r="AI473" i="1"/>
  <c r="AJ473" i="1"/>
  <c r="AB474" i="1"/>
  <c r="AC474" i="1"/>
  <c r="AG474" i="1"/>
  <c r="AI474" i="1"/>
  <c r="AJ474" i="1"/>
  <c r="AB475" i="1"/>
  <c r="AC475" i="1"/>
  <c r="AD475" i="1" s="1"/>
  <c r="AE475" i="1"/>
  <c r="AF475" i="1" s="1"/>
  <c r="AG475" i="1"/>
  <c r="AH475" i="1"/>
  <c r="AI475" i="1"/>
  <c r="AJ475" i="1"/>
  <c r="AB476" i="1"/>
  <c r="AC476" i="1"/>
  <c r="AG476" i="1"/>
  <c r="AI476" i="1"/>
  <c r="AJ476" i="1"/>
  <c r="AB477" i="1"/>
  <c r="AC477" i="1"/>
  <c r="AE477" i="1"/>
  <c r="AF477" i="1" s="1"/>
  <c r="AH477" i="1" s="1"/>
  <c r="AG477" i="1"/>
  <c r="AI477" i="1"/>
  <c r="AJ477" i="1"/>
  <c r="AB478" i="1"/>
  <c r="AC478" i="1"/>
  <c r="AG478" i="1"/>
  <c r="AI478" i="1"/>
  <c r="AJ478" i="1"/>
  <c r="AB479" i="1"/>
  <c r="AE479" i="1" s="1"/>
  <c r="AF479" i="1" s="1"/>
  <c r="AH479" i="1" s="1"/>
  <c r="AC479" i="1"/>
  <c r="AG479" i="1"/>
  <c r="AI479" i="1"/>
  <c r="AJ479" i="1"/>
  <c r="AB480" i="1"/>
  <c r="AE480" i="1" s="1"/>
  <c r="AF480" i="1" s="1"/>
  <c r="AC480" i="1"/>
  <c r="AG480" i="1"/>
  <c r="AI480" i="1"/>
  <c r="AJ480" i="1"/>
  <c r="AB481" i="1"/>
  <c r="AC481" i="1"/>
  <c r="AD481" i="1"/>
  <c r="AE481" i="1"/>
  <c r="AF481" i="1"/>
  <c r="AH481" i="1" s="1"/>
  <c r="AG481" i="1"/>
  <c r="AI481" i="1"/>
  <c r="AJ481" i="1"/>
  <c r="AB482" i="1"/>
  <c r="AD482" i="1" s="1"/>
  <c r="AC482" i="1"/>
  <c r="AG482" i="1"/>
  <c r="AI482" i="1"/>
  <c r="AJ482" i="1"/>
  <c r="AB483" i="1"/>
  <c r="AC483" i="1"/>
  <c r="AE483" i="1"/>
  <c r="AF483" i="1"/>
  <c r="AG483" i="1"/>
  <c r="AH483" i="1" s="1"/>
  <c r="AI483" i="1"/>
  <c r="AJ483" i="1"/>
  <c r="AB484" i="1"/>
  <c r="AD484" i="1" s="1"/>
  <c r="AC484" i="1"/>
  <c r="AG484" i="1"/>
  <c r="AI484" i="1"/>
  <c r="AJ484" i="1"/>
  <c r="AB485" i="1"/>
  <c r="AC485" i="1"/>
  <c r="AD485" i="1"/>
  <c r="AE485" i="1"/>
  <c r="AF485" i="1"/>
  <c r="AG485" i="1"/>
  <c r="AI485" i="1"/>
  <c r="AJ485" i="1"/>
  <c r="AB486" i="1"/>
  <c r="AC486" i="1"/>
  <c r="AD486" i="1"/>
  <c r="AE486" i="1"/>
  <c r="AF486" i="1" s="1"/>
  <c r="AH486" i="1" s="1"/>
  <c r="AG486" i="1"/>
  <c r="AI486" i="1"/>
  <c r="AJ486" i="1"/>
  <c r="AB487" i="1"/>
  <c r="AC487" i="1"/>
  <c r="AD487" i="1" s="1"/>
  <c r="AE487" i="1"/>
  <c r="AF487" i="1" s="1"/>
  <c r="AG487" i="1"/>
  <c r="AI487" i="1"/>
  <c r="AJ487" i="1"/>
  <c r="AB488" i="1"/>
  <c r="AC488" i="1"/>
  <c r="AD488" i="1"/>
  <c r="AE488" i="1"/>
  <c r="AF488" i="1"/>
  <c r="AG488" i="1"/>
  <c r="AI488" i="1"/>
  <c r="AJ488" i="1"/>
  <c r="AB489" i="1"/>
  <c r="AE489" i="1" s="1"/>
  <c r="AF489" i="1" s="1"/>
  <c r="AH489" i="1" s="1"/>
  <c r="AC489" i="1"/>
  <c r="AD489" i="1" s="1"/>
  <c r="AG489" i="1"/>
  <c r="AI489" i="1"/>
  <c r="AJ489" i="1"/>
  <c r="AB490" i="1"/>
  <c r="AC490" i="1"/>
  <c r="AD490" i="1" s="1"/>
  <c r="AE490" i="1"/>
  <c r="AF490" i="1" s="1"/>
  <c r="AH490" i="1" s="1"/>
  <c r="AG490" i="1"/>
  <c r="AI490" i="1"/>
  <c r="AJ490" i="1"/>
  <c r="AB491" i="1"/>
  <c r="AE491" i="1" s="1"/>
  <c r="AF491" i="1" s="1"/>
  <c r="AC491" i="1"/>
  <c r="AD491" i="1" s="1"/>
  <c r="AG491" i="1"/>
  <c r="AH491" i="1"/>
  <c r="AI491" i="1"/>
  <c r="AJ491" i="1"/>
  <c r="AB492" i="1"/>
  <c r="AC492" i="1"/>
  <c r="AD492" i="1" s="1"/>
  <c r="AE492" i="1"/>
  <c r="AF492" i="1" s="1"/>
  <c r="AH492" i="1" s="1"/>
  <c r="AG492" i="1"/>
  <c r="AI492" i="1"/>
  <c r="AJ492" i="1"/>
  <c r="AB493" i="1"/>
  <c r="AC493" i="1"/>
  <c r="AD493" i="1" s="1"/>
  <c r="AE493" i="1"/>
  <c r="AF493" i="1"/>
  <c r="AG493" i="1"/>
  <c r="AI493" i="1"/>
  <c r="AJ493" i="1"/>
  <c r="AB494" i="1"/>
  <c r="AC494" i="1"/>
  <c r="AG494" i="1"/>
  <c r="AI494" i="1"/>
  <c r="AJ494" i="1"/>
  <c r="AB495" i="1"/>
  <c r="AC495" i="1"/>
  <c r="AD495" i="1"/>
  <c r="AE495" i="1"/>
  <c r="AF495" i="1" s="1"/>
  <c r="AH495" i="1" s="1"/>
  <c r="AG495" i="1"/>
  <c r="AI495" i="1"/>
  <c r="AJ495" i="1"/>
  <c r="AB496" i="1"/>
  <c r="AE496" i="1" s="1"/>
  <c r="AF496" i="1" s="1"/>
  <c r="AH496" i="1" s="1"/>
  <c r="AC496" i="1"/>
  <c r="AD496" i="1" s="1"/>
  <c r="AG496" i="1"/>
  <c r="AI496" i="1"/>
  <c r="AJ496" i="1"/>
  <c r="AB497" i="1"/>
  <c r="AC497" i="1"/>
  <c r="AG497" i="1"/>
  <c r="AI497" i="1"/>
  <c r="AJ497" i="1"/>
  <c r="AB498" i="1"/>
  <c r="AC498" i="1"/>
  <c r="AG498" i="1"/>
  <c r="AI498" i="1"/>
  <c r="AJ498" i="1"/>
  <c r="AB499" i="1"/>
  <c r="AE499" i="1" s="1"/>
  <c r="AF499" i="1" s="1"/>
  <c r="AH499" i="1" s="1"/>
  <c r="AC499" i="1"/>
  <c r="AD499" i="1" s="1"/>
  <c r="AG499" i="1"/>
  <c r="AI499" i="1"/>
  <c r="AJ499" i="1"/>
  <c r="AB500" i="1"/>
  <c r="AC500" i="1"/>
  <c r="AG500" i="1"/>
  <c r="AI500" i="1"/>
  <c r="AJ500" i="1"/>
  <c r="AB501" i="1"/>
  <c r="AC501" i="1"/>
  <c r="AG501" i="1"/>
  <c r="AI501" i="1"/>
  <c r="AJ501" i="1"/>
  <c r="AB502" i="1"/>
  <c r="AC502" i="1"/>
  <c r="AD502" i="1"/>
  <c r="AE502" i="1"/>
  <c r="AF502" i="1"/>
  <c r="AG502" i="1"/>
  <c r="AH502" i="1"/>
  <c r="AI502" i="1"/>
  <c r="AJ502" i="1"/>
  <c r="AB503" i="1"/>
  <c r="AC503" i="1"/>
  <c r="AG503" i="1"/>
  <c r="AI503" i="1"/>
  <c r="AJ503" i="1"/>
  <c r="AB504" i="1"/>
  <c r="AC504" i="1"/>
  <c r="AE504" i="1"/>
  <c r="AF504" i="1" s="1"/>
  <c r="AG504" i="1"/>
  <c r="AI504" i="1"/>
  <c r="AJ504" i="1"/>
  <c r="AB505" i="1"/>
  <c r="AE505" i="1" s="1"/>
  <c r="AF505" i="1" s="1"/>
  <c r="AH505" i="1" s="1"/>
  <c r="AC505" i="1"/>
  <c r="AG505" i="1"/>
  <c r="AI505" i="1"/>
  <c r="AJ505" i="1"/>
  <c r="AB506" i="1"/>
  <c r="AC506" i="1"/>
  <c r="AD506" i="1" s="1"/>
  <c r="AE506" i="1"/>
  <c r="AF506" i="1" s="1"/>
  <c r="AH506" i="1" s="1"/>
  <c r="AG506" i="1"/>
  <c r="AI506" i="1"/>
  <c r="AJ506" i="1"/>
  <c r="AB507" i="1"/>
  <c r="AC507" i="1"/>
  <c r="AD507" i="1" s="1"/>
  <c r="AE507" i="1"/>
  <c r="AF507" i="1" s="1"/>
  <c r="AG507" i="1"/>
  <c r="AI507" i="1"/>
  <c r="AJ507" i="1"/>
  <c r="AB508" i="1"/>
  <c r="AE508" i="1" s="1"/>
  <c r="AF508" i="1" s="1"/>
  <c r="AH508" i="1" s="1"/>
  <c r="AC508" i="1"/>
  <c r="AD508" i="1" s="1"/>
  <c r="AG508" i="1"/>
  <c r="AI508" i="1"/>
  <c r="AJ508" i="1"/>
  <c r="AB509" i="1"/>
  <c r="AC509" i="1"/>
  <c r="AD509" i="1" s="1"/>
  <c r="AE509" i="1"/>
  <c r="AF509" i="1" s="1"/>
  <c r="AH509" i="1" s="1"/>
  <c r="AG509" i="1"/>
  <c r="AI509" i="1"/>
  <c r="AJ509" i="1"/>
  <c r="AB510" i="1"/>
  <c r="AC510" i="1"/>
  <c r="AD510" i="1" s="1"/>
  <c r="AE510" i="1"/>
  <c r="AF510" i="1" s="1"/>
  <c r="AH510" i="1" s="1"/>
  <c r="AG510" i="1"/>
  <c r="AI510" i="1"/>
  <c r="AJ510" i="1"/>
  <c r="AB511" i="1"/>
  <c r="AC511" i="1"/>
  <c r="AD511" i="1"/>
  <c r="AE511" i="1"/>
  <c r="AF511" i="1" s="1"/>
  <c r="AH511" i="1" s="1"/>
  <c r="AG511" i="1"/>
  <c r="AI511" i="1"/>
  <c r="AJ511" i="1"/>
  <c r="AB512" i="1"/>
  <c r="AE512" i="1" s="1"/>
  <c r="AF512" i="1" s="1"/>
  <c r="AC512" i="1"/>
  <c r="AD512" i="1" s="1"/>
  <c r="AG512" i="1"/>
  <c r="AI512" i="1"/>
  <c r="AJ512" i="1"/>
  <c r="AB513" i="1"/>
  <c r="AE513" i="1" s="1"/>
  <c r="AF513" i="1" s="1"/>
  <c r="AH513" i="1" s="1"/>
  <c r="AC513" i="1"/>
  <c r="AG513" i="1"/>
  <c r="AI513" i="1"/>
  <c r="AJ513" i="1"/>
  <c r="AB514" i="1"/>
  <c r="AE514" i="1" s="1"/>
  <c r="AF514" i="1" s="1"/>
  <c r="AC514" i="1"/>
  <c r="AG514" i="1"/>
  <c r="AI514" i="1"/>
  <c r="AJ514" i="1"/>
  <c r="AB515" i="1"/>
  <c r="AE515" i="1" s="1"/>
  <c r="AF515" i="1" s="1"/>
  <c r="AC515" i="1"/>
  <c r="AD515" i="1" s="1"/>
  <c r="AG515" i="1"/>
  <c r="AI515" i="1"/>
  <c r="AJ515" i="1"/>
  <c r="AB516" i="1"/>
  <c r="AC516" i="1"/>
  <c r="AG516" i="1"/>
  <c r="AI516" i="1"/>
  <c r="AJ516" i="1"/>
  <c r="AB517" i="1"/>
  <c r="AE517" i="1" s="1"/>
  <c r="AF517" i="1" s="1"/>
  <c r="AC517" i="1"/>
  <c r="AD517" i="1"/>
  <c r="AG517" i="1"/>
  <c r="AI517" i="1"/>
  <c r="AJ517" i="1"/>
  <c r="AB518" i="1"/>
  <c r="AE518" i="1" s="1"/>
  <c r="AF518" i="1" s="1"/>
  <c r="AH518" i="1" s="1"/>
  <c r="AC518" i="1"/>
  <c r="AD518" i="1"/>
  <c r="AG518" i="1"/>
  <c r="AI518" i="1"/>
  <c r="AJ518" i="1"/>
  <c r="AB519" i="1"/>
  <c r="AE519" i="1" s="1"/>
  <c r="AF519" i="1" s="1"/>
  <c r="AH519" i="1" s="1"/>
  <c r="AC519" i="1"/>
  <c r="AG519" i="1"/>
  <c r="AI519" i="1"/>
  <c r="AJ519" i="1"/>
  <c r="AB520" i="1"/>
  <c r="AC520" i="1"/>
  <c r="AD520" i="1"/>
  <c r="AE520" i="1"/>
  <c r="AF520" i="1" s="1"/>
  <c r="AG520" i="1"/>
  <c r="AH520" i="1"/>
  <c r="AI520" i="1"/>
  <c r="AJ520" i="1"/>
  <c r="AB521" i="1"/>
  <c r="AE521" i="1" s="1"/>
  <c r="AF521" i="1" s="1"/>
  <c r="AH521" i="1" s="1"/>
  <c r="AC521" i="1"/>
  <c r="AG521" i="1"/>
  <c r="AI521" i="1"/>
  <c r="AJ521" i="1"/>
  <c r="AB522" i="1"/>
  <c r="AC522" i="1"/>
  <c r="AD522" i="1"/>
  <c r="AE522" i="1"/>
  <c r="AF522" i="1"/>
  <c r="AG522" i="1"/>
  <c r="AI522" i="1"/>
  <c r="AJ522" i="1"/>
  <c r="AB523" i="1"/>
  <c r="AE523" i="1" s="1"/>
  <c r="AF523" i="1" s="1"/>
  <c r="AH523" i="1" s="1"/>
  <c r="AC523" i="1"/>
  <c r="AG523" i="1"/>
  <c r="AI523" i="1"/>
  <c r="AJ523" i="1"/>
  <c r="AB524" i="1"/>
  <c r="AE524" i="1" s="1"/>
  <c r="AF524" i="1" s="1"/>
  <c r="AH524" i="1" s="1"/>
  <c r="AC524" i="1"/>
  <c r="AD524" i="1" s="1"/>
  <c r="AG524" i="1"/>
  <c r="AI524" i="1"/>
  <c r="AJ524" i="1"/>
  <c r="AB525" i="1"/>
  <c r="AC525" i="1"/>
  <c r="AD525" i="1" s="1"/>
  <c r="AE525" i="1"/>
  <c r="AF525" i="1" s="1"/>
  <c r="AG525" i="1"/>
  <c r="AI525" i="1"/>
  <c r="AJ525" i="1"/>
  <c r="AB526" i="1"/>
  <c r="AE526" i="1" s="1"/>
  <c r="AF526" i="1" s="1"/>
  <c r="AH526" i="1" s="1"/>
  <c r="AC526" i="1"/>
  <c r="AG526" i="1"/>
  <c r="AI526" i="1"/>
  <c r="AJ526" i="1"/>
  <c r="AB527" i="1"/>
  <c r="AC527" i="1"/>
  <c r="AD527" i="1" s="1"/>
  <c r="AE527" i="1"/>
  <c r="AF527" i="1"/>
  <c r="AG527" i="1"/>
  <c r="AI527" i="1"/>
  <c r="AJ527" i="1"/>
  <c r="AB528" i="1"/>
  <c r="AE528" i="1" s="1"/>
  <c r="AC528" i="1"/>
  <c r="AD528" i="1" s="1"/>
  <c r="AF528" i="1"/>
  <c r="AG528" i="1"/>
  <c r="AI528" i="1"/>
  <c r="AJ528" i="1"/>
  <c r="AB529" i="1"/>
  <c r="AE529" i="1" s="1"/>
  <c r="AF529" i="1" s="1"/>
  <c r="AC529" i="1"/>
  <c r="AD529" i="1" s="1"/>
  <c r="AG529" i="1"/>
  <c r="AI529" i="1"/>
  <c r="AJ529" i="1"/>
  <c r="AB530" i="1"/>
  <c r="AC530" i="1"/>
  <c r="AG530" i="1"/>
  <c r="AI530" i="1"/>
  <c r="AJ530" i="1"/>
  <c r="AB531" i="1"/>
  <c r="AE531" i="1" s="1"/>
  <c r="AF531" i="1" s="1"/>
  <c r="AC531" i="1"/>
  <c r="AD531" i="1" s="1"/>
  <c r="AG531" i="1"/>
  <c r="AI531" i="1"/>
  <c r="AJ531" i="1"/>
  <c r="AB532" i="1"/>
  <c r="AC532" i="1"/>
  <c r="AG532" i="1"/>
  <c r="AI532" i="1"/>
  <c r="AJ532" i="1"/>
  <c r="AB533" i="1"/>
  <c r="AE533" i="1" s="1"/>
  <c r="AF533" i="1" s="1"/>
  <c r="AC533" i="1"/>
  <c r="AG533" i="1"/>
  <c r="AI533" i="1"/>
  <c r="AJ533" i="1"/>
  <c r="AB534" i="1"/>
  <c r="AC534" i="1"/>
  <c r="AD534" i="1"/>
  <c r="AE534" i="1"/>
  <c r="AF534" i="1"/>
  <c r="AH534" i="1" s="1"/>
  <c r="AG534" i="1"/>
  <c r="AI534" i="1"/>
  <c r="AJ534" i="1"/>
  <c r="AB535" i="1"/>
  <c r="AC535" i="1"/>
  <c r="AG535" i="1"/>
  <c r="AI535" i="1"/>
  <c r="AJ535" i="1"/>
  <c r="AB536" i="1"/>
  <c r="AE536" i="1" s="1"/>
  <c r="AF536" i="1" s="1"/>
  <c r="AH536" i="1" s="1"/>
  <c r="AC536" i="1"/>
  <c r="AD536" i="1" s="1"/>
  <c r="AG536" i="1"/>
  <c r="AI536" i="1"/>
  <c r="AJ536" i="1"/>
  <c r="AB537" i="1"/>
  <c r="AE537" i="1" s="1"/>
  <c r="AF537" i="1" s="1"/>
  <c r="AH537" i="1" s="1"/>
  <c r="AC537" i="1"/>
  <c r="AG537" i="1"/>
  <c r="AI537" i="1"/>
  <c r="AJ537" i="1"/>
  <c r="AB538" i="1"/>
  <c r="AC538" i="1"/>
  <c r="AD538" i="1" s="1"/>
  <c r="AE538" i="1"/>
  <c r="AF538" i="1" s="1"/>
  <c r="AG538" i="1"/>
  <c r="AH538" i="1"/>
  <c r="AI538" i="1"/>
  <c r="AJ538" i="1"/>
  <c r="AB539" i="1"/>
  <c r="AC539" i="1"/>
  <c r="AD539" i="1" s="1"/>
  <c r="AE539" i="1"/>
  <c r="AF539" i="1" s="1"/>
  <c r="AH539" i="1" s="1"/>
  <c r="AG539" i="1"/>
  <c r="AI539" i="1"/>
  <c r="AJ539" i="1"/>
  <c r="AB540" i="1"/>
  <c r="AC540" i="1"/>
  <c r="AG540" i="1"/>
  <c r="AI540" i="1"/>
  <c r="AJ540" i="1"/>
  <c r="AB541" i="1"/>
  <c r="AE541" i="1" s="1"/>
  <c r="AF541" i="1" s="1"/>
  <c r="AH541" i="1" s="1"/>
  <c r="AC541" i="1"/>
  <c r="AD541" i="1" s="1"/>
  <c r="AG541" i="1"/>
  <c r="AI541" i="1"/>
  <c r="AJ541" i="1"/>
  <c r="AB542" i="1"/>
  <c r="AC542" i="1"/>
  <c r="AG542" i="1"/>
  <c r="AI542" i="1"/>
  <c r="AJ542" i="1"/>
  <c r="AB543" i="1"/>
  <c r="AC543" i="1"/>
  <c r="AD543" i="1"/>
  <c r="AE543" i="1"/>
  <c r="AF543" i="1"/>
  <c r="AH543" i="1" s="1"/>
  <c r="AG543" i="1"/>
  <c r="AI543" i="1"/>
  <c r="AJ543" i="1"/>
  <c r="AB544" i="1"/>
  <c r="AE544" i="1" s="1"/>
  <c r="AC544" i="1"/>
  <c r="AF544" i="1"/>
  <c r="AH544" i="1" s="1"/>
  <c r="AG544" i="1"/>
  <c r="AI544" i="1"/>
  <c r="AJ544" i="1"/>
  <c r="AB545" i="1"/>
  <c r="AC545" i="1"/>
  <c r="AD545" i="1"/>
  <c r="AE545" i="1"/>
  <c r="AF545" i="1" s="1"/>
  <c r="AG545" i="1"/>
  <c r="AI545" i="1"/>
  <c r="AJ545" i="1"/>
  <c r="AB546" i="1"/>
  <c r="AE546" i="1" s="1"/>
  <c r="AC546" i="1"/>
  <c r="AD546" i="1"/>
  <c r="AF546" i="1"/>
  <c r="AG546" i="1"/>
  <c r="AI546" i="1"/>
  <c r="AJ546" i="1"/>
  <c r="AB547" i="1"/>
  <c r="AD547" i="1" s="1"/>
  <c r="AC547" i="1"/>
  <c r="AG547" i="1"/>
  <c r="AI547" i="1"/>
  <c r="AJ547" i="1"/>
  <c r="AB548" i="1"/>
  <c r="AE548" i="1" s="1"/>
  <c r="AF548" i="1" s="1"/>
  <c r="AH548" i="1" s="1"/>
  <c r="AC548" i="1"/>
  <c r="AG548" i="1"/>
  <c r="AI548" i="1"/>
  <c r="AJ548" i="1"/>
  <c r="AB549" i="1"/>
  <c r="AE549" i="1" s="1"/>
  <c r="AF549" i="1" s="1"/>
  <c r="AH549" i="1" s="1"/>
  <c r="AC549" i="1"/>
  <c r="AG549" i="1"/>
  <c r="AI549" i="1"/>
  <c r="AJ549" i="1"/>
  <c r="AB550" i="1"/>
  <c r="AC550" i="1"/>
  <c r="AG550" i="1"/>
  <c r="AI550" i="1"/>
  <c r="AJ550" i="1"/>
  <c r="AB551" i="1"/>
  <c r="AE551" i="1" s="1"/>
  <c r="AF551" i="1" s="1"/>
  <c r="AC551" i="1"/>
  <c r="AG551" i="1"/>
  <c r="AI551" i="1"/>
  <c r="AJ551" i="1"/>
  <c r="AB552" i="1"/>
  <c r="AE552" i="1" s="1"/>
  <c r="AF552" i="1" s="1"/>
  <c r="AH552" i="1" s="1"/>
  <c r="AC552" i="1"/>
  <c r="AD552" i="1" s="1"/>
  <c r="AG552" i="1"/>
  <c r="AI552" i="1"/>
  <c r="AJ552" i="1"/>
  <c r="AB553" i="1"/>
  <c r="AC553" i="1"/>
  <c r="AE553" i="1"/>
  <c r="AF553" i="1" s="1"/>
  <c r="AG553" i="1"/>
  <c r="AI553" i="1"/>
  <c r="AJ553" i="1"/>
  <c r="AB554" i="1"/>
  <c r="AC554" i="1"/>
  <c r="AD554" i="1" s="1"/>
  <c r="AE554" i="1"/>
  <c r="AF554" i="1" s="1"/>
  <c r="AH554" i="1" s="1"/>
  <c r="AG554" i="1"/>
  <c r="AI554" i="1"/>
  <c r="AJ554" i="1"/>
  <c r="AB555" i="1"/>
  <c r="AE555" i="1" s="1"/>
  <c r="AF555" i="1" s="1"/>
  <c r="AC555" i="1"/>
  <c r="AG555" i="1"/>
  <c r="AI555" i="1"/>
  <c r="AJ555" i="1"/>
  <c r="AB556" i="1"/>
  <c r="AE556" i="1" s="1"/>
  <c r="AF556" i="1" s="1"/>
  <c r="AH556" i="1" s="1"/>
  <c r="AC556" i="1"/>
  <c r="AG556" i="1"/>
  <c r="AI556" i="1"/>
  <c r="AJ556" i="1"/>
  <c r="AB557" i="1"/>
  <c r="AC557" i="1"/>
  <c r="AD557" i="1" s="1"/>
  <c r="AE557" i="1"/>
  <c r="AF557" i="1" s="1"/>
  <c r="AH557" i="1" s="1"/>
  <c r="AG557" i="1"/>
  <c r="AI557" i="1"/>
  <c r="AJ557" i="1"/>
  <c r="AB558" i="1"/>
  <c r="AE558" i="1" s="1"/>
  <c r="AF558" i="1" s="1"/>
  <c r="AH558" i="1" s="1"/>
  <c r="AC558" i="1"/>
  <c r="AD558" i="1"/>
  <c r="AG558" i="1"/>
  <c r="AI558" i="1"/>
  <c r="AJ558" i="1"/>
  <c r="AB559" i="1"/>
  <c r="AC559" i="1"/>
  <c r="AD559" i="1"/>
  <c r="AE559" i="1"/>
  <c r="AF559" i="1" s="1"/>
  <c r="AH559" i="1" s="1"/>
  <c r="AG559" i="1"/>
  <c r="AI559" i="1"/>
  <c r="AJ559" i="1"/>
  <c r="AB560" i="1"/>
  <c r="AE560" i="1" s="1"/>
  <c r="AF560" i="1" s="1"/>
  <c r="AC560" i="1"/>
  <c r="AG560" i="1"/>
  <c r="AI560" i="1"/>
  <c r="AJ560" i="1"/>
  <c r="AB561" i="1"/>
  <c r="AC561" i="1"/>
  <c r="AE561" i="1"/>
  <c r="AF561" i="1" s="1"/>
  <c r="AH561" i="1" s="1"/>
  <c r="AG561" i="1"/>
  <c r="AI561" i="1"/>
  <c r="AJ561" i="1"/>
  <c r="AB562" i="1"/>
  <c r="AE562" i="1" s="1"/>
  <c r="AF562" i="1" s="1"/>
  <c r="AH562" i="1" s="1"/>
  <c r="AC562" i="1"/>
  <c r="AG562" i="1"/>
  <c r="AI562" i="1"/>
  <c r="AJ562" i="1"/>
  <c r="AB563" i="1"/>
  <c r="AE563" i="1" s="1"/>
  <c r="AF563" i="1" s="1"/>
  <c r="AC563" i="1"/>
  <c r="AD563" i="1" s="1"/>
  <c r="AG563" i="1"/>
  <c r="AI563" i="1"/>
  <c r="AJ563" i="1"/>
  <c r="AB564" i="1"/>
  <c r="AC564" i="1"/>
  <c r="AG564" i="1"/>
  <c r="AI564" i="1"/>
  <c r="AJ564" i="1"/>
  <c r="AB565" i="1"/>
  <c r="AE565" i="1" s="1"/>
  <c r="AF565" i="1" s="1"/>
  <c r="AH565" i="1" s="1"/>
  <c r="AC565" i="1"/>
  <c r="AD565" i="1" s="1"/>
  <c r="AG565" i="1"/>
  <c r="AI565" i="1"/>
  <c r="AJ565" i="1"/>
  <c r="AB566" i="1"/>
  <c r="AC566" i="1"/>
  <c r="AG566" i="1"/>
  <c r="AI566" i="1"/>
  <c r="AJ566" i="1"/>
  <c r="AB567" i="1"/>
  <c r="AC567" i="1"/>
  <c r="AD567" i="1" s="1"/>
  <c r="AE567" i="1"/>
  <c r="AF567" i="1" s="1"/>
  <c r="AG567" i="1"/>
  <c r="AI567" i="1"/>
  <c r="AJ567" i="1"/>
  <c r="AB568" i="1"/>
  <c r="AE568" i="1" s="1"/>
  <c r="AF568" i="1" s="1"/>
  <c r="AH568" i="1" s="1"/>
  <c r="AC568" i="1"/>
  <c r="AD568" i="1" s="1"/>
  <c r="AG568" i="1"/>
  <c r="AI568" i="1"/>
  <c r="AJ568" i="1"/>
  <c r="AB569" i="1"/>
  <c r="AE569" i="1" s="1"/>
  <c r="AF569" i="1" s="1"/>
  <c r="AC569" i="1"/>
  <c r="AG569" i="1"/>
  <c r="AI569" i="1"/>
  <c r="AJ569" i="1"/>
  <c r="AB570" i="1"/>
  <c r="AE570" i="1" s="1"/>
  <c r="AF570" i="1" s="1"/>
  <c r="AH570" i="1" s="1"/>
  <c r="AC570" i="1"/>
  <c r="AD570" i="1"/>
  <c r="AG570" i="1"/>
  <c r="AI570" i="1"/>
  <c r="AJ570" i="1"/>
  <c r="AB571" i="1"/>
  <c r="AE571" i="1" s="1"/>
  <c r="AF571" i="1" s="1"/>
  <c r="AH571" i="1" s="1"/>
  <c r="AC571" i="1"/>
  <c r="AD571" i="1" s="1"/>
  <c r="AG571" i="1"/>
  <c r="AI571" i="1"/>
  <c r="AJ571" i="1"/>
  <c r="AB572" i="1"/>
  <c r="AE572" i="1" s="1"/>
  <c r="AF572" i="1" s="1"/>
  <c r="AH572" i="1" s="1"/>
  <c r="AC572" i="1"/>
  <c r="AD572" i="1" s="1"/>
  <c r="AG572" i="1"/>
  <c r="AI572" i="1"/>
  <c r="AJ572" i="1"/>
  <c r="AB573" i="1"/>
  <c r="AE573" i="1" s="1"/>
  <c r="AF573" i="1" s="1"/>
  <c r="AH573" i="1" s="1"/>
  <c r="AC573" i="1"/>
  <c r="AG573" i="1"/>
  <c r="AI573" i="1"/>
  <c r="AJ573" i="1"/>
  <c r="AB574" i="1"/>
  <c r="AE574" i="1" s="1"/>
  <c r="AF574" i="1" s="1"/>
  <c r="AH574" i="1" s="1"/>
  <c r="AC574" i="1"/>
  <c r="AG574" i="1"/>
  <c r="AI574" i="1"/>
  <c r="AJ574" i="1"/>
  <c r="AB575" i="1"/>
  <c r="AE575" i="1" s="1"/>
  <c r="AF575" i="1" s="1"/>
  <c r="AC575" i="1"/>
  <c r="AD575" i="1" s="1"/>
  <c r="AG575" i="1"/>
  <c r="AH575" i="1"/>
  <c r="AI575" i="1"/>
  <c r="AJ575" i="1"/>
  <c r="AB576" i="1"/>
  <c r="AE576" i="1" s="1"/>
  <c r="AC576" i="1"/>
  <c r="AD576" i="1" s="1"/>
  <c r="AF576" i="1"/>
  <c r="AG576" i="1"/>
  <c r="AH576" i="1"/>
  <c r="AI576" i="1"/>
  <c r="AJ576" i="1"/>
  <c r="AB577" i="1"/>
  <c r="AE577" i="1" s="1"/>
  <c r="AF577" i="1" s="1"/>
  <c r="AH577" i="1" s="1"/>
  <c r="AC577" i="1"/>
  <c r="AG577" i="1"/>
  <c r="AI577" i="1"/>
  <c r="AJ577" i="1"/>
  <c r="AB578" i="1"/>
  <c r="AE578" i="1" s="1"/>
  <c r="AF578" i="1" s="1"/>
  <c r="AH578" i="1" s="1"/>
  <c r="AC578" i="1"/>
  <c r="AD578" i="1"/>
  <c r="AG578" i="1"/>
  <c r="AI578" i="1"/>
  <c r="AJ578" i="1"/>
  <c r="AB579" i="1"/>
  <c r="AC579" i="1"/>
  <c r="AD579" i="1"/>
  <c r="AE579" i="1"/>
  <c r="AF579" i="1" s="1"/>
  <c r="AG579" i="1"/>
  <c r="AI579" i="1"/>
  <c r="AJ579" i="1"/>
  <c r="AB580" i="1"/>
  <c r="AE580" i="1" s="1"/>
  <c r="AF580" i="1" s="1"/>
  <c r="AH580" i="1" s="1"/>
  <c r="AC580" i="1"/>
  <c r="AD580" i="1"/>
  <c r="AG580" i="1"/>
  <c r="AI580" i="1"/>
  <c r="AJ580" i="1"/>
  <c r="AB581" i="1"/>
  <c r="AC581" i="1"/>
  <c r="AD581" i="1"/>
  <c r="AE581" i="1"/>
  <c r="AF581" i="1" s="1"/>
  <c r="AH581" i="1" s="1"/>
  <c r="AG581" i="1"/>
  <c r="AI581" i="1"/>
  <c r="AJ581" i="1"/>
  <c r="AB582" i="1"/>
  <c r="AC582" i="1"/>
  <c r="AG582" i="1"/>
  <c r="AI582" i="1"/>
  <c r="AJ582" i="1"/>
  <c r="AB583" i="1"/>
  <c r="AE583" i="1" s="1"/>
  <c r="AF583" i="1" s="1"/>
  <c r="AH583" i="1" s="1"/>
  <c r="AC583" i="1"/>
  <c r="AG583" i="1"/>
  <c r="AI583" i="1"/>
  <c r="AJ583" i="1"/>
  <c r="AB584" i="1"/>
  <c r="AC584" i="1"/>
  <c r="AD584" i="1" s="1"/>
  <c r="AE584" i="1"/>
  <c r="AF584" i="1"/>
  <c r="AG584" i="1"/>
  <c r="AH584" i="1"/>
  <c r="AI584" i="1"/>
  <c r="AJ584" i="1"/>
  <c r="AB585" i="1"/>
  <c r="AE585" i="1" s="1"/>
  <c r="AF585" i="1" s="1"/>
  <c r="AH585" i="1" s="1"/>
  <c r="AC585" i="1"/>
  <c r="AG585" i="1"/>
  <c r="AI585" i="1"/>
  <c r="AJ585" i="1"/>
  <c r="AB586" i="1"/>
  <c r="AE586" i="1" s="1"/>
  <c r="AF586" i="1" s="1"/>
  <c r="AH586" i="1" s="1"/>
  <c r="AC586" i="1"/>
  <c r="AG586" i="1"/>
  <c r="AI586" i="1"/>
  <c r="AJ586" i="1"/>
  <c r="AB587" i="1"/>
  <c r="AE587" i="1" s="1"/>
  <c r="AF587" i="1" s="1"/>
  <c r="AC587" i="1"/>
  <c r="AD587" i="1" s="1"/>
  <c r="AG587" i="1"/>
  <c r="AI587" i="1"/>
  <c r="AJ587" i="1"/>
  <c r="AB588" i="1"/>
  <c r="AE588" i="1" s="1"/>
  <c r="AF588" i="1" s="1"/>
  <c r="AH588" i="1" s="1"/>
  <c r="AC588" i="1"/>
  <c r="AG588" i="1"/>
  <c r="AI588" i="1"/>
  <c r="AJ588" i="1"/>
  <c r="AB589" i="1"/>
  <c r="AE589" i="1" s="1"/>
  <c r="AF589" i="1" s="1"/>
  <c r="AH589" i="1" s="1"/>
  <c r="AC589" i="1"/>
  <c r="AD589" i="1" s="1"/>
  <c r="AG589" i="1"/>
  <c r="AI589" i="1"/>
  <c r="AJ589" i="1"/>
  <c r="AB590" i="1"/>
  <c r="AE590" i="1" s="1"/>
  <c r="AC590" i="1"/>
  <c r="AD590" i="1"/>
  <c r="AF590" i="1"/>
  <c r="AH590" i="1" s="1"/>
  <c r="AG590" i="1"/>
  <c r="AI590" i="1"/>
  <c r="AJ590" i="1"/>
  <c r="AB591" i="1"/>
  <c r="AC591" i="1"/>
  <c r="AD591" i="1"/>
  <c r="AE591" i="1"/>
  <c r="AF591" i="1"/>
  <c r="AH591" i="1" s="1"/>
  <c r="AG591" i="1"/>
  <c r="AI591" i="1"/>
  <c r="AJ591" i="1"/>
  <c r="AB592" i="1"/>
  <c r="AC592" i="1"/>
  <c r="AD592" i="1"/>
  <c r="AE592" i="1"/>
  <c r="AF592" i="1" s="1"/>
  <c r="AG592" i="1"/>
  <c r="AI592" i="1"/>
  <c r="AJ592" i="1"/>
  <c r="AB593" i="1"/>
  <c r="AC593" i="1"/>
  <c r="AD593" i="1" s="1"/>
  <c r="AE593" i="1"/>
  <c r="AF593" i="1"/>
  <c r="AH593" i="1" s="1"/>
  <c r="AG593" i="1"/>
  <c r="AI593" i="1"/>
  <c r="AJ593" i="1"/>
  <c r="AB594" i="1"/>
  <c r="AE594" i="1" s="1"/>
  <c r="AF594" i="1" s="1"/>
  <c r="AC594" i="1"/>
  <c r="AD594" i="1"/>
  <c r="AG594" i="1"/>
  <c r="AI594" i="1"/>
  <c r="AJ594" i="1"/>
  <c r="AB595" i="1"/>
  <c r="AE595" i="1" s="1"/>
  <c r="AF595" i="1" s="1"/>
  <c r="AH595" i="1" s="1"/>
  <c r="AC595" i="1"/>
  <c r="AD595" i="1" s="1"/>
  <c r="AG595" i="1"/>
  <c r="AI595" i="1"/>
  <c r="AJ595" i="1"/>
  <c r="AB596" i="1"/>
  <c r="AE596" i="1" s="1"/>
  <c r="AF596" i="1" s="1"/>
  <c r="AH596" i="1" s="1"/>
  <c r="AC596" i="1"/>
  <c r="AD596" i="1" s="1"/>
  <c r="AG596" i="1"/>
  <c r="AI596" i="1"/>
  <c r="AJ596" i="1"/>
  <c r="AB597" i="1"/>
  <c r="AC597" i="1"/>
  <c r="AE597" i="1"/>
  <c r="AF597" i="1" s="1"/>
  <c r="AG597" i="1"/>
  <c r="AH597" i="1"/>
  <c r="AI597" i="1"/>
  <c r="AJ597" i="1"/>
  <c r="AB598" i="1"/>
  <c r="AE598" i="1" s="1"/>
  <c r="AF598" i="1" s="1"/>
  <c r="AH598" i="1" s="1"/>
  <c r="AC598" i="1"/>
  <c r="AD598" i="1" s="1"/>
  <c r="AG598" i="1"/>
  <c r="AI598" i="1"/>
  <c r="AJ598" i="1"/>
  <c r="AB599" i="1"/>
  <c r="AE599" i="1" s="1"/>
  <c r="AF599" i="1" s="1"/>
  <c r="AH599" i="1" s="1"/>
  <c r="AC599" i="1"/>
  <c r="AD599" i="1" s="1"/>
  <c r="AG599" i="1"/>
  <c r="AI599" i="1"/>
  <c r="AJ599" i="1"/>
  <c r="AB600" i="1"/>
  <c r="AC600" i="1"/>
  <c r="AD600" i="1" s="1"/>
  <c r="AE600" i="1"/>
  <c r="AF600" i="1" s="1"/>
  <c r="AG600" i="1"/>
  <c r="AI600" i="1"/>
  <c r="AJ600" i="1"/>
  <c r="AB601" i="1"/>
  <c r="AE601" i="1" s="1"/>
  <c r="AF601" i="1" s="1"/>
  <c r="AH601" i="1" s="1"/>
  <c r="AC601" i="1"/>
  <c r="AD601" i="1" s="1"/>
  <c r="AG601" i="1"/>
  <c r="AI601" i="1"/>
  <c r="AJ601" i="1"/>
  <c r="AB602" i="1"/>
  <c r="AE602" i="1" s="1"/>
  <c r="AF602" i="1" s="1"/>
  <c r="AH602" i="1" s="1"/>
  <c r="AC602" i="1"/>
  <c r="AG602" i="1"/>
  <c r="AI602" i="1"/>
  <c r="AJ602" i="1"/>
  <c r="AB603" i="1"/>
  <c r="AC603" i="1"/>
  <c r="AD603" i="1" s="1"/>
  <c r="AE603" i="1"/>
  <c r="AF603" i="1" s="1"/>
  <c r="AH603" i="1" s="1"/>
  <c r="AG603" i="1"/>
  <c r="AI603" i="1"/>
  <c r="AJ603" i="1"/>
  <c r="AB604" i="1"/>
  <c r="AC604" i="1"/>
  <c r="AD604" i="1" s="1"/>
  <c r="AE604" i="1"/>
  <c r="AF604" i="1"/>
  <c r="AH604" i="1" s="1"/>
  <c r="AG604" i="1"/>
  <c r="AI604" i="1"/>
  <c r="AJ604" i="1"/>
  <c r="AB605" i="1"/>
  <c r="AE605" i="1" s="1"/>
  <c r="AF605" i="1" s="1"/>
  <c r="AC605" i="1"/>
  <c r="AD605" i="1"/>
  <c r="AG605" i="1"/>
  <c r="AI605" i="1"/>
  <c r="AJ605" i="1"/>
  <c r="AB606" i="1"/>
  <c r="AE606" i="1" s="1"/>
  <c r="AC606" i="1"/>
  <c r="AD606" i="1" s="1"/>
  <c r="AF606" i="1"/>
  <c r="AH606" i="1" s="1"/>
  <c r="AG606" i="1"/>
  <c r="AI606" i="1"/>
  <c r="AJ606" i="1"/>
  <c r="AB607" i="1"/>
  <c r="AC607" i="1"/>
  <c r="AG607" i="1"/>
  <c r="AI607" i="1"/>
  <c r="AJ607" i="1"/>
  <c r="AB608" i="1"/>
  <c r="AE608" i="1" s="1"/>
  <c r="AF608" i="1" s="1"/>
  <c r="AC608" i="1"/>
  <c r="AD608" i="1" s="1"/>
  <c r="AG608" i="1"/>
  <c r="AH608" i="1"/>
  <c r="AI608" i="1"/>
  <c r="AJ608" i="1"/>
  <c r="AB609" i="1"/>
  <c r="AC609" i="1"/>
  <c r="AG609" i="1"/>
  <c r="AI609" i="1"/>
  <c r="AJ609" i="1"/>
  <c r="AB610" i="1"/>
  <c r="AE610" i="1" s="1"/>
  <c r="AF610" i="1" s="1"/>
  <c r="AC610" i="1"/>
  <c r="AD610" i="1"/>
  <c r="AG610" i="1"/>
  <c r="AI610" i="1"/>
  <c r="AJ610" i="1"/>
  <c r="AB611" i="1"/>
  <c r="AC611" i="1"/>
  <c r="AD611" i="1"/>
  <c r="AE611" i="1"/>
  <c r="AF611" i="1" s="1"/>
  <c r="AH611" i="1" s="1"/>
  <c r="AG611" i="1"/>
  <c r="AI611" i="1"/>
  <c r="AJ611" i="1"/>
  <c r="AB612" i="1"/>
  <c r="AD612" i="1" s="1"/>
  <c r="AC612" i="1"/>
  <c r="AG612" i="1"/>
  <c r="AI612" i="1"/>
  <c r="AJ612" i="1"/>
  <c r="AB613" i="1"/>
  <c r="AE613" i="1" s="1"/>
  <c r="AF613" i="1" s="1"/>
  <c r="AC613" i="1"/>
  <c r="AG613" i="1"/>
  <c r="AI613" i="1"/>
  <c r="AJ613" i="1"/>
  <c r="AB614" i="1"/>
  <c r="AE614" i="1" s="1"/>
  <c r="AF614" i="1" s="1"/>
  <c r="AC614" i="1"/>
  <c r="AD614" i="1" s="1"/>
  <c r="AG614" i="1"/>
  <c r="AI614" i="1"/>
  <c r="AJ614" i="1"/>
  <c r="AB615" i="1"/>
  <c r="AE615" i="1" s="1"/>
  <c r="AF615" i="1" s="1"/>
  <c r="AC615" i="1"/>
  <c r="AD615" i="1" s="1"/>
  <c r="AG615" i="1"/>
  <c r="AI615" i="1"/>
  <c r="AJ615" i="1"/>
  <c r="AB616" i="1"/>
  <c r="AE616" i="1" s="1"/>
  <c r="AF616" i="1" s="1"/>
  <c r="AC616" i="1"/>
  <c r="AD616" i="1" s="1"/>
  <c r="AG616" i="1"/>
  <c r="AI616" i="1"/>
  <c r="AJ616" i="1"/>
  <c r="AB617" i="1"/>
  <c r="AE617" i="1" s="1"/>
  <c r="AF617" i="1" s="1"/>
  <c r="AH617" i="1" s="1"/>
  <c r="AC617" i="1"/>
  <c r="AD617" i="1"/>
  <c r="AG617" i="1"/>
  <c r="AI617" i="1"/>
  <c r="AJ617" i="1"/>
  <c r="AB618" i="1"/>
  <c r="AC618" i="1"/>
  <c r="AE618" i="1"/>
  <c r="AF618" i="1"/>
  <c r="AG618" i="1"/>
  <c r="AI618" i="1"/>
  <c r="AJ618" i="1"/>
  <c r="AB619" i="1"/>
  <c r="AE619" i="1" s="1"/>
  <c r="AF619" i="1" s="1"/>
  <c r="AC619" i="1"/>
  <c r="AD619" i="1" s="1"/>
  <c r="AG619" i="1"/>
  <c r="AI619" i="1"/>
  <c r="AJ619" i="1"/>
  <c r="AB620" i="1"/>
  <c r="AE620" i="1" s="1"/>
  <c r="AF620" i="1" s="1"/>
  <c r="AH620" i="1" s="1"/>
  <c r="AC620" i="1"/>
  <c r="AD620" i="1" s="1"/>
  <c r="AG620" i="1"/>
  <c r="AI620" i="1"/>
  <c r="AJ620" i="1"/>
  <c r="AB621" i="1"/>
  <c r="AC621" i="1"/>
  <c r="AG621" i="1"/>
  <c r="AI621" i="1"/>
  <c r="AJ621" i="1"/>
  <c r="AB622" i="1"/>
  <c r="AE622" i="1" s="1"/>
  <c r="AF622" i="1" s="1"/>
  <c r="AH622" i="1" s="1"/>
  <c r="AC622" i="1"/>
  <c r="AG622" i="1"/>
  <c r="AI622" i="1"/>
  <c r="AJ622" i="1"/>
  <c r="AB623" i="1"/>
  <c r="AC623" i="1"/>
  <c r="AG623" i="1"/>
  <c r="AI623" i="1"/>
  <c r="AJ623" i="1"/>
  <c r="AB624" i="1"/>
  <c r="AC624" i="1"/>
  <c r="AD624" i="1"/>
  <c r="AE624" i="1"/>
  <c r="AF624" i="1" s="1"/>
  <c r="AH624" i="1" s="1"/>
  <c r="AG624" i="1"/>
  <c r="AI624" i="1"/>
  <c r="AJ624" i="1"/>
  <c r="AB625" i="1"/>
  <c r="AC625" i="1"/>
  <c r="AD625" i="1"/>
  <c r="AE625" i="1"/>
  <c r="AF625" i="1" s="1"/>
  <c r="AH625" i="1" s="1"/>
  <c r="AG625" i="1"/>
  <c r="AI625" i="1"/>
  <c r="AJ625" i="1"/>
  <c r="AB626" i="1"/>
  <c r="AC626" i="1"/>
  <c r="AD626" i="1"/>
  <c r="AE626" i="1"/>
  <c r="AF626" i="1" s="1"/>
  <c r="AG626" i="1"/>
  <c r="AI626" i="1"/>
  <c r="AJ626" i="1"/>
  <c r="AB627" i="1"/>
  <c r="AC627" i="1"/>
  <c r="AG627" i="1"/>
  <c r="AI627" i="1"/>
  <c r="AJ627" i="1"/>
  <c r="AB628" i="1"/>
  <c r="AD628" i="1" s="1"/>
  <c r="AC628" i="1"/>
  <c r="AE628" i="1"/>
  <c r="AF628" i="1" s="1"/>
  <c r="AG628" i="1"/>
  <c r="AI628" i="1"/>
  <c r="AJ628" i="1"/>
  <c r="AB629" i="1"/>
  <c r="AE629" i="1" s="1"/>
  <c r="AF629" i="1" s="1"/>
  <c r="AH629" i="1" s="1"/>
  <c r="AC629" i="1"/>
  <c r="AD629" i="1" s="1"/>
  <c r="AG629" i="1"/>
  <c r="AI629" i="1"/>
  <c r="AJ629" i="1"/>
  <c r="AB630" i="1"/>
  <c r="AE630" i="1" s="1"/>
  <c r="AF630" i="1" s="1"/>
  <c r="AC630" i="1"/>
  <c r="AD630" i="1" s="1"/>
  <c r="AG630" i="1"/>
  <c r="AH630" i="1"/>
  <c r="AI630" i="1"/>
  <c r="AJ630" i="1"/>
  <c r="AB631" i="1"/>
  <c r="AC631" i="1"/>
  <c r="AD631" i="1" s="1"/>
  <c r="AE631" i="1"/>
  <c r="AF631" i="1"/>
  <c r="AG631" i="1"/>
  <c r="AI631" i="1"/>
  <c r="AJ631" i="1"/>
  <c r="AB632" i="1"/>
  <c r="AC632" i="1"/>
  <c r="AD632" i="1" s="1"/>
  <c r="AE632" i="1"/>
  <c r="AF632" i="1" s="1"/>
  <c r="AG632" i="1"/>
  <c r="AI632" i="1"/>
  <c r="AJ632" i="1"/>
  <c r="AB633" i="1"/>
  <c r="AE633" i="1" s="1"/>
  <c r="AF633" i="1" s="1"/>
  <c r="AH633" i="1" s="1"/>
  <c r="AC633" i="1"/>
  <c r="AD633" i="1" s="1"/>
  <c r="AG633" i="1"/>
  <c r="AI633" i="1"/>
  <c r="AJ633" i="1"/>
  <c r="AB634" i="1"/>
  <c r="AE634" i="1" s="1"/>
  <c r="AF634" i="1" s="1"/>
  <c r="AC634" i="1"/>
  <c r="AD634" i="1" s="1"/>
  <c r="AG634" i="1"/>
  <c r="AI634" i="1"/>
  <c r="AJ634" i="1"/>
  <c r="AB635" i="1"/>
  <c r="AE635" i="1" s="1"/>
  <c r="AF635" i="1" s="1"/>
  <c r="AH635" i="1" s="1"/>
  <c r="AC635" i="1"/>
  <c r="AG635" i="1"/>
  <c r="AI635" i="1"/>
  <c r="AJ635" i="1"/>
  <c r="AB636" i="1"/>
  <c r="AE636" i="1" s="1"/>
  <c r="AF636" i="1" s="1"/>
  <c r="AH636" i="1" s="1"/>
  <c r="AC636" i="1"/>
  <c r="AG636" i="1"/>
  <c r="AI636" i="1"/>
  <c r="AJ636" i="1"/>
  <c r="AB637" i="1"/>
  <c r="AC637" i="1"/>
  <c r="AG637" i="1"/>
  <c r="AI637" i="1"/>
  <c r="AJ637" i="1"/>
  <c r="AB638" i="1"/>
  <c r="AE638" i="1" s="1"/>
  <c r="AC638" i="1"/>
  <c r="AD638" i="1" s="1"/>
  <c r="AF638" i="1"/>
  <c r="AG638" i="1"/>
  <c r="AI638" i="1"/>
  <c r="AJ638" i="1"/>
  <c r="AB639" i="1"/>
  <c r="AC639" i="1"/>
  <c r="AG639" i="1"/>
  <c r="AI639" i="1"/>
  <c r="AJ639" i="1"/>
  <c r="AB640" i="1"/>
  <c r="AC640" i="1"/>
  <c r="AD640" i="1"/>
  <c r="AE640" i="1"/>
  <c r="AF640" i="1"/>
  <c r="AG640" i="1"/>
  <c r="AI640" i="1"/>
  <c r="AJ640" i="1"/>
  <c r="AB641" i="1"/>
  <c r="AE641" i="1" s="1"/>
  <c r="AF641" i="1" s="1"/>
  <c r="AH641" i="1" s="1"/>
  <c r="AC641" i="1"/>
  <c r="AD641" i="1" s="1"/>
  <c r="AG641" i="1"/>
  <c r="AI641" i="1"/>
  <c r="AJ641" i="1"/>
  <c r="AB642" i="1"/>
  <c r="AC642" i="1"/>
  <c r="AG642" i="1"/>
  <c r="AI642" i="1"/>
  <c r="AJ642" i="1"/>
  <c r="AB643" i="1"/>
  <c r="AC643" i="1"/>
  <c r="AG643" i="1"/>
  <c r="AI643" i="1"/>
  <c r="AJ643" i="1"/>
  <c r="AB644" i="1"/>
  <c r="AC644" i="1"/>
  <c r="AD644" i="1" s="1"/>
  <c r="AE644" i="1"/>
  <c r="AF644" i="1" s="1"/>
  <c r="AG644" i="1"/>
  <c r="AI644" i="1"/>
  <c r="AJ644" i="1"/>
  <c r="AB645" i="1"/>
  <c r="AE645" i="1" s="1"/>
  <c r="AF645" i="1" s="1"/>
  <c r="AH645" i="1" s="1"/>
  <c r="AC645" i="1"/>
  <c r="AG645" i="1"/>
  <c r="AI645" i="1"/>
  <c r="AJ645" i="1"/>
  <c r="AB646" i="1"/>
  <c r="AE646" i="1" s="1"/>
  <c r="AF646" i="1" s="1"/>
  <c r="AH646" i="1" s="1"/>
  <c r="AC646" i="1"/>
  <c r="AD646" i="1" s="1"/>
  <c r="AG646" i="1"/>
  <c r="AI646" i="1"/>
  <c r="AJ646" i="1"/>
  <c r="AB647" i="1"/>
  <c r="AC647" i="1"/>
  <c r="AD647" i="1" s="1"/>
  <c r="AE647" i="1"/>
  <c r="AF647" i="1"/>
  <c r="AG647" i="1"/>
  <c r="AI647" i="1"/>
  <c r="AJ647" i="1"/>
  <c r="AB648" i="1"/>
  <c r="AC648" i="1"/>
  <c r="AD648" i="1" s="1"/>
  <c r="AE648" i="1"/>
  <c r="AF648" i="1" s="1"/>
  <c r="AG648" i="1"/>
  <c r="AI648" i="1"/>
  <c r="AJ648" i="1"/>
  <c r="AB649" i="1"/>
  <c r="AC649" i="1"/>
  <c r="AE649" i="1"/>
  <c r="AF649" i="1" s="1"/>
  <c r="AH649" i="1" s="1"/>
  <c r="AG649" i="1"/>
  <c r="AI649" i="1"/>
  <c r="AJ649" i="1"/>
  <c r="AB650" i="1"/>
  <c r="AE650" i="1" s="1"/>
  <c r="AF650" i="1" s="1"/>
  <c r="AC650" i="1"/>
  <c r="AD650" i="1" s="1"/>
  <c r="AG650" i="1"/>
  <c r="AI650" i="1"/>
  <c r="AJ650" i="1"/>
  <c r="AB651" i="1"/>
  <c r="AE651" i="1" s="1"/>
  <c r="AF651" i="1" s="1"/>
  <c r="AC651" i="1"/>
  <c r="AD651" i="1" s="1"/>
  <c r="AG651" i="1"/>
  <c r="AI651" i="1"/>
  <c r="AJ651" i="1"/>
  <c r="AB652" i="1"/>
  <c r="AC652" i="1"/>
  <c r="AD652" i="1"/>
  <c r="AE652" i="1"/>
  <c r="AF652" i="1"/>
  <c r="AG652" i="1"/>
  <c r="AH652" i="1"/>
  <c r="AI652" i="1"/>
  <c r="AJ652" i="1"/>
  <c r="AB653" i="1"/>
  <c r="AC653" i="1"/>
  <c r="AG653" i="1"/>
  <c r="AI653" i="1"/>
  <c r="AJ653" i="1"/>
  <c r="AB654" i="1"/>
  <c r="AE654" i="1" s="1"/>
  <c r="AC654" i="1"/>
  <c r="AD654" i="1" s="1"/>
  <c r="AF654" i="1"/>
  <c r="AG654" i="1"/>
  <c r="AI654" i="1"/>
  <c r="AJ654" i="1"/>
  <c r="AB655" i="1"/>
  <c r="AC655" i="1"/>
  <c r="AG655" i="1"/>
  <c r="AI655" i="1"/>
  <c r="AJ655" i="1"/>
  <c r="AB656" i="1"/>
  <c r="AE656" i="1" s="1"/>
  <c r="AF656" i="1" s="1"/>
  <c r="AC656" i="1"/>
  <c r="AD656" i="1" s="1"/>
  <c r="AG656" i="1"/>
  <c r="AH656" i="1"/>
  <c r="AI656" i="1"/>
  <c r="AJ656" i="1"/>
  <c r="AB657" i="1"/>
  <c r="AC657" i="1"/>
  <c r="AD657" i="1"/>
  <c r="AE657" i="1"/>
  <c r="AF657" i="1" s="1"/>
  <c r="AH657" i="1" s="1"/>
  <c r="AG657" i="1"/>
  <c r="AI657" i="1"/>
  <c r="AJ657" i="1"/>
  <c r="AB658" i="1"/>
  <c r="AC658" i="1"/>
  <c r="AE658" i="1"/>
  <c r="AF658" i="1" s="1"/>
  <c r="AG658" i="1"/>
  <c r="AI658" i="1"/>
  <c r="AJ658" i="1"/>
  <c r="AB659" i="1"/>
  <c r="AC659" i="1"/>
  <c r="AG659" i="1"/>
  <c r="AI659" i="1"/>
  <c r="AJ659" i="1"/>
  <c r="AB660" i="1"/>
  <c r="AE660" i="1" s="1"/>
  <c r="AF660" i="1" s="1"/>
  <c r="AH660" i="1" s="1"/>
  <c r="AC660" i="1"/>
  <c r="AG660" i="1"/>
  <c r="AI660" i="1"/>
  <c r="AJ660" i="1"/>
  <c r="AB661" i="1"/>
  <c r="AE661" i="1" s="1"/>
  <c r="AF661" i="1" s="1"/>
  <c r="AC661" i="1"/>
  <c r="AD661" i="1" s="1"/>
  <c r="AG661" i="1"/>
  <c r="AI661" i="1"/>
  <c r="AJ661" i="1"/>
  <c r="AB662" i="1"/>
  <c r="AE662" i="1" s="1"/>
  <c r="AF662" i="1" s="1"/>
  <c r="AH662" i="1" s="1"/>
  <c r="AC662" i="1"/>
  <c r="AG662" i="1"/>
  <c r="AI662" i="1"/>
  <c r="AJ662" i="1"/>
  <c r="AB663" i="1"/>
  <c r="AE663" i="1" s="1"/>
  <c r="AF663" i="1" s="1"/>
  <c r="AH663" i="1" s="1"/>
  <c r="AC663" i="1"/>
  <c r="AD663" i="1" s="1"/>
  <c r="AG663" i="1"/>
  <c r="AI663" i="1"/>
  <c r="AJ663" i="1"/>
  <c r="AB664" i="1"/>
  <c r="AC664" i="1"/>
  <c r="AD664" i="1" s="1"/>
  <c r="AE664" i="1"/>
  <c r="AF664" i="1"/>
  <c r="AG664" i="1"/>
  <c r="AI664" i="1"/>
  <c r="AJ664" i="1"/>
  <c r="AB665" i="1"/>
  <c r="AE665" i="1" s="1"/>
  <c r="AF665" i="1" s="1"/>
  <c r="AH665" i="1" s="1"/>
  <c r="AC665" i="1"/>
  <c r="AD665" i="1"/>
  <c r="AG665" i="1"/>
  <c r="AI665" i="1"/>
  <c r="AJ665" i="1"/>
  <c r="AB666" i="1"/>
  <c r="AC666" i="1"/>
  <c r="AD666" i="1"/>
  <c r="AE666" i="1"/>
  <c r="AF666" i="1"/>
  <c r="AG666" i="1"/>
  <c r="AI666" i="1"/>
  <c r="AJ666" i="1"/>
  <c r="AB667" i="1"/>
  <c r="AE667" i="1" s="1"/>
  <c r="AF667" i="1" s="1"/>
  <c r="AH667" i="1" s="1"/>
  <c r="AC667" i="1"/>
  <c r="AG667" i="1"/>
  <c r="AI667" i="1"/>
  <c r="AJ667" i="1"/>
  <c r="AB668" i="1"/>
  <c r="AD668" i="1" s="1"/>
  <c r="AC668" i="1"/>
  <c r="AG668" i="1"/>
  <c r="AI668" i="1"/>
  <c r="AJ668" i="1"/>
  <c r="AB669" i="1"/>
  <c r="AC669" i="1"/>
  <c r="AG669" i="1"/>
  <c r="AI669" i="1"/>
  <c r="AJ669" i="1"/>
  <c r="AB670" i="1"/>
  <c r="AE670" i="1" s="1"/>
  <c r="AF670" i="1" s="1"/>
  <c r="AH670" i="1" s="1"/>
  <c r="AC670" i="1"/>
  <c r="AD670" i="1" s="1"/>
  <c r="AG670" i="1"/>
  <c r="AI670" i="1"/>
  <c r="AJ670" i="1"/>
  <c r="AB671" i="1"/>
  <c r="AC671" i="1"/>
  <c r="AG671" i="1"/>
  <c r="AI671" i="1"/>
  <c r="AJ671" i="1"/>
  <c r="AB672" i="1"/>
  <c r="AC672" i="1"/>
  <c r="AD672" i="1" s="1"/>
  <c r="AE672" i="1"/>
  <c r="AF672" i="1"/>
  <c r="AH672" i="1" s="1"/>
  <c r="AG672" i="1"/>
  <c r="AI672" i="1"/>
  <c r="AJ672" i="1"/>
  <c r="AB673" i="1"/>
  <c r="AC673" i="1"/>
  <c r="AD673" i="1"/>
  <c r="AE673" i="1"/>
  <c r="AF673" i="1"/>
  <c r="AH673" i="1" s="1"/>
  <c r="AG673" i="1"/>
  <c r="AI673" i="1"/>
  <c r="AJ673" i="1"/>
  <c r="AB674" i="1"/>
  <c r="AC674" i="1"/>
  <c r="AG674" i="1"/>
  <c r="AI674" i="1"/>
  <c r="AJ674" i="1"/>
  <c r="AB675" i="1"/>
  <c r="AC675" i="1"/>
  <c r="AG675" i="1"/>
  <c r="AI675" i="1"/>
  <c r="AJ675" i="1"/>
  <c r="AB676" i="1"/>
  <c r="AE676" i="1" s="1"/>
  <c r="AF676" i="1" s="1"/>
  <c r="AH676" i="1" s="1"/>
  <c r="AC676" i="1"/>
  <c r="AD676" i="1" s="1"/>
  <c r="AG676" i="1"/>
  <c r="AI676" i="1"/>
  <c r="AJ676" i="1"/>
  <c r="AB677" i="1"/>
  <c r="AE677" i="1" s="1"/>
  <c r="AF677" i="1" s="1"/>
  <c r="AH677" i="1" s="1"/>
  <c r="AC677" i="1"/>
  <c r="AG677" i="1"/>
  <c r="AI677" i="1"/>
  <c r="AJ677" i="1"/>
  <c r="AB678" i="1"/>
  <c r="AE678" i="1" s="1"/>
  <c r="AF678" i="1" s="1"/>
  <c r="AC678" i="1"/>
  <c r="AG678" i="1"/>
  <c r="AH678" i="1"/>
  <c r="AI678" i="1"/>
  <c r="AJ678" i="1"/>
  <c r="AB679" i="1"/>
  <c r="AE679" i="1" s="1"/>
  <c r="AC679" i="1"/>
  <c r="AD679" i="1" s="1"/>
  <c r="AF679" i="1"/>
  <c r="AH679" i="1" s="1"/>
  <c r="AG679" i="1"/>
  <c r="AI679" i="1"/>
  <c r="AJ679" i="1"/>
  <c r="AB680" i="1"/>
  <c r="AC680" i="1"/>
  <c r="AD680" i="1" s="1"/>
  <c r="AE680" i="1"/>
  <c r="AF680" i="1" s="1"/>
  <c r="AH680" i="1" s="1"/>
  <c r="AG680" i="1"/>
  <c r="AI680" i="1"/>
  <c r="AJ680" i="1"/>
  <c r="AB681" i="1"/>
  <c r="AC681" i="1"/>
  <c r="AD681" i="1" s="1"/>
  <c r="AE681" i="1"/>
  <c r="AF681" i="1"/>
  <c r="AH681" i="1" s="1"/>
  <c r="AG681" i="1"/>
  <c r="AI681" i="1"/>
  <c r="AJ681" i="1"/>
  <c r="AB682" i="1"/>
  <c r="AC682" i="1"/>
  <c r="AD682" i="1"/>
  <c r="AE682" i="1"/>
  <c r="AF682" i="1" s="1"/>
  <c r="AG682" i="1"/>
  <c r="AI682" i="1"/>
  <c r="AJ682" i="1"/>
  <c r="AB683" i="1"/>
  <c r="AC683" i="1"/>
  <c r="AG683" i="1"/>
  <c r="AI683" i="1"/>
  <c r="AJ683" i="1"/>
  <c r="AB684" i="1"/>
  <c r="AD684" i="1" s="1"/>
  <c r="AC684" i="1"/>
  <c r="AG684" i="1"/>
  <c r="AI684" i="1"/>
  <c r="AJ684" i="1"/>
  <c r="AB685" i="1"/>
  <c r="AE685" i="1" s="1"/>
  <c r="AF685" i="1" s="1"/>
  <c r="AC685" i="1"/>
  <c r="AD685" i="1" s="1"/>
  <c r="AG685" i="1"/>
  <c r="AH685" i="1"/>
  <c r="AI685" i="1"/>
  <c r="AJ685" i="1"/>
  <c r="AB686" i="1"/>
  <c r="AE686" i="1" s="1"/>
  <c r="AF686" i="1" s="1"/>
  <c r="AC686" i="1"/>
  <c r="AD686" i="1" s="1"/>
  <c r="AG686" i="1"/>
  <c r="AI686" i="1"/>
  <c r="AJ686" i="1"/>
  <c r="AB687" i="1"/>
  <c r="AC687" i="1"/>
  <c r="AG687" i="1"/>
  <c r="AI687" i="1"/>
  <c r="AJ687" i="1"/>
  <c r="AB688" i="1"/>
  <c r="AC688" i="1"/>
  <c r="AD688" i="1"/>
  <c r="AE688" i="1"/>
  <c r="AF688" i="1" s="1"/>
  <c r="AH688" i="1" s="1"/>
  <c r="AG688" i="1"/>
  <c r="AI688" i="1"/>
  <c r="AJ688" i="1"/>
  <c r="AB689" i="1"/>
  <c r="AC689" i="1"/>
  <c r="AD689" i="1"/>
  <c r="AE689" i="1"/>
  <c r="AF689" i="1" s="1"/>
  <c r="AH689" i="1" s="1"/>
  <c r="AG689" i="1"/>
  <c r="AI689" i="1"/>
  <c r="AJ689" i="1"/>
  <c r="AB690" i="1"/>
  <c r="AC690" i="1"/>
  <c r="AD690" i="1" s="1"/>
  <c r="AE690" i="1"/>
  <c r="AF690" i="1"/>
  <c r="AG690" i="1"/>
  <c r="AI690" i="1"/>
  <c r="AJ690" i="1"/>
  <c r="AB691" i="1"/>
  <c r="AC691" i="1"/>
  <c r="AD691" i="1"/>
  <c r="AE691" i="1"/>
  <c r="AF691" i="1"/>
  <c r="AG691" i="1"/>
  <c r="AI691" i="1"/>
  <c r="AJ691" i="1"/>
  <c r="AB692" i="1"/>
  <c r="AC692" i="1"/>
  <c r="AD692" i="1" s="1"/>
  <c r="AE692" i="1"/>
  <c r="AF692" i="1" s="1"/>
  <c r="AG692" i="1"/>
  <c r="AI692" i="1"/>
  <c r="AJ692" i="1"/>
  <c r="AB693" i="1"/>
  <c r="AC693" i="1"/>
  <c r="AG693" i="1"/>
  <c r="AI693" i="1"/>
  <c r="AJ693" i="1"/>
  <c r="AB694" i="1"/>
  <c r="AE694" i="1" s="1"/>
  <c r="AF694" i="1" s="1"/>
  <c r="AC694" i="1"/>
  <c r="AG694" i="1"/>
  <c r="AI694" i="1"/>
  <c r="AJ694" i="1"/>
  <c r="AB695" i="1"/>
  <c r="AC695" i="1"/>
  <c r="AE695" i="1"/>
  <c r="AF695" i="1" s="1"/>
  <c r="AH695" i="1" s="1"/>
  <c r="AG695" i="1"/>
  <c r="AI695" i="1"/>
  <c r="AJ695" i="1"/>
  <c r="AB696" i="1"/>
  <c r="AD696" i="1" s="1"/>
  <c r="AC696" i="1"/>
  <c r="AE696" i="1"/>
  <c r="AF696" i="1"/>
  <c r="AG696" i="1"/>
  <c r="AI696" i="1"/>
  <c r="AJ696" i="1"/>
  <c r="AB697" i="1"/>
  <c r="AE697" i="1" s="1"/>
  <c r="AF697" i="1" s="1"/>
  <c r="AH697" i="1" s="1"/>
  <c r="AC697" i="1"/>
  <c r="AD697" i="1" s="1"/>
  <c r="AG697" i="1"/>
  <c r="AI697" i="1"/>
  <c r="AJ697" i="1"/>
  <c r="AB698" i="1"/>
  <c r="AE698" i="1" s="1"/>
  <c r="AF698" i="1" s="1"/>
  <c r="AH698" i="1" s="1"/>
  <c r="AC698" i="1"/>
  <c r="AD698" i="1"/>
  <c r="AG698" i="1"/>
  <c r="AI698" i="1"/>
  <c r="AJ698" i="1"/>
  <c r="AB699" i="1"/>
  <c r="AD699" i="1" s="1"/>
  <c r="AC699" i="1"/>
  <c r="AG699" i="1"/>
  <c r="AI699" i="1"/>
  <c r="AJ699" i="1"/>
  <c r="AB700" i="1"/>
  <c r="AE700" i="1" s="1"/>
  <c r="AF700" i="1" s="1"/>
  <c r="AH700" i="1" s="1"/>
  <c r="AC700" i="1"/>
  <c r="AD700" i="1" s="1"/>
  <c r="AG700" i="1"/>
  <c r="AI700" i="1"/>
  <c r="AJ700" i="1"/>
  <c r="AB701" i="1"/>
  <c r="AE701" i="1" s="1"/>
  <c r="AF701" i="1" s="1"/>
  <c r="AH701" i="1" s="1"/>
  <c r="AC701" i="1"/>
  <c r="AG701" i="1"/>
  <c r="AI701" i="1"/>
  <c r="AJ701" i="1"/>
  <c r="AB702" i="1"/>
  <c r="AE702" i="1" s="1"/>
  <c r="AF702" i="1" s="1"/>
  <c r="AC702" i="1"/>
  <c r="AD702" i="1"/>
  <c r="AG702" i="1"/>
  <c r="AI702" i="1"/>
  <c r="AJ702" i="1"/>
  <c r="AB703" i="1"/>
  <c r="AC703" i="1"/>
  <c r="AG703" i="1"/>
  <c r="AI703" i="1"/>
  <c r="AJ703" i="1"/>
  <c r="AB704" i="1"/>
  <c r="AC704" i="1"/>
  <c r="AG704" i="1"/>
  <c r="AI704" i="1"/>
  <c r="AJ704" i="1"/>
  <c r="AB705" i="1"/>
  <c r="AC705" i="1"/>
  <c r="AD705" i="1"/>
  <c r="AE705" i="1"/>
  <c r="AF705" i="1" s="1"/>
  <c r="AG705" i="1"/>
  <c r="AH705" i="1"/>
  <c r="AI705" i="1"/>
  <c r="AJ705" i="1"/>
  <c r="AB706" i="1"/>
  <c r="AE706" i="1" s="1"/>
  <c r="AF706" i="1" s="1"/>
  <c r="AH706" i="1" s="1"/>
  <c r="AC706" i="1"/>
  <c r="AG706" i="1"/>
  <c r="AI706" i="1"/>
  <c r="AJ706" i="1"/>
  <c r="AB707" i="1"/>
  <c r="AC707" i="1"/>
  <c r="AD707" i="1"/>
  <c r="AE707" i="1"/>
  <c r="AF707" i="1"/>
  <c r="AG707" i="1"/>
  <c r="AH707" i="1"/>
  <c r="AI707" i="1"/>
  <c r="AJ707" i="1"/>
  <c r="AB708" i="1"/>
  <c r="AE708" i="1" s="1"/>
  <c r="AF708" i="1" s="1"/>
  <c r="AH708" i="1" s="1"/>
  <c r="AC708" i="1"/>
  <c r="AD708" i="1" s="1"/>
  <c r="AG708" i="1"/>
  <c r="AI708" i="1"/>
  <c r="AJ708" i="1"/>
  <c r="AB709" i="1"/>
  <c r="AC709" i="1"/>
  <c r="AD709" i="1" s="1"/>
  <c r="AE709" i="1"/>
  <c r="AF709" i="1"/>
  <c r="AG709" i="1"/>
  <c r="AH709" i="1"/>
  <c r="AI709" i="1"/>
  <c r="AJ709" i="1"/>
  <c r="AB710" i="1"/>
  <c r="AE710" i="1" s="1"/>
  <c r="AF710" i="1" s="1"/>
  <c r="AC710" i="1"/>
  <c r="AD710" i="1" s="1"/>
  <c r="AG710" i="1"/>
  <c r="AI710" i="1"/>
  <c r="AJ710" i="1"/>
  <c r="AB711" i="1"/>
  <c r="AE711" i="1" s="1"/>
  <c r="AF711" i="1" s="1"/>
  <c r="AH711" i="1" s="1"/>
  <c r="AC711" i="1"/>
  <c r="AG711" i="1"/>
  <c r="AI711" i="1"/>
  <c r="AJ711" i="1"/>
  <c r="AB712" i="1"/>
  <c r="AC712" i="1"/>
  <c r="AD712" i="1"/>
  <c r="AE712" i="1"/>
  <c r="AF712" i="1" s="1"/>
  <c r="AG712" i="1"/>
  <c r="AI712" i="1"/>
  <c r="AJ712" i="1"/>
  <c r="AB713" i="1"/>
  <c r="AE713" i="1" s="1"/>
  <c r="AF713" i="1" s="1"/>
  <c r="AH713" i="1" s="1"/>
  <c r="AC713" i="1"/>
  <c r="AG713" i="1"/>
  <c r="AI713" i="1"/>
  <c r="AJ713" i="1"/>
  <c r="AB714" i="1"/>
  <c r="AE714" i="1" s="1"/>
  <c r="AF714" i="1" s="1"/>
  <c r="AH714" i="1" s="1"/>
  <c r="AC714" i="1"/>
  <c r="AG714" i="1"/>
  <c r="AI714" i="1"/>
  <c r="AJ714" i="1"/>
  <c r="AB715" i="1"/>
  <c r="AE715" i="1" s="1"/>
  <c r="AF715" i="1" s="1"/>
  <c r="AH715" i="1" s="1"/>
  <c r="AC715" i="1"/>
  <c r="AD715" i="1" s="1"/>
  <c r="AG715" i="1"/>
  <c r="AI715" i="1"/>
  <c r="AJ715" i="1"/>
  <c r="AB716" i="1"/>
  <c r="AE716" i="1" s="1"/>
  <c r="AF716" i="1" s="1"/>
  <c r="AC716" i="1"/>
  <c r="AD716" i="1"/>
  <c r="AG716" i="1"/>
  <c r="AI716" i="1"/>
  <c r="AJ716" i="1"/>
  <c r="AB717" i="1"/>
  <c r="AE717" i="1" s="1"/>
  <c r="AF717" i="1" s="1"/>
  <c r="AC717" i="1"/>
  <c r="AD717" i="1"/>
  <c r="AG717" i="1"/>
  <c r="AI717" i="1"/>
  <c r="AJ717" i="1"/>
  <c r="AB718" i="1"/>
  <c r="AE718" i="1" s="1"/>
  <c r="AF718" i="1" s="1"/>
  <c r="AH718" i="1" s="1"/>
  <c r="AC718" i="1"/>
  <c r="AG718" i="1"/>
  <c r="AI718" i="1"/>
  <c r="AJ718" i="1"/>
  <c r="AB719" i="1"/>
  <c r="AC719" i="1"/>
  <c r="AE719" i="1"/>
  <c r="AF719" i="1" s="1"/>
  <c r="AH719" i="1" s="1"/>
  <c r="AG719" i="1"/>
  <c r="AI719" i="1"/>
  <c r="AJ719" i="1"/>
  <c r="AB720" i="1"/>
  <c r="AE720" i="1" s="1"/>
  <c r="AF720" i="1" s="1"/>
  <c r="AC720" i="1"/>
  <c r="AD720" i="1" s="1"/>
  <c r="AG720" i="1"/>
  <c r="AI720" i="1"/>
  <c r="AJ720" i="1"/>
  <c r="AB721" i="1"/>
  <c r="AC721" i="1"/>
  <c r="AD721" i="1"/>
  <c r="AE721" i="1"/>
  <c r="AF721" i="1"/>
  <c r="AG721" i="1"/>
  <c r="AI721" i="1"/>
  <c r="AJ721" i="1"/>
  <c r="AB722" i="1"/>
  <c r="AD722" i="1" s="1"/>
  <c r="AC722" i="1"/>
  <c r="AE722" i="1"/>
  <c r="AF722" i="1"/>
  <c r="AG722" i="1"/>
  <c r="AI722" i="1"/>
  <c r="AJ722" i="1"/>
  <c r="AB723" i="1"/>
  <c r="AC723" i="1"/>
  <c r="AD723" i="1"/>
  <c r="AE723" i="1"/>
  <c r="AF723" i="1"/>
  <c r="AG723" i="1"/>
  <c r="AI723" i="1"/>
  <c r="AJ723" i="1"/>
  <c r="AB724" i="1"/>
  <c r="AE724" i="1" s="1"/>
  <c r="AF724" i="1" s="1"/>
  <c r="AH724" i="1" s="1"/>
  <c r="AC724" i="1"/>
  <c r="AG724" i="1"/>
  <c r="AI724" i="1"/>
  <c r="AJ724" i="1"/>
  <c r="AB725" i="1"/>
  <c r="AD725" i="1" s="1"/>
  <c r="AC725" i="1"/>
  <c r="AG725" i="1"/>
  <c r="AI725" i="1"/>
  <c r="AJ725" i="1"/>
  <c r="AB726" i="1"/>
  <c r="AE726" i="1" s="1"/>
  <c r="AC726" i="1"/>
  <c r="AF726" i="1"/>
  <c r="AG726" i="1"/>
  <c r="AI726" i="1"/>
  <c r="AJ726" i="1"/>
  <c r="AB727" i="1"/>
  <c r="AC727" i="1"/>
  <c r="AG727" i="1"/>
  <c r="AI727" i="1"/>
  <c r="AJ727" i="1"/>
  <c r="AB728" i="1"/>
  <c r="AC728" i="1"/>
  <c r="AD728" i="1"/>
  <c r="AE728" i="1"/>
  <c r="AF728" i="1"/>
  <c r="AG728" i="1"/>
  <c r="AH728" i="1"/>
  <c r="AI728" i="1"/>
  <c r="AJ728" i="1"/>
  <c r="AB729" i="1"/>
  <c r="AC729" i="1"/>
  <c r="AD729" i="1" s="1"/>
  <c r="AE729" i="1"/>
  <c r="AF729" i="1" s="1"/>
  <c r="AH729" i="1" s="1"/>
  <c r="AG729" i="1"/>
  <c r="AI729" i="1"/>
  <c r="AJ729" i="1"/>
  <c r="AB730" i="1"/>
  <c r="AC730" i="1"/>
  <c r="AD730" i="1"/>
  <c r="AE730" i="1"/>
  <c r="AF730" i="1"/>
  <c r="AG730" i="1"/>
  <c r="AH730" i="1"/>
  <c r="AI730" i="1"/>
  <c r="AJ730" i="1"/>
  <c r="AB731" i="1"/>
  <c r="AE731" i="1" s="1"/>
  <c r="AF731" i="1" s="1"/>
  <c r="AH731" i="1" s="1"/>
  <c r="AC731" i="1"/>
  <c r="AG731" i="1"/>
  <c r="AI731" i="1"/>
  <c r="AJ731" i="1"/>
  <c r="AB732" i="1"/>
  <c r="AC732" i="1"/>
  <c r="AD732" i="1"/>
  <c r="AE732" i="1"/>
  <c r="AF732" i="1"/>
  <c r="AG732" i="1"/>
  <c r="AH732" i="1"/>
  <c r="AI732" i="1"/>
  <c r="AJ732" i="1"/>
  <c r="AB733" i="1"/>
  <c r="AE733" i="1" s="1"/>
  <c r="AF733" i="1" s="1"/>
  <c r="AH733" i="1" s="1"/>
  <c r="AC733" i="1"/>
  <c r="AG733" i="1"/>
  <c r="AI733" i="1"/>
  <c r="AJ733" i="1"/>
  <c r="AB734" i="1"/>
  <c r="AC734" i="1"/>
  <c r="AD734" i="1"/>
  <c r="AE734" i="1"/>
  <c r="AF734" i="1"/>
  <c r="AG734" i="1"/>
  <c r="AH734" i="1"/>
  <c r="AI734" i="1"/>
  <c r="AJ734" i="1"/>
  <c r="AB735" i="1"/>
  <c r="AC735" i="1"/>
  <c r="AG735" i="1"/>
  <c r="AI735" i="1"/>
  <c r="AJ735" i="1"/>
  <c r="AB736" i="1"/>
  <c r="AE736" i="1" s="1"/>
  <c r="AF736" i="1" s="1"/>
  <c r="AC736" i="1"/>
  <c r="AD736" i="1" s="1"/>
  <c r="AG736" i="1"/>
  <c r="AH736" i="1"/>
  <c r="AI736" i="1"/>
  <c r="AJ736" i="1"/>
  <c r="AB737" i="1"/>
  <c r="AC737" i="1"/>
  <c r="AD737" i="1"/>
  <c r="AE737" i="1"/>
  <c r="AF737" i="1" s="1"/>
  <c r="AG737" i="1"/>
  <c r="AI737" i="1"/>
  <c r="AJ737" i="1"/>
  <c r="AB738" i="1"/>
  <c r="AC738" i="1"/>
  <c r="AG738" i="1"/>
  <c r="AI738" i="1"/>
  <c r="AJ738" i="1"/>
  <c r="AB739" i="1"/>
  <c r="AC739" i="1"/>
  <c r="AD739" i="1" s="1"/>
  <c r="AE739" i="1"/>
  <c r="AF739" i="1" s="1"/>
  <c r="AH739" i="1" s="1"/>
  <c r="AG739" i="1"/>
  <c r="AI739" i="1"/>
  <c r="AJ739" i="1"/>
  <c r="AB740" i="1"/>
  <c r="AC740" i="1"/>
  <c r="AG740" i="1"/>
  <c r="AI740" i="1"/>
  <c r="AJ740" i="1"/>
  <c r="AB741" i="1"/>
  <c r="AC741" i="1"/>
  <c r="AD741" i="1" s="1"/>
  <c r="AE741" i="1"/>
  <c r="AF741" i="1" s="1"/>
  <c r="AG741" i="1"/>
  <c r="AH741" i="1"/>
  <c r="AI741" i="1"/>
  <c r="AJ741" i="1"/>
  <c r="AB742" i="1"/>
  <c r="AE742" i="1" s="1"/>
  <c r="AF742" i="1" s="1"/>
  <c r="AC742" i="1"/>
  <c r="AD742" i="1" s="1"/>
  <c r="AG742" i="1"/>
  <c r="AI742" i="1"/>
  <c r="AJ742" i="1"/>
  <c r="AB743" i="1"/>
  <c r="AE743" i="1" s="1"/>
  <c r="AF743" i="1" s="1"/>
  <c r="AC743" i="1"/>
  <c r="AD743" i="1" s="1"/>
  <c r="AG743" i="1"/>
  <c r="AI743" i="1"/>
  <c r="AJ743" i="1"/>
  <c r="AB744" i="1"/>
  <c r="AC744" i="1"/>
  <c r="AD744" i="1"/>
  <c r="AE744" i="1"/>
  <c r="AF744" i="1" s="1"/>
  <c r="AH744" i="1" s="1"/>
  <c r="AG744" i="1"/>
  <c r="AI744" i="1"/>
  <c r="AJ744" i="1"/>
  <c r="AB745" i="1"/>
  <c r="AC745" i="1"/>
  <c r="AD745" i="1" s="1"/>
  <c r="AE745" i="1"/>
  <c r="AF745" i="1"/>
  <c r="AG745" i="1"/>
  <c r="AH745" i="1"/>
  <c r="AI745" i="1"/>
  <c r="AJ745" i="1"/>
  <c r="AB746" i="1"/>
  <c r="AC746" i="1"/>
  <c r="AD746" i="1"/>
  <c r="AE746" i="1"/>
  <c r="AF746" i="1" s="1"/>
  <c r="AG746" i="1"/>
  <c r="AI746" i="1"/>
  <c r="AJ746" i="1"/>
  <c r="AB747" i="1"/>
  <c r="AC747" i="1"/>
  <c r="AD747" i="1"/>
  <c r="AE747" i="1"/>
  <c r="AF747" i="1"/>
  <c r="AG747" i="1"/>
  <c r="AH747" i="1"/>
  <c r="AI747" i="1"/>
  <c r="AJ747" i="1"/>
  <c r="AB748" i="1"/>
  <c r="AE748" i="1" s="1"/>
  <c r="AF748" i="1" s="1"/>
  <c r="AC748" i="1"/>
  <c r="AD748" i="1" s="1"/>
  <c r="AG748" i="1"/>
  <c r="AI748" i="1"/>
  <c r="AJ748" i="1"/>
  <c r="AB749" i="1"/>
  <c r="AE749" i="1" s="1"/>
  <c r="AC749" i="1"/>
  <c r="AD749" i="1"/>
  <c r="AF749" i="1"/>
  <c r="AG749" i="1"/>
  <c r="AH749" i="1" s="1"/>
  <c r="AI749" i="1"/>
  <c r="AJ749" i="1"/>
  <c r="AB750" i="1"/>
  <c r="AC750" i="1"/>
  <c r="AG750" i="1"/>
  <c r="AI750" i="1"/>
  <c r="AJ750" i="1"/>
  <c r="AB751" i="1"/>
  <c r="AC751" i="1"/>
  <c r="AG751" i="1"/>
  <c r="AI751" i="1"/>
  <c r="AJ751" i="1"/>
  <c r="AB752" i="1"/>
  <c r="AC752" i="1"/>
  <c r="AD752" i="1" s="1"/>
  <c r="AE752" i="1"/>
  <c r="AF752" i="1" s="1"/>
  <c r="AG752" i="1"/>
  <c r="AI752" i="1"/>
  <c r="AJ752" i="1"/>
  <c r="AB753" i="1"/>
  <c r="AE753" i="1" s="1"/>
  <c r="AF753" i="1" s="1"/>
  <c r="AH753" i="1" s="1"/>
  <c r="AC753" i="1"/>
  <c r="AD753" i="1" s="1"/>
  <c r="AG753" i="1"/>
  <c r="AI753" i="1"/>
  <c r="AJ753" i="1"/>
  <c r="AB754" i="1"/>
  <c r="AC754" i="1"/>
  <c r="AD754" i="1" s="1"/>
  <c r="AE754" i="1"/>
  <c r="AF754" i="1"/>
  <c r="AG754" i="1"/>
  <c r="AI754" i="1"/>
  <c r="AJ754" i="1"/>
  <c r="AB755" i="1"/>
  <c r="AE755" i="1" s="1"/>
  <c r="AF755" i="1" s="1"/>
  <c r="AC755" i="1"/>
  <c r="AG755" i="1"/>
  <c r="AI755" i="1"/>
  <c r="AJ755" i="1"/>
  <c r="AB756" i="1"/>
  <c r="AC756" i="1"/>
  <c r="AG756" i="1"/>
  <c r="AI756" i="1"/>
  <c r="AJ756" i="1"/>
  <c r="AB757" i="1"/>
  <c r="AE757" i="1" s="1"/>
  <c r="AF757" i="1" s="1"/>
  <c r="AC757" i="1"/>
  <c r="AD757" i="1"/>
  <c r="AG757" i="1"/>
  <c r="AI757" i="1"/>
  <c r="AJ757" i="1"/>
  <c r="AB758" i="1"/>
  <c r="AC758" i="1"/>
  <c r="AE758" i="1"/>
  <c r="AF758" i="1" s="1"/>
  <c r="AH758" i="1" s="1"/>
  <c r="AG758" i="1"/>
  <c r="AI758" i="1"/>
  <c r="AJ758" i="1"/>
  <c r="AB759" i="1"/>
  <c r="AE759" i="1" s="1"/>
  <c r="AF759" i="1" s="1"/>
  <c r="AH759" i="1" s="1"/>
  <c r="AC759" i="1"/>
  <c r="AD759" i="1" s="1"/>
  <c r="AG759" i="1"/>
  <c r="AI759" i="1"/>
  <c r="AJ759" i="1"/>
  <c r="AB760" i="1"/>
  <c r="AE760" i="1" s="1"/>
  <c r="AF760" i="1" s="1"/>
  <c r="AC760" i="1"/>
  <c r="AD760" i="1" s="1"/>
  <c r="AG760" i="1"/>
  <c r="AI760" i="1"/>
  <c r="AJ760" i="1"/>
  <c r="AB761" i="1"/>
  <c r="AC761" i="1"/>
  <c r="AG761" i="1"/>
  <c r="AI761" i="1"/>
  <c r="AJ761" i="1"/>
  <c r="AB762" i="1"/>
  <c r="AE762" i="1" s="1"/>
  <c r="AF762" i="1" s="1"/>
  <c r="AC762" i="1"/>
  <c r="AG762" i="1"/>
  <c r="AH762" i="1" s="1"/>
  <c r="AI762" i="1"/>
  <c r="AJ762" i="1"/>
  <c r="AB763" i="1"/>
  <c r="AE763" i="1" s="1"/>
  <c r="AF763" i="1" s="1"/>
  <c r="AH763" i="1" s="1"/>
  <c r="AC763" i="1"/>
  <c r="AD763" i="1" s="1"/>
  <c r="AG763" i="1"/>
  <c r="AI763" i="1"/>
  <c r="AJ763" i="1"/>
  <c r="AB764" i="1"/>
  <c r="AC764" i="1"/>
  <c r="AD764" i="1" s="1"/>
  <c r="AE764" i="1"/>
  <c r="AF764" i="1" s="1"/>
  <c r="AG764" i="1"/>
  <c r="AI764" i="1"/>
  <c r="AJ764" i="1"/>
  <c r="AB765" i="1"/>
  <c r="AE765" i="1" s="1"/>
  <c r="AF765" i="1" s="1"/>
  <c r="AC765" i="1"/>
  <c r="AD765" i="1" s="1"/>
  <c r="AG765" i="1"/>
  <c r="AI765" i="1"/>
  <c r="AJ765" i="1"/>
  <c r="AB766" i="1"/>
  <c r="AC766" i="1"/>
  <c r="AG766" i="1"/>
  <c r="AI766" i="1"/>
  <c r="AJ766" i="1"/>
  <c r="AB767" i="1"/>
  <c r="AE767" i="1" s="1"/>
  <c r="AF767" i="1" s="1"/>
  <c r="AH767" i="1" s="1"/>
  <c r="AC767" i="1"/>
  <c r="AD767" i="1" s="1"/>
  <c r="AG767" i="1"/>
  <c r="AI767" i="1"/>
  <c r="AJ767" i="1"/>
  <c r="AB768" i="1"/>
  <c r="AE768" i="1" s="1"/>
  <c r="AF768" i="1" s="1"/>
  <c r="AC768" i="1"/>
  <c r="AD768" i="1" s="1"/>
  <c r="AG768" i="1"/>
  <c r="AI768" i="1"/>
  <c r="AJ768" i="1"/>
  <c r="AB769" i="1"/>
  <c r="AE769" i="1" s="1"/>
  <c r="AF769" i="1" s="1"/>
  <c r="AH769" i="1" s="1"/>
  <c r="AC769" i="1"/>
  <c r="AD769" i="1" s="1"/>
  <c r="AG769" i="1"/>
  <c r="AI769" i="1"/>
  <c r="AJ769" i="1"/>
  <c r="AB770" i="1"/>
  <c r="AC770" i="1"/>
  <c r="AG770" i="1"/>
  <c r="AI770" i="1"/>
  <c r="AJ770" i="1"/>
  <c r="AB771" i="1"/>
  <c r="AE771" i="1" s="1"/>
  <c r="AC771" i="1"/>
  <c r="AD771" i="1" s="1"/>
  <c r="AF771" i="1"/>
  <c r="AH771" i="1" s="1"/>
  <c r="AG771" i="1"/>
  <c r="AI771" i="1"/>
  <c r="AJ771" i="1"/>
  <c r="AB772" i="1"/>
  <c r="AE772" i="1" s="1"/>
  <c r="AF772" i="1" s="1"/>
  <c r="AC772" i="1"/>
  <c r="AG772" i="1"/>
  <c r="AI772" i="1"/>
  <c r="AJ772" i="1"/>
  <c r="AB773" i="1"/>
  <c r="AC773" i="1"/>
  <c r="AD773" i="1"/>
  <c r="AE773" i="1"/>
  <c r="AF773" i="1"/>
  <c r="AG773" i="1"/>
  <c r="AI773" i="1"/>
  <c r="AJ773" i="1"/>
  <c r="AB774" i="1"/>
  <c r="AE774" i="1" s="1"/>
  <c r="AF774" i="1" s="1"/>
  <c r="AH774" i="1" s="1"/>
  <c r="AC774" i="1"/>
  <c r="AD774" i="1" s="1"/>
  <c r="AG774" i="1"/>
  <c r="AI774" i="1"/>
  <c r="AJ774" i="1"/>
  <c r="AB775" i="1"/>
  <c r="AC775" i="1"/>
  <c r="AG775" i="1"/>
  <c r="AI775" i="1"/>
  <c r="AJ775" i="1"/>
  <c r="AB776" i="1"/>
  <c r="AC776" i="1"/>
  <c r="AD776" i="1" s="1"/>
  <c r="AE776" i="1"/>
  <c r="AF776" i="1" s="1"/>
  <c r="AG776" i="1"/>
  <c r="AI776" i="1"/>
  <c r="AJ776" i="1"/>
  <c r="AB777" i="1"/>
  <c r="AC777" i="1"/>
  <c r="AD777" i="1"/>
  <c r="AE777" i="1"/>
  <c r="AF777" i="1"/>
  <c r="AG777" i="1"/>
  <c r="AI777" i="1"/>
  <c r="AJ777" i="1"/>
  <c r="AB778" i="1"/>
  <c r="AC778" i="1"/>
  <c r="AE778" i="1"/>
  <c r="AF778" i="1" s="1"/>
  <c r="AH778" i="1" s="1"/>
  <c r="AG778" i="1"/>
  <c r="AI778" i="1"/>
  <c r="AJ778" i="1"/>
  <c r="AB779" i="1"/>
  <c r="AE779" i="1" s="1"/>
  <c r="AF779" i="1" s="1"/>
  <c r="AC779" i="1"/>
  <c r="AD779" i="1" s="1"/>
  <c r="AG779" i="1"/>
  <c r="AI779" i="1"/>
  <c r="AJ779" i="1"/>
  <c r="AB780" i="1"/>
  <c r="AD780" i="1" s="1"/>
  <c r="AC780" i="1"/>
  <c r="AG780" i="1"/>
  <c r="AI780" i="1"/>
  <c r="AJ780" i="1"/>
  <c r="AB781" i="1"/>
  <c r="AC781" i="1"/>
  <c r="AG781" i="1"/>
  <c r="AI781" i="1"/>
  <c r="AJ781" i="1"/>
  <c r="AB782" i="1"/>
  <c r="AC782" i="1"/>
  <c r="AD782" i="1"/>
  <c r="AE782" i="1"/>
  <c r="AF782" i="1" s="1"/>
  <c r="AH782" i="1" s="1"/>
  <c r="AG782" i="1"/>
  <c r="AI782" i="1"/>
  <c r="AJ782" i="1"/>
  <c r="AB783" i="1"/>
  <c r="AC783" i="1"/>
  <c r="AD783" i="1" s="1"/>
  <c r="AE783" i="1"/>
  <c r="AF783" i="1" s="1"/>
  <c r="AG783" i="1"/>
  <c r="AI783" i="1"/>
  <c r="AJ783" i="1"/>
  <c r="AB784" i="1"/>
  <c r="AC784" i="1"/>
  <c r="AD784" i="1"/>
  <c r="AE784" i="1"/>
  <c r="AF784" i="1" s="1"/>
  <c r="AG784" i="1"/>
  <c r="AI784" i="1"/>
  <c r="AJ784" i="1"/>
  <c r="AB785" i="1"/>
  <c r="AE785" i="1" s="1"/>
  <c r="AF785" i="1" s="1"/>
  <c r="AH785" i="1" s="1"/>
  <c r="AC785" i="1"/>
  <c r="AG785" i="1"/>
  <c r="AI785" i="1"/>
  <c r="AJ785" i="1"/>
  <c r="AB786" i="1"/>
  <c r="AE786" i="1" s="1"/>
  <c r="AF786" i="1" s="1"/>
  <c r="AC786" i="1"/>
  <c r="AD786" i="1"/>
  <c r="AG786" i="1"/>
  <c r="AI786" i="1"/>
  <c r="AJ786" i="1"/>
  <c r="AB787" i="1"/>
  <c r="AC787" i="1"/>
  <c r="AD787" i="1" s="1"/>
  <c r="AE787" i="1"/>
  <c r="AF787" i="1" s="1"/>
  <c r="AH787" i="1" s="1"/>
  <c r="AG787" i="1"/>
  <c r="AI787" i="1"/>
  <c r="AJ787" i="1"/>
  <c r="AB788" i="1"/>
  <c r="AC788" i="1"/>
  <c r="AD788" i="1"/>
  <c r="AE788" i="1"/>
  <c r="AF788" i="1" s="1"/>
  <c r="AH788" i="1" s="1"/>
  <c r="AG788" i="1"/>
  <c r="AI788" i="1"/>
  <c r="AJ788" i="1"/>
  <c r="AB789" i="1"/>
  <c r="AC789" i="1"/>
  <c r="AD789" i="1"/>
  <c r="AE789" i="1"/>
  <c r="AF789" i="1"/>
  <c r="AH789" i="1" s="1"/>
  <c r="AG789" i="1"/>
  <c r="AI789" i="1"/>
  <c r="AJ789" i="1"/>
  <c r="AB790" i="1"/>
  <c r="AC790" i="1"/>
  <c r="AD790" i="1" s="1"/>
  <c r="AE790" i="1"/>
  <c r="AF790" i="1" s="1"/>
  <c r="AG790" i="1"/>
  <c r="AI790" i="1"/>
  <c r="AJ790" i="1"/>
  <c r="AB791" i="1"/>
  <c r="AC791" i="1"/>
  <c r="AD791" i="1"/>
  <c r="AE791" i="1"/>
  <c r="AF791" i="1" s="1"/>
  <c r="AG791" i="1"/>
  <c r="AI791" i="1"/>
  <c r="AJ791" i="1"/>
  <c r="AB792" i="1"/>
  <c r="AE792" i="1" s="1"/>
  <c r="AF792" i="1" s="1"/>
  <c r="AH792" i="1" s="1"/>
  <c r="AC792" i="1"/>
  <c r="AD792" i="1" s="1"/>
  <c r="AG792" i="1"/>
  <c r="AI792" i="1"/>
  <c r="AJ792" i="1"/>
  <c r="AB793" i="1"/>
  <c r="AE793" i="1" s="1"/>
  <c r="AF793" i="1" s="1"/>
  <c r="AC793" i="1"/>
  <c r="AD793" i="1" s="1"/>
  <c r="AG793" i="1"/>
  <c r="AH793" i="1"/>
  <c r="AI793" i="1"/>
  <c r="AJ793" i="1"/>
  <c r="AB794" i="1"/>
  <c r="AC794" i="1"/>
  <c r="AE794" i="1"/>
  <c r="AF794" i="1" s="1"/>
  <c r="AH794" i="1" s="1"/>
  <c r="AG794" i="1"/>
  <c r="AI794" i="1"/>
  <c r="AJ794" i="1"/>
  <c r="AB795" i="1"/>
  <c r="AE795" i="1" s="1"/>
  <c r="AF795" i="1" s="1"/>
  <c r="AH795" i="1" s="1"/>
  <c r="AC795" i="1"/>
  <c r="AG795" i="1"/>
  <c r="AI795" i="1"/>
  <c r="AJ795" i="1"/>
  <c r="AB796" i="1"/>
  <c r="AC796" i="1"/>
  <c r="AD796" i="1" s="1"/>
  <c r="AE796" i="1"/>
  <c r="AF796" i="1" s="1"/>
  <c r="AH796" i="1" s="1"/>
  <c r="AG796" i="1"/>
  <c r="AI796" i="1"/>
  <c r="AJ796" i="1"/>
  <c r="AB797" i="1"/>
  <c r="AE797" i="1" s="1"/>
  <c r="AC797" i="1"/>
  <c r="AD797" i="1" s="1"/>
  <c r="AF797" i="1"/>
  <c r="AG797" i="1"/>
  <c r="AI797" i="1"/>
  <c r="AJ797" i="1"/>
  <c r="AB798" i="1"/>
  <c r="AE798" i="1" s="1"/>
  <c r="AF798" i="1" s="1"/>
  <c r="AC798" i="1"/>
  <c r="AG798" i="1"/>
  <c r="AI798" i="1"/>
  <c r="AJ798" i="1"/>
  <c r="AB799" i="1"/>
  <c r="AC799" i="1"/>
  <c r="AD799" i="1"/>
  <c r="AE799" i="1"/>
  <c r="AF799" i="1" s="1"/>
  <c r="AG799" i="1"/>
  <c r="AI799" i="1"/>
  <c r="AJ799" i="1"/>
  <c r="AB800" i="1"/>
  <c r="AE800" i="1" s="1"/>
  <c r="AF800" i="1" s="1"/>
  <c r="AC800" i="1"/>
  <c r="AG800" i="1"/>
  <c r="AI800" i="1"/>
  <c r="AJ800" i="1"/>
  <c r="AB801" i="1"/>
  <c r="AE801" i="1" s="1"/>
  <c r="AF801" i="1" s="1"/>
  <c r="AC801" i="1"/>
  <c r="AD801" i="1" s="1"/>
  <c r="AG801" i="1"/>
  <c r="AH801" i="1"/>
  <c r="AI801" i="1"/>
  <c r="AJ801" i="1"/>
  <c r="AB802" i="1"/>
  <c r="AE802" i="1" s="1"/>
  <c r="AF802" i="1" s="1"/>
  <c r="AC802" i="1"/>
  <c r="AD802" i="1"/>
  <c r="AG802" i="1"/>
  <c r="AI802" i="1"/>
  <c r="AJ802" i="1"/>
  <c r="AB803" i="1"/>
  <c r="AC803" i="1"/>
  <c r="AG803" i="1"/>
  <c r="AI803" i="1"/>
  <c r="AJ803" i="1"/>
  <c r="AB804" i="1"/>
  <c r="AC804" i="1"/>
  <c r="AD804" i="1"/>
  <c r="AE804" i="1"/>
  <c r="AF804" i="1" s="1"/>
  <c r="AG804" i="1"/>
  <c r="AH804" i="1"/>
  <c r="AI804" i="1"/>
  <c r="AJ804" i="1"/>
  <c r="AB805" i="1"/>
  <c r="AE805" i="1" s="1"/>
  <c r="AF805" i="1" s="1"/>
  <c r="AC805" i="1"/>
  <c r="AG805" i="1"/>
  <c r="AI805" i="1"/>
  <c r="AJ805" i="1"/>
  <c r="AB806" i="1"/>
  <c r="AC806" i="1"/>
  <c r="AD806" i="1" s="1"/>
  <c r="AE806" i="1"/>
  <c r="AF806" i="1"/>
  <c r="AG806" i="1"/>
  <c r="AH806" i="1"/>
  <c r="AI806" i="1"/>
  <c r="AJ806" i="1"/>
  <c r="AB807" i="1"/>
  <c r="AE807" i="1" s="1"/>
  <c r="AF807" i="1" s="1"/>
  <c r="AH807" i="1" s="1"/>
  <c r="AC807" i="1"/>
  <c r="AD807" i="1" s="1"/>
  <c r="AG807" i="1"/>
  <c r="AI807" i="1"/>
  <c r="AJ807" i="1"/>
  <c r="AB808" i="1"/>
  <c r="AE808" i="1" s="1"/>
  <c r="AF808" i="1" s="1"/>
  <c r="AC808" i="1"/>
  <c r="AG808" i="1"/>
  <c r="AI808" i="1"/>
  <c r="AJ808" i="1"/>
  <c r="AB809" i="1"/>
  <c r="AC809" i="1"/>
  <c r="AD809" i="1" s="1"/>
  <c r="AE809" i="1"/>
  <c r="AF809" i="1" s="1"/>
  <c r="AG809" i="1"/>
  <c r="AI809" i="1"/>
  <c r="AJ809" i="1"/>
  <c r="AB810" i="1"/>
  <c r="AC810" i="1"/>
  <c r="AG810" i="1"/>
  <c r="AI810" i="1"/>
  <c r="AJ810" i="1"/>
  <c r="AB811" i="1"/>
  <c r="AE811" i="1" s="1"/>
  <c r="AF811" i="1" s="1"/>
  <c r="AH811" i="1" s="1"/>
  <c r="AC811" i="1"/>
  <c r="AG811" i="1"/>
  <c r="AI811" i="1"/>
  <c r="AJ811" i="1"/>
  <c r="AB812" i="1"/>
  <c r="AE812" i="1" s="1"/>
  <c r="AF812" i="1" s="1"/>
  <c r="AC812" i="1"/>
  <c r="AG812" i="1"/>
  <c r="AI812" i="1"/>
  <c r="AJ812" i="1"/>
  <c r="AB813" i="1"/>
  <c r="AC813" i="1"/>
  <c r="AD813" i="1"/>
  <c r="AE813" i="1"/>
  <c r="AF813" i="1"/>
  <c r="AG813" i="1"/>
  <c r="AI813" i="1"/>
  <c r="AJ813" i="1"/>
  <c r="AB814" i="1"/>
  <c r="AC814" i="1"/>
  <c r="AD814" i="1" s="1"/>
  <c r="AE814" i="1"/>
  <c r="AF814" i="1"/>
  <c r="AG814" i="1"/>
  <c r="AI814" i="1"/>
  <c r="AJ814" i="1"/>
  <c r="AB815" i="1"/>
  <c r="AC815" i="1"/>
  <c r="AD815" i="1"/>
  <c r="AE815" i="1"/>
  <c r="AF815" i="1" s="1"/>
  <c r="AG815" i="1"/>
  <c r="AI815" i="1"/>
  <c r="AJ815" i="1"/>
  <c r="AB816" i="1"/>
  <c r="AC816" i="1"/>
  <c r="AD816" i="1" s="1"/>
  <c r="AE816" i="1"/>
  <c r="AF816" i="1"/>
  <c r="AG816" i="1"/>
  <c r="AI816" i="1"/>
  <c r="AJ816" i="1"/>
  <c r="AB817" i="1"/>
  <c r="AE817" i="1" s="1"/>
  <c r="AF817" i="1" s="1"/>
  <c r="AC817" i="1"/>
  <c r="AD817" i="1" s="1"/>
  <c r="AG817" i="1"/>
  <c r="AI817" i="1"/>
  <c r="AJ817" i="1"/>
  <c r="AB818" i="1"/>
  <c r="AE818" i="1" s="1"/>
  <c r="AC818" i="1"/>
  <c r="AD818" i="1"/>
  <c r="AF818" i="1"/>
  <c r="AH818" i="1" s="1"/>
  <c r="AG818" i="1"/>
  <c r="AI818" i="1"/>
  <c r="AJ818" i="1"/>
  <c r="AB819" i="1"/>
  <c r="AC819" i="1"/>
  <c r="AG819" i="1"/>
  <c r="AI819" i="1"/>
  <c r="AJ819" i="1"/>
  <c r="AB820" i="1"/>
  <c r="AC820" i="1"/>
  <c r="AD820" i="1"/>
  <c r="AE820" i="1"/>
  <c r="AF820" i="1"/>
  <c r="AG820" i="1"/>
  <c r="AH820" i="1"/>
  <c r="AI820" i="1"/>
  <c r="AJ820" i="1"/>
  <c r="AB821" i="1"/>
  <c r="AC821" i="1"/>
  <c r="AG821" i="1"/>
  <c r="AI821" i="1"/>
  <c r="AJ821" i="1"/>
  <c r="AB822" i="1"/>
  <c r="AC822" i="1"/>
  <c r="AD822" i="1" s="1"/>
  <c r="AE822" i="1"/>
  <c r="AF822" i="1"/>
  <c r="AG822" i="1"/>
  <c r="AI822" i="1"/>
  <c r="AJ822" i="1"/>
  <c r="AB823" i="1"/>
  <c r="AC823" i="1"/>
  <c r="AD823" i="1" s="1"/>
  <c r="AE823" i="1"/>
  <c r="AF823" i="1" s="1"/>
  <c r="AG823" i="1"/>
  <c r="AI823" i="1"/>
  <c r="AJ823" i="1"/>
  <c r="AB824" i="1"/>
  <c r="AC824" i="1"/>
  <c r="AG824" i="1"/>
  <c r="AI824" i="1"/>
  <c r="AJ824" i="1"/>
  <c r="AB825" i="1"/>
  <c r="AC825" i="1"/>
  <c r="AD825" i="1"/>
  <c r="AE825" i="1"/>
  <c r="AF825" i="1"/>
  <c r="AG825" i="1"/>
  <c r="AH825" i="1"/>
  <c r="AI825" i="1"/>
  <c r="AJ825" i="1"/>
  <c r="AB826" i="1"/>
  <c r="AC826" i="1"/>
  <c r="AD826" i="1"/>
  <c r="AE826" i="1"/>
  <c r="AF826" i="1" s="1"/>
  <c r="AG826" i="1"/>
  <c r="AI826" i="1"/>
  <c r="AJ826" i="1"/>
  <c r="AB827" i="1"/>
  <c r="AE827" i="1" s="1"/>
  <c r="AF827" i="1" s="1"/>
  <c r="AC827" i="1"/>
  <c r="AD827" i="1"/>
  <c r="AG827" i="1"/>
  <c r="AI827" i="1"/>
  <c r="AJ827" i="1"/>
  <c r="AB828" i="1"/>
  <c r="AE828" i="1" s="1"/>
  <c r="AF828" i="1" s="1"/>
  <c r="AH828" i="1" s="1"/>
  <c r="AC828" i="1"/>
  <c r="AG828" i="1"/>
  <c r="AI828" i="1"/>
  <c r="AJ828" i="1"/>
  <c r="AB829" i="1"/>
  <c r="AE829" i="1" s="1"/>
  <c r="AF829" i="1" s="1"/>
  <c r="AC829" i="1"/>
  <c r="AD829" i="1" s="1"/>
  <c r="AG829" i="1"/>
  <c r="AI829" i="1"/>
  <c r="AJ829" i="1"/>
  <c r="AB830" i="1"/>
  <c r="AC830" i="1"/>
  <c r="AD830" i="1" s="1"/>
  <c r="AE830" i="1"/>
  <c r="AF830" i="1"/>
  <c r="AH830" i="1" s="1"/>
  <c r="AG830" i="1"/>
  <c r="AI830" i="1"/>
  <c r="AJ830" i="1"/>
  <c r="AB831" i="1"/>
  <c r="AE831" i="1" s="1"/>
  <c r="AF831" i="1" s="1"/>
  <c r="AC831" i="1"/>
  <c r="AD831" i="1"/>
  <c r="AG831" i="1"/>
  <c r="AI831" i="1"/>
  <c r="AJ831" i="1"/>
  <c r="AB832" i="1"/>
  <c r="AD832" i="1" s="1"/>
  <c r="AC832" i="1"/>
  <c r="AE832" i="1"/>
  <c r="AF832" i="1"/>
  <c r="AG832" i="1"/>
  <c r="AH832" i="1"/>
  <c r="AI832" i="1"/>
  <c r="AJ832" i="1"/>
  <c r="AB833" i="1"/>
  <c r="AC833" i="1"/>
  <c r="AG833" i="1"/>
  <c r="AI833" i="1"/>
  <c r="AJ833" i="1"/>
  <c r="AB834" i="1"/>
  <c r="AE834" i="1" s="1"/>
  <c r="AF834" i="1" s="1"/>
  <c r="AC834" i="1"/>
  <c r="AD834" i="1" s="1"/>
  <c r="AG834" i="1"/>
  <c r="AH834" i="1"/>
  <c r="AI834" i="1"/>
  <c r="AJ834" i="1"/>
  <c r="AB835" i="1"/>
  <c r="AE835" i="1" s="1"/>
  <c r="AF835" i="1" s="1"/>
  <c r="AH835" i="1" s="1"/>
  <c r="AC835" i="1"/>
  <c r="AD835" i="1" s="1"/>
  <c r="AG835" i="1"/>
  <c r="AI835" i="1"/>
  <c r="AJ835" i="1"/>
  <c r="AB836" i="1"/>
  <c r="AE836" i="1" s="1"/>
  <c r="AF836" i="1" s="1"/>
  <c r="AH836" i="1" s="1"/>
  <c r="AC836" i="1"/>
  <c r="AD836" i="1" s="1"/>
  <c r="AG836" i="1"/>
  <c r="AI836" i="1"/>
  <c r="AJ836" i="1"/>
  <c r="AB837" i="1"/>
  <c r="AE837" i="1" s="1"/>
  <c r="AF837" i="1" s="1"/>
  <c r="AH837" i="1" s="1"/>
  <c r="AC837" i="1"/>
  <c r="AD837" i="1" s="1"/>
  <c r="AG837" i="1"/>
  <c r="AI837" i="1"/>
  <c r="AJ837" i="1"/>
  <c r="AB838" i="1"/>
  <c r="AE838" i="1" s="1"/>
  <c r="AC838" i="1"/>
  <c r="AD838" i="1"/>
  <c r="AF838" i="1"/>
  <c r="AH838" i="1" s="1"/>
  <c r="AG838" i="1"/>
  <c r="AI838" i="1"/>
  <c r="AJ838" i="1"/>
  <c r="AB839" i="1"/>
  <c r="AE839" i="1" s="1"/>
  <c r="AF839" i="1" s="1"/>
  <c r="AC839" i="1"/>
  <c r="AG839" i="1"/>
  <c r="AI839" i="1"/>
  <c r="AJ839" i="1"/>
  <c r="AB840" i="1"/>
  <c r="AC840" i="1"/>
  <c r="AD840" i="1"/>
  <c r="AE840" i="1"/>
  <c r="AF840" i="1"/>
  <c r="AG840" i="1"/>
  <c r="AI840" i="1"/>
  <c r="AJ840" i="1"/>
  <c r="AB841" i="1"/>
  <c r="AE841" i="1" s="1"/>
  <c r="AF841" i="1" s="1"/>
  <c r="AH841" i="1" s="1"/>
  <c r="AC841" i="1"/>
  <c r="AG841" i="1"/>
  <c r="AI841" i="1"/>
  <c r="AJ841" i="1"/>
  <c r="AB842" i="1"/>
  <c r="AE842" i="1" s="1"/>
  <c r="AF842" i="1" s="1"/>
  <c r="AH842" i="1" s="1"/>
  <c r="AC842" i="1"/>
  <c r="AD842" i="1" s="1"/>
  <c r="AG842" i="1"/>
  <c r="AI842" i="1"/>
  <c r="AJ842" i="1"/>
  <c r="AB843" i="1"/>
  <c r="AE843" i="1" s="1"/>
  <c r="AF843" i="1" s="1"/>
  <c r="AH843" i="1" s="1"/>
  <c r="AC843" i="1"/>
  <c r="AD843" i="1" s="1"/>
  <c r="AG843" i="1"/>
  <c r="AI843" i="1"/>
  <c r="AJ843" i="1"/>
  <c r="AB844" i="1"/>
  <c r="AC844" i="1"/>
  <c r="AD844" i="1" s="1"/>
  <c r="AE844" i="1"/>
  <c r="AF844" i="1"/>
  <c r="AH844" i="1" s="1"/>
  <c r="AG844" i="1"/>
  <c r="AI844" i="1"/>
  <c r="AJ844" i="1"/>
  <c r="AB845" i="1"/>
  <c r="AE845" i="1" s="1"/>
  <c r="AF845" i="1" s="1"/>
  <c r="AH845" i="1" s="1"/>
  <c r="AC845" i="1"/>
  <c r="AD845" i="1"/>
  <c r="AG845" i="1"/>
  <c r="AI845" i="1"/>
  <c r="AJ845" i="1"/>
  <c r="AB846" i="1"/>
  <c r="AD846" i="1" s="1"/>
  <c r="AC846" i="1"/>
  <c r="AE846" i="1"/>
  <c r="AF846" i="1"/>
  <c r="AG846" i="1"/>
  <c r="AI846" i="1"/>
  <c r="AJ846" i="1"/>
  <c r="AB847" i="1"/>
  <c r="AE847" i="1" s="1"/>
  <c r="AF847" i="1" s="1"/>
  <c r="AC847" i="1"/>
  <c r="AD847" i="1" s="1"/>
  <c r="AG847" i="1"/>
  <c r="AH847" i="1"/>
  <c r="AI847" i="1"/>
  <c r="AJ847" i="1"/>
  <c r="AB848" i="1"/>
  <c r="AC848" i="1"/>
  <c r="AG848" i="1"/>
  <c r="AI848" i="1"/>
  <c r="AJ848" i="1"/>
  <c r="AB849" i="1"/>
  <c r="AE849" i="1" s="1"/>
  <c r="AF849" i="1" s="1"/>
  <c r="AC849" i="1"/>
  <c r="AD849" i="1" s="1"/>
  <c r="AG849" i="1"/>
  <c r="AI849" i="1"/>
  <c r="AJ849" i="1"/>
  <c r="AB850" i="1"/>
  <c r="AC850" i="1"/>
  <c r="AD850" i="1" s="1"/>
  <c r="AE850" i="1"/>
  <c r="AF850" i="1" s="1"/>
  <c r="AG850" i="1"/>
  <c r="AI850" i="1"/>
  <c r="AJ850" i="1"/>
  <c r="AB851" i="1"/>
  <c r="AE851" i="1" s="1"/>
  <c r="AF851" i="1" s="1"/>
  <c r="AH851" i="1" s="1"/>
  <c r="AC851" i="1"/>
  <c r="AG851" i="1"/>
  <c r="AI851" i="1"/>
  <c r="AJ851" i="1"/>
  <c r="AB852" i="1"/>
  <c r="AE852" i="1" s="1"/>
  <c r="AF852" i="1" s="1"/>
  <c r="AC852" i="1"/>
  <c r="AD852" i="1" s="1"/>
  <c r="AG852" i="1"/>
  <c r="AH852" i="1"/>
  <c r="AI852" i="1"/>
  <c r="AJ852" i="1"/>
  <c r="AB853" i="1"/>
  <c r="AD853" i="1" s="1"/>
  <c r="AC853" i="1"/>
  <c r="AG853" i="1"/>
  <c r="AI853" i="1"/>
  <c r="AJ853" i="1"/>
  <c r="AB854" i="1"/>
  <c r="AE854" i="1" s="1"/>
  <c r="AF854" i="1" s="1"/>
  <c r="AH854" i="1" s="1"/>
  <c r="AC854" i="1"/>
  <c r="AG854" i="1"/>
  <c r="AI854" i="1"/>
  <c r="AJ854" i="1"/>
  <c r="AB855" i="1"/>
  <c r="AC855" i="1"/>
  <c r="AG855" i="1"/>
  <c r="AI855" i="1"/>
  <c r="AJ855" i="1"/>
  <c r="AB856" i="1"/>
  <c r="AE856" i="1" s="1"/>
  <c r="AC856" i="1"/>
  <c r="AD856" i="1" s="1"/>
  <c r="AF856" i="1"/>
  <c r="AG856" i="1"/>
  <c r="AI856" i="1"/>
  <c r="AJ856" i="1"/>
  <c r="AB857" i="1"/>
  <c r="AE857" i="1" s="1"/>
  <c r="AF857" i="1" s="1"/>
  <c r="AC857" i="1"/>
  <c r="AD857" i="1" s="1"/>
  <c r="AG857" i="1"/>
  <c r="AI857" i="1"/>
  <c r="AJ857" i="1"/>
  <c r="AB858" i="1"/>
  <c r="AC858" i="1"/>
  <c r="AD858" i="1" s="1"/>
  <c r="AE858" i="1"/>
  <c r="AF858" i="1" s="1"/>
  <c r="AH858" i="1" s="1"/>
  <c r="AG858" i="1"/>
  <c r="AI858" i="1"/>
  <c r="AJ858" i="1"/>
  <c r="AB859" i="1"/>
  <c r="AE859" i="1" s="1"/>
  <c r="AF859" i="1" s="1"/>
  <c r="AH859" i="1" s="1"/>
  <c r="AC859" i="1"/>
  <c r="AG859" i="1"/>
  <c r="AI859" i="1"/>
  <c r="AJ859" i="1"/>
  <c r="AB860" i="1"/>
  <c r="AE860" i="1" s="1"/>
  <c r="AF860" i="1" s="1"/>
  <c r="AH860" i="1" s="1"/>
  <c r="AC860" i="1"/>
  <c r="AG860" i="1"/>
  <c r="AI860" i="1"/>
  <c r="AJ860" i="1"/>
  <c r="AB861" i="1"/>
  <c r="AC861" i="1"/>
  <c r="AG861" i="1"/>
  <c r="AI861" i="1"/>
  <c r="AJ861" i="1"/>
  <c r="AB862" i="1"/>
  <c r="AC862" i="1"/>
  <c r="AE862" i="1"/>
  <c r="AF862" i="1"/>
  <c r="AG862" i="1"/>
  <c r="AH862" i="1" s="1"/>
  <c r="AI862" i="1"/>
  <c r="AJ862" i="1"/>
  <c r="AB863" i="1"/>
  <c r="AC863" i="1"/>
  <c r="AD863" i="1"/>
  <c r="AE863" i="1"/>
  <c r="AF863" i="1" s="1"/>
  <c r="AH863" i="1" s="1"/>
  <c r="AG863" i="1"/>
  <c r="AI863" i="1"/>
  <c r="AJ863" i="1"/>
  <c r="AB864" i="1"/>
  <c r="AC864" i="1"/>
  <c r="AD864" i="1"/>
  <c r="AE864" i="1"/>
  <c r="AF864" i="1"/>
  <c r="AG864" i="1"/>
  <c r="AI864" i="1"/>
  <c r="AJ864" i="1"/>
  <c r="AB865" i="1"/>
  <c r="AC865" i="1"/>
  <c r="AD865" i="1"/>
  <c r="AE865" i="1"/>
  <c r="AF865" i="1" s="1"/>
  <c r="AH865" i="1" s="1"/>
  <c r="AG865" i="1"/>
  <c r="AI865" i="1"/>
  <c r="AJ865" i="1"/>
  <c r="AB866" i="1"/>
  <c r="AC866" i="1"/>
  <c r="AD866" i="1"/>
  <c r="AE866" i="1"/>
  <c r="AF866" i="1" s="1"/>
  <c r="AH866" i="1" s="1"/>
  <c r="AG866" i="1"/>
  <c r="AI866" i="1"/>
  <c r="AJ866" i="1"/>
  <c r="AB867" i="1"/>
  <c r="AE867" i="1" s="1"/>
  <c r="AC867" i="1"/>
  <c r="AD867" i="1"/>
  <c r="AF867" i="1"/>
  <c r="AH867" i="1" s="1"/>
  <c r="AG867" i="1"/>
  <c r="AI867" i="1"/>
  <c r="AJ867" i="1"/>
  <c r="AB868" i="1"/>
  <c r="AE868" i="1" s="1"/>
  <c r="AF868" i="1" s="1"/>
  <c r="AC868" i="1"/>
  <c r="AD868" i="1"/>
  <c r="AG868" i="1"/>
  <c r="AI868" i="1"/>
  <c r="AJ868" i="1"/>
  <c r="AB869" i="1"/>
  <c r="AD869" i="1" s="1"/>
  <c r="AC869" i="1"/>
  <c r="AG869" i="1"/>
  <c r="AI869" i="1"/>
  <c r="AJ869" i="1"/>
  <c r="AB870" i="1"/>
  <c r="AC870" i="1"/>
  <c r="AG870" i="1"/>
  <c r="AI870" i="1"/>
  <c r="AJ870" i="1"/>
  <c r="AB871" i="1"/>
  <c r="AE871" i="1" s="1"/>
  <c r="AF871" i="1" s="1"/>
  <c r="AC871" i="1"/>
  <c r="AD871" i="1" s="1"/>
  <c r="AG871" i="1"/>
  <c r="AI871" i="1"/>
  <c r="AJ871" i="1"/>
  <c r="AB872" i="1"/>
  <c r="AC872" i="1"/>
  <c r="AD872" i="1"/>
  <c r="AE872" i="1"/>
  <c r="AF872" i="1" s="1"/>
  <c r="AG872" i="1"/>
  <c r="AI872" i="1"/>
  <c r="AJ872" i="1"/>
  <c r="AB873" i="1"/>
  <c r="AC873" i="1"/>
  <c r="AG873" i="1"/>
  <c r="AI873" i="1"/>
  <c r="AJ873" i="1"/>
  <c r="AB874" i="1"/>
  <c r="AE874" i="1" s="1"/>
  <c r="AF874" i="1" s="1"/>
  <c r="AC874" i="1"/>
  <c r="AD874" i="1" s="1"/>
  <c r="AG874" i="1"/>
  <c r="AH874" i="1"/>
  <c r="AI874" i="1"/>
  <c r="AJ874" i="1"/>
  <c r="AB875" i="1"/>
  <c r="AC875" i="1"/>
  <c r="AG875" i="1"/>
  <c r="AI875" i="1"/>
  <c r="AJ875" i="1"/>
  <c r="AB876" i="1"/>
  <c r="AE876" i="1" s="1"/>
  <c r="AF876" i="1" s="1"/>
  <c r="AH876" i="1" s="1"/>
  <c r="AC876" i="1"/>
  <c r="AG876" i="1"/>
  <c r="AI876" i="1"/>
  <c r="AJ876" i="1"/>
  <c r="AB877" i="1"/>
  <c r="AC877" i="1"/>
  <c r="AG877" i="1"/>
  <c r="AI877" i="1"/>
  <c r="AJ877" i="1"/>
  <c r="AB878" i="1"/>
  <c r="AC878" i="1"/>
  <c r="AD878" i="1" s="1"/>
  <c r="AE878" i="1"/>
  <c r="AF878" i="1" s="1"/>
  <c r="AG878" i="1"/>
  <c r="AI878" i="1"/>
  <c r="AJ878" i="1"/>
  <c r="AB879" i="1"/>
  <c r="AE879" i="1" s="1"/>
  <c r="AF879" i="1" s="1"/>
  <c r="AC879" i="1"/>
  <c r="AG879" i="1"/>
  <c r="AI879" i="1"/>
  <c r="AJ879" i="1"/>
  <c r="AB880" i="1"/>
  <c r="AE880" i="1" s="1"/>
  <c r="AF880" i="1" s="1"/>
  <c r="AH880" i="1" s="1"/>
  <c r="AC880" i="1"/>
  <c r="AD880" i="1" s="1"/>
  <c r="AG880" i="1"/>
  <c r="AI880" i="1"/>
  <c r="AJ880" i="1"/>
  <c r="AB881" i="1"/>
  <c r="AC881" i="1"/>
  <c r="AG881" i="1"/>
  <c r="AI881" i="1"/>
  <c r="AJ881" i="1"/>
  <c r="AB882" i="1"/>
  <c r="AE882" i="1" s="1"/>
  <c r="AC882" i="1"/>
  <c r="AD882" i="1"/>
  <c r="AF882" i="1"/>
  <c r="AH882" i="1" s="1"/>
  <c r="AG882" i="1"/>
  <c r="AI882" i="1"/>
  <c r="AJ882" i="1"/>
  <c r="AB883" i="1"/>
  <c r="AE883" i="1" s="1"/>
  <c r="AC883" i="1"/>
  <c r="AD883" i="1"/>
  <c r="AF883" i="1"/>
  <c r="AG883" i="1"/>
  <c r="AH883" i="1" s="1"/>
  <c r="AI883" i="1"/>
  <c r="AJ883" i="1"/>
  <c r="AB884" i="1"/>
  <c r="AE884" i="1" s="1"/>
  <c r="AF884" i="1" s="1"/>
  <c r="AH884" i="1" s="1"/>
  <c r="AC884" i="1"/>
  <c r="AG884" i="1"/>
  <c r="AI884" i="1"/>
  <c r="AJ884" i="1"/>
  <c r="AB885" i="1"/>
  <c r="AE885" i="1" s="1"/>
  <c r="AF885" i="1" s="1"/>
  <c r="AH885" i="1" s="1"/>
  <c r="AC885" i="1"/>
  <c r="AG885" i="1"/>
  <c r="AI885" i="1"/>
  <c r="AJ885" i="1"/>
  <c r="AB886" i="1"/>
  <c r="AE886" i="1" s="1"/>
  <c r="AF886" i="1" s="1"/>
  <c r="AH886" i="1" s="1"/>
  <c r="AC886" i="1"/>
  <c r="AD886" i="1"/>
  <c r="AG886" i="1"/>
  <c r="AI886" i="1"/>
  <c r="AJ886" i="1"/>
  <c r="AB887" i="1"/>
  <c r="AC887" i="1"/>
  <c r="AD887" i="1" s="1"/>
  <c r="AE887" i="1"/>
  <c r="AF887" i="1"/>
  <c r="AH887" i="1" s="1"/>
  <c r="AG887" i="1"/>
  <c r="AI887" i="1"/>
  <c r="AJ887" i="1"/>
  <c r="AB888" i="1"/>
  <c r="AE888" i="1" s="1"/>
  <c r="AF888" i="1" s="1"/>
  <c r="AC888" i="1"/>
  <c r="AD888" i="1"/>
  <c r="AG888" i="1"/>
  <c r="AI888" i="1"/>
  <c r="AJ888" i="1"/>
  <c r="AB889" i="1"/>
  <c r="AC889" i="1"/>
  <c r="AD889" i="1"/>
  <c r="AE889" i="1"/>
  <c r="AF889" i="1"/>
  <c r="AH889" i="1" s="1"/>
  <c r="AG889" i="1"/>
  <c r="AI889" i="1"/>
  <c r="AJ889" i="1"/>
  <c r="AB890" i="1"/>
  <c r="AE890" i="1" s="1"/>
  <c r="AF890" i="1" s="1"/>
  <c r="AC890" i="1"/>
  <c r="AD890" i="1" s="1"/>
  <c r="AG890" i="1"/>
  <c r="AI890" i="1"/>
  <c r="AJ890" i="1"/>
  <c r="AB891" i="1"/>
  <c r="AE891" i="1" s="1"/>
  <c r="AF891" i="1" s="1"/>
  <c r="AH891" i="1" s="1"/>
  <c r="AC891" i="1"/>
  <c r="AG891" i="1"/>
  <c r="AI891" i="1"/>
  <c r="AJ891" i="1"/>
  <c r="AB892" i="1"/>
  <c r="AE892" i="1" s="1"/>
  <c r="AF892" i="1" s="1"/>
  <c r="AH892" i="1" s="1"/>
  <c r="AC892" i="1"/>
  <c r="AG892" i="1"/>
  <c r="AI892" i="1"/>
  <c r="AJ892" i="1"/>
  <c r="AB893" i="1"/>
  <c r="AD893" i="1" s="1"/>
  <c r="AC893" i="1"/>
  <c r="AG893" i="1"/>
  <c r="AI893" i="1"/>
  <c r="AJ893" i="1"/>
  <c r="AB894" i="1"/>
  <c r="AC894" i="1"/>
  <c r="AD894" i="1" s="1"/>
  <c r="AE894" i="1"/>
  <c r="AF894" i="1"/>
  <c r="AG894" i="1"/>
  <c r="AH894" i="1" s="1"/>
  <c r="AI894" i="1"/>
  <c r="AJ894" i="1"/>
  <c r="AB895" i="1"/>
  <c r="AC895" i="1"/>
  <c r="AD895" i="1" s="1"/>
  <c r="AE895" i="1"/>
  <c r="AF895" i="1" s="1"/>
  <c r="AG895" i="1"/>
  <c r="AI895" i="1"/>
  <c r="AJ895" i="1"/>
  <c r="AB896" i="1"/>
  <c r="AE896" i="1" s="1"/>
  <c r="AF896" i="1" s="1"/>
  <c r="AH896" i="1" s="1"/>
  <c r="AC896" i="1"/>
  <c r="AD896" i="1" s="1"/>
  <c r="AG896" i="1"/>
  <c r="AI896" i="1"/>
  <c r="AJ896" i="1"/>
  <c r="AB897" i="1"/>
  <c r="AE897" i="1" s="1"/>
  <c r="AF897" i="1" s="1"/>
  <c r="AC897" i="1"/>
  <c r="AD897" i="1"/>
  <c r="AG897" i="1"/>
  <c r="AI897" i="1"/>
  <c r="AJ897" i="1"/>
  <c r="AB898" i="1"/>
  <c r="AE898" i="1" s="1"/>
  <c r="AF898" i="1" s="1"/>
  <c r="AH898" i="1" s="1"/>
  <c r="AC898" i="1"/>
  <c r="AG898" i="1"/>
  <c r="AI898" i="1"/>
  <c r="AJ898" i="1"/>
  <c r="AB899" i="1"/>
  <c r="AE899" i="1" s="1"/>
  <c r="AF899" i="1" s="1"/>
  <c r="AC899" i="1"/>
  <c r="AG899" i="1"/>
  <c r="AI899" i="1"/>
  <c r="AJ899" i="1"/>
  <c r="AB900" i="1"/>
  <c r="AE900" i="1" s="1"/>
  <c r="AF900" i="1" s="1"/>
  <c r="AH900" i="1" s="1"/>
  <c r="AC900" i="1"/>
  <c r="AD900" i="1"/>
  <c r="AG900" i="1"/>
  <c r="AI900" i="1"/>
  <c r="AJ900" i="1"/>
  <c r="AB901" i="1"/>
  <c r="AC901" i="1"/>
  <c r="AG901" i="1"/>
  <c r="AI901" i="1"/>
  <c r="AJ901" i="1"/>
  <c r="AB902" i="1"/>
  <c r="AC902" i="1"/>
  <c r="AD902" i="1"/>
  <c r="AE902" i="1"/>
  <c r="AF902" i="1"/>
  <c r="AH902" i="1" s="1"/>
  <c r="AG902" i="1"/>
  <c r="AI902" i="1"/>
  <c r="AJ902" i="1"/>
  <c r="AB903" i="1"/>
  <c r="AC903" i="1"/>
  <c r="AD903" i="1" s="1"/>
  <c r="AE903" i="1"/>
  <c r="AF903" i="1"/>
  <c r="AG903" i="1"/>
  <c r="AH903" i="1" s="1"/>
  <c r="AI903" i="1"/>
  <c r="AJ903" i="1"/>
  <c r="AB904" i="1"/>
  <c r="AC904" i="1"/>
  <c r="AD904" i="1"/>
  <c r="AE904" i="1"/>
  <c r="AF904" i="1"/>
  <c r="AG904" i="1"/>
  <c r="AI904" i="1"/>
  <c r="AJ904" i="1"/>
  <c r="AB905" i="1"/>
  <c r="AD905" i="1" s="1"/>
  <c r="AC905" i="1"/>
  <c r="AG905" i="1"/>
  <c r="AI905" i="1"/>
  <c r="AJ905" i="1"/>
  <c r="AB906" i="1"/>
  <c r="AD906" i="1" s="1"/>
  <c r="AC906" i="1"/>
  <c r="AE906" i="1"/>
  <c r="AF906" i="1" s="1"/>
  <c r="AG906" i="1"/>
  <c r="AI906" i="1"/>
  <c r="AJ906" i="1"/>
  <c r="AB907" i="1"/>
  <c r="AE907" i="1" s="1"/>
  <c r="AF907" i="1" s="1"/>
  <c r="AC907" i="1"/>
  <c r="AD907" i="1" s="1"/>
  <c r="AG907" i="1"/>
  <c r="AI907" i="1"/>
  <c r="AJ907" i="1"/>
  <c r="AB908" i="1"/>
  <c r="AC908" i="1"/>
  <c r="AD908" i="1" s="1"/>
  <c r="AE908" i="1"/>
  <c r="AF908" i="1" s="1"/>
  <c r="AH908" i="1" s="1"/>
  <c r="AG908" i="1"/>
  <c r="AI908" i="1"/>
  <c r="AJ908" i="1"/>
  <c r="AB909" i="1"/>
  <c r="AE909" i="1" s="1"/>
  <c r="AF909" i="1" s="1"/>
  <c r="AH909" i="1" s="1"/>
  <c r="AC909" i="1"/>
  <c r="AG909" i="1"/>
  <c r="AI909" i="1"/>
  <c r="AJ909" i="1"/>
  <c r="AB910" i="1"/>
  <c r="AE910" i="1" s="1"/>
  <c r="AF910" i="1" s="1"/>
  <c r="AH910" i="1" s="1"/>
  <c r="AC910" i="1"/>
  <c r="AD910" i="1"/>
  <c r="AG910" i="1"/>
  <c r="AI910" i="1"/>
  <c r="AJ910" i="1"/>
  <c r="AB911" i="1"/>
  <c r="AE911" i="1" s="1"/>
  <c r="AF911" i="1" s="1"/>
  <c r="AC911" i="1"/>
  <c r="AD911" i="1" s="1"/>
  <c r="AG911" i="1"/>
  <c r="AH911" i="1"/>
  <c r="AI911" i="1"/>
  <c r="AJ911" i="1"/>
  <c r="AB912" i="1"/>
  <c r="AE912" i="1" s="1"/>
  <c r="AF912" i="1" s="1"/>
  <c r="AC912" i="1"/>
  <c r="AG912" i="1"/>
  <c r="AI912" i="1"/>
  <c r="AJ912" i="1"/>
  <c r="AB913" i="1"/>
  <c r="AC913" i="1"/>
  <c r="AG913" i="1"/>
  <c r="AI913" i="1"/>
  <c r="AJ913" i="1"/>
  <c r="AB914" i="1"/>
  <c r="AE914" i="1" s="1"/>
  <c r="AF914" i="1" s="1"/>
  <c r="AC914" i="1"/>
  <c r="AD914" i="1" s="1"/>
  <c r="AG914" i="1"/>
  <c r="AI914" i="1"/>
  <c r="AJ914" i="1"/>
  <c r="AB915" i="1"/>
  <c r="AE915" i="1" s="1"/>
  <c r="AF915" i="1" s="1"/>
  <c r="AH915" i="1" s="1"/>
  <c r="AC915" i="1"/>
  <c r="AD915" i="1"/>
  <c r="AG915" i="1"/>
  <c r="AI915" i="1"/>
  <c r="AJ915" i="1"/>
  <c r="AB916" i="1"/>
  <c r="AC916" i="1"/>
  <c r="AD916" i="1"/>
  <c r="AE916" i="1"/>
  <c r="AF916" i="1" s="1"/>
  <c r="AH916" i="1" s="1"/>
  <c r="AG916" i="1"/>
  <c r="AI916" i="1"/>
  <c r="AJ916" i="1"/>
  <c r="AB917" i="1"/>
  <c r="AE917" i="1" s="1"/>
  <c r="AF917" i="1" s="1"/>
  <c r="AH917" i="1" s="1"/>
  <c r="AC917" i="1"/>
  <c r="AD917" i="1" s="1"/>
  <c r="AG917" i="1"/>
  <c r="AI917" i="1"/>
  <c r="AJ917" i="1"/>
  <c r="AB918" i="1"/>
  <c r="AE918" i="1" s="1"/>
  <c r="AF918" i="1" s="1"/>
  <c r="AC918" i="1"/>
  <c r="AG918" i="1"/>
  <c r="AH918" i="1"/>
  <c r="AI918" i="1"/>
  <c r="AJ918" i="1"/>
  <c r="AB919" i="1"/>
  <c r="AE919" i="1" s="1"/>
  <c r="AF919" i="1" s="1"/>
  <c r="AH919" i="1" s="1"/>
  <c r="AC919" i="1"/>
  <c r="AD919" i="1" s="1"/>
  <c r="AG919" i="1"/>
  <c r="AI919" i="1"/>
  <c r="AJ919" i="1"/>
  <c r="AB920" i="1"/>
  <c r="AC920" i="1"/>
  <c r="AD920" i="1" s="1"/>
  <c r="AE920" i="1"/>
  <c r="AF920" i="1" s="1"/>
  <c r="AH920" i="1" s="1"/>
  <c r="AG920" i="1"/>
  <c r="AI920" i="1"/>
  <c r="AJ920" i="1"/>
  <c r="AB921" i="1"/>
  <c r="AC921" i="1"/>
  <c r="AG921" i="1"/>
  <c r="AI921" i="1"/>
  <c r="AJ921" i="1"/>
  <c r="AB922" i="1"/>
  <c r="AC922" i="1"/>
  <c r="AD922" i="1"/>
  <c r="AE922" i="1"/>
  <c r="AF922" i="1" s="1"/>
  <c r="AH922" i="1" s="1"/>
  <c r="AG922" i="1"/>
  <c r="AI922" i="1"/>
  <c r="AJ922" i="1"/>
  <c r="AB923" i="1"/>
  <c r="AC923" i="1"/>
  <c r="AD923" i="1"/>
  <c r="AE923" i="1"/>
  <c r="AF923" i="1"/>
  <c r="AG923" i="1"/>
  <c r="AI923" i="1"/>
  <c r="AJ923" i="1"/>
  <c r="AB924" i="1"/>
  <c r="AE924" i="1" s="1"/>
  <c r="AF924" i="1" s="1"/>
  <c r="AC924" i="1"/>
  <c r="AD924" i="1" s="1"/>
  <c r="AG924" i="1"/>
  <c r="AI924" i="1"/>
  <c r="AJ924" i="1"/>
  <c r="AB925" i="1"/>
  <c r="AE925" i="1" s="1"/>
  <c r="AF925" i="1" s="1"/>
  <c r="AC925" i="1"/>
  <c r="AG925" i="1"/>
  <c r="AI925" i="1"/>
  <c r="AJ925" i="1"/>
  <c r="AB926" i="1"/>
  <c r="AC926" i="1"/>
  <c r="AG926" i="1"/>
  <c r="AI926" i="1"/>
  <c r="AJ926" i="1"/>
  <c r="AB927" i="1"/>
  <c r="AE927" i="1" s="1"/>
  <c r="AF927" i="1" s="1"/>
  <c r="AH927" i="1" s="1"/>
  <c r="AC927" i="1"/>
  <c r="AD927" i="1"/>
  <c r="AG927" i="1"/>
  <c r="AI927" i="1"/>
  <c r="AJ927" i="1"/>
  <c r="AB928" i="1"/>
  <c r="AE928" i="1" s="1"/>
  <c r="AF928" i="1" s="1"/>
  <c r="AH928" i="1" s="1"/>
  <c r="AC928" i="1"/>
  <c r="AG928" i="1"/>
  <c r="AI928" i="1"/>
  <c r="AJ928" i="1"/>
  <c r="AB929" i="1"/>
  <c r="AE929" i="1" s="1"/>
  <c r="AF929" i="1" s="1"/>
  <c r="AC929" i="1"/>
  <c r="AD929" i="1" s="1"/>
  <c r="AG929" i="1"/>
  <c r="AI929" i="1"/>
  <c r="AJ929" i="1"/>
  <c r="AB930" i="1"/>
  <c r="AE930" i="1" s="1"/>
  <c r="AF930" i="1" s="1"/>
  <c r="AC930" i="1"/>
  <c r="AG930" i="1"/>
  <c r="AI930" i="1"/>
  <c r="AJ930" i="1"/>
  <c r="AB931" i="1"/>
  <c r="AE931" i="1" s="1"/>
  <c r="AF931" i="1" s="1"/>
  <c r="AC931" i="1"/>
  <c r="AD931" i="1" s="1"/>
  <c r="AG931" i="1"/>
  <c r="AI931" i="1"/>
  <c r="AJ931" i="1"/>
  <c r="AB932" i="1"/>
  <c r="AC932" i="1"/>
  <c r="AD932" i="1"/>
  <c r="AE932" i="1"/>
  <c r="AF932" i="1" s="1"/>
  <c r="AG932" i="1"/>
  <c r="AI932" i="1"/>
  <c r="AJ932" i="1"/>
  <c r="AB933" i="1"/>
  <c r="AD933" i="1" s="1"/>
  <c r="AC933" i="1"/>
  <c r="AG933" i="1"/>
  <c r="AI933" i="1"/>
  <c r="AJ933" i="1"/>
  <c r="AB934" i="1"/>
  <c r="AE934" i="1" s="1"/>
  <c r="AF934" i="1" s="1"/>
  <c r="AH934" i="1" s="1"/>
  <c r="AC934" i="1"/>
  <c r="AG934" i="1"/>
  <c r="AI934" i="1"/>
  <c r="AJ934" i="1"/>
  <c r="AB935" i="1"/>
  <c r="AE935" i="1" s="1"/>
  <c r="AF935" i="1" s="1"/>
  <c r="AC935" i="1"/>
  <c r="AG935" i="1"/>
  <c r="AI935" i="1"/>
  <c r="AJ935" i="1"/>
  <c r="AB936" i="1"/>
  <c r="AC936" i="1"/>
  <c r="AD936" i="1" s="1"/>
  <c r="AE936" i="1"/>
  <c r="AF936" i="1" s="1"/>
  <c r="AH936" i="1" s="1"/>
  <c r="AG936" i="1"/>
  <c r="AI936" i="1"/>
  <c r="AJ936" i="1"/>
  <c r="AB937" i="1"/>
  <c r="AC937" i="1"/>
  <c r="AG937" i="1"/>
  <c r="AI937" i="1"/>
  <c r="AJ937" i="1"/>
  <c r="AB938" i="1"/>
  <c r="AE938" i="1" s="1"/>
  <c r="AC938" i="1"/>
  <c r="AD938" i="1" s="1"/>
  <c r="AF938" i="1"/>
  <c r="AG938" i="1"/>
  <c r="AH938" i="1"/>
  <c r="AI938" i="1"/>
  <c r="AJ938" i="1"/>
  <c r="AB939" i="1"/>
  <c r="AC939" i="1"/>
  <c r="AD939" i="1"/>
  <c r="AE939" i="1"/>
  <c r="AF939" i="1" s="1"/>
  <c r="AH939" i="1" s="1"/>
  <c r="AG939" i="1"/>
  <c r="AI939" i="1"/>
  <c r="AJ939" i="1"/>
  <c r="AB940" i="1"/>
  <c r="AC940" i="1"/>
  <c r="AD940" i="1"/>
  <c r="AE940" i="1"/>
  <c r="AF940" i="1"/>
  <c r="AG940" i="1"/>
  <c r="AI940" i="1"/>
  <c r="AJ940" i="1"/>
  <c r="AB941" i="1"/>
  <c r="AC941" i="1"/>
  <c r="AD941" i="1"/>
  <c r="AE941" i="1"/>
  <c r="AF941" i="1"/>
  <c r="AG941" i="1"/>
  <c r="AH941" i="1"/>
  <c r="AI941" i="1"/>
  <c r="AJ941" i="1"/>
  <c r="AB942" i="1"/>
  <c r="AC942" i="1"/>
  <c r="AD942" i="1"/>
  <c r="AE942" i="1"/>
  <c r="AF942" i="1" s="1"/>
  <c r="AG942" i="1"/>
  <c r="AI942" i="1"/>
  <c r="AJ942" i="1"/>
  <c r="AB943" i="1"/>
  <c r="AC943" i="1"/>
  <c r="AD943" i="1"/>
  <c r="AE943" i="1"/>
  <c r="AF943" i="1"/>
  <c r="AG943" i="1"/>
  <c r="AH943" i="1"/>
  <c r="AI943" i="1"/>
  <c r="AJ943" i="1"/>
  <c r="AB944" i="1"/>
  <c r="AE944" i="1" s="1"/>
  <c r="AF944" i="1" s="1"/>
  <c r="AC944" i="1"/>
  <c r="AD944" i="1" s="1"/>
  <c r="AG944" i="1"/>
  <c r="AI944" i="1"/>
  <c r="AJ944" i="1"/>
  <c r="AB945" i="1"/>
  <c r="AC945" i="1"/>
  <c r="AG945" i="1"/>
  <c r="AI945" i="1"/>
  <c r="AJ945" i="1"/>
  <c r="AB946" i="1"/>
  <c r="AC946" i="1"/>
  <c r="AD946" i="1" s="1"/>
  <c r="AE946" i="1"/>
  <c r="AF946" i="1" s="1"/>
  <c r="AH946" i="1" s="1"/>
  <c r="AG946" i="1"/>
  <c r="AI946" i="1"/>
  <c r="AJ946" i="1"/>
  <c r="AB947" i="1"/>
  <c r="AE947" i="1" s="1"/>
  <c r="AC947" i="1"/>
  <c r="AD947" i="1" s="1"/>
  <c r="AF947" i="1"/>
  <c r="AG947" i="1"/>
  <c r="AI947" i="1"/>
  <c r="AJ947" i="1"/>
  <c r="AB948" i="1"/>
  <c r="AC948" i="1"/>
  <c r="AD948" i="1" s="1"/>
  <c r="AE948" i="1"/>
  <c r="AF948" i="1" s="1"/>
  <c r="AG948" i="1"/>
  <c r="AH948" i="1"/>
  <c r="AI948" i="1"/>
  <c r="AJ948" i="1"/>
  <c r="AB949" i="1"/>
  <c r="AE949" i="1" s="1"/>
  <c r="AF949" i="1" s="1"/>
  <c r="AC949" i="1"/>
  <c r="AD949" i="1" s="1"/>
  <c r="AG949" i="1"/>
  <c r="AI949" i="1"/>
  <c r="AJ949" i="1"/>
  <c r="AB950" i="1"/>
  <c r="AC950" i="1"/>
  <c r="AD950" i="1" s="1"/>
  <c r="AE950" i="1"/>
  <c r="AF950" i="1" s="1"/>
  <c r="AG950" i="1"/>
  <c r="AI950" i="1"/>
  <c r="AJ950" i="1"/>
  <c r="AB951" i="1"/>
  <c r="AE951" i="1" s="1"/>
  <c r="AF951" i="1" s="1"/>
  <c r="AH951" i="1" s="1"/>
  <c r="AC951" i="1"/>
  <c r="AD951" i="1" s="1"/>
  <c r="AG951" i="1"/>
  <c r="AI951" i="1"/>
  <c r="AJ951" i="1"/>
  <c r="AB952" i="1"/>
  <c r="AC952" i="1"/>
  <c r="AD952" i="1"/>
  <c r="AE952" i="1"/>
  <c r="AF952" i="1"/>
  <c r="AG952" i="1"/>
  <c r="AI952" i="1"/>
  <c r="AJ952" i="1"/>
  <c r="AB953" i="1"/>
  <c r="AC953" i="1"/>
  <c r="AG953" i="1"/>
  <c r="AI953" i="1"/>
  <c r="AJ953" i="1"/>
  <c r="AB954" i="1"/>
  <c r="AC954" i="1"/>
  <c r="AD954" i="1"/>
  <c r="AE954" i="1"/>
  <c r="AF954" i="1"/>
  <c r="AG954" i="1"/>
  <c r="AH954" i="1"/>
  <c r="AI954" i="1"/>
  <c r="AJ954" i="1"/>
  <c r="AB955" i="1"/>
  <c r="AE955" i="1" s="1"/>
  <c r="AF955" i="1" s="1"/>
  <c r="AH955" i="1" s="1"/>
  <c r="AC955" i="1"/>
  <c r="AD955" i="1" s="1"/>
  <c r="AG955" i="1"/>
  <c r="AI955" i="1"/>
  <c r="AJ955" i="1"/>
  <c r="AB956" i="1"/>
  <c r="AE956" i="1" s="1"/>
  <c r="AF956" i="1" s="1"/>
  <c r="AC956" i="1"/>
  <c r="AD956" i="1"/>
  <c r="AG956" i="1"/>
  <c r="AI956" i="1"/>
  <c r="AJ956" i="1"/>
  <c r="AB957" i="1"/>
  <c r="AC957" i="1"/>
  <c r="AD957" i="1" s="1"/>
  <c r="AE957" i="1"/>
  <c r="AF957" i="1" s="1"/>
  <c r="AH957" i="1" s="1"/>
  <c r="AG957" i="1"/>
  <c r="AI957" i="1"/>
  <c r="AJ957" i="1"/>
  <c r="AB958" i="1"/>
  <c r="AC958" i="1"/>
  <c r="AD958" i="1" s="1"/>
  <c r="AE958" i="1"/>
  <c r="AF958" i="1" s="1"/>
  <c r="AG958" i="1"/>
  <c r="AI958" i="1"/>
  <c r="AJ958" i="1"/>
  <c r="AB959" i="1"/>
  <c r="AC959" i="1"/>
  <c r="AD959" i="1" s="1"/>
  <c r="AE959" i="1"/>
  <c r="AF959" i="1" s="1"/>
  <c r="AH959" i="1" s="1"/>
  <c r="AG959" i="1"/>
  <c r="AI959" i="1"/>
  <c r="AJ959" i="1"/>
  <c r="AB960" i="1"/>
  <c r="AE960" i="1" s="1"/>
  <c r="AF960" i="1" s="1"/>
  <c r="AC960" i="1"/>
  <c r="AD960" i="1" s="1"/>
  <c r="AG960" i="1"/>
  <c r="AI960" i="1"/>
  <c r="AJ960" i="1"/>
  <c r="AB961" i="1"/>
  <c r="AE961" i="1" s="1"/>
  <c r="AF961" i="1" s="1"/>
  <c r="AC961" i="1"/>
  <c r="AG961" i="1"/>
  <c r="AI961" i="1"/>
  <c r="AJ961" i="1"/>
  <c r="AB962" i="1"/>
  <c r="AC962" i="1"/>
  <c r="AD962" i="1" s="1"/>
  <c r="AE962" i="1"/>
  <c r="AF962" i="1" s="1"/>
  <c r="AH962" i="1" s="1"/>
  <c r="AG962" i="1"/>
  <c r="AI962" i="1"/>
  <c r="AJ962" i="1"/>
  <c r="AB963" i="1"/>
  <c r="AE963" i="1" s="1"/>
  <c r="AF963" i="1" s="1"/>
  <c r="AC963" i="1"/>
  <c r="AD963" i="1" s="1"/>
  <c r="AG963" i="1"/>
  <c r="AI963" i="1"/>
  <c r="AJ963" i="1"/>
  <c r="AB964" i="1"/>
  <c r="AE964" i="1" s="1"/>
  <c r="AF964" i="1" s="1"/>
  <c r="AH964" i="1" s="1"/>
  <c r="AC964" i="1"/>
  <c r="AD964" i="1"/>
  <c r="AG964" i="1"/>
  <c r="AI964" i="1"/>
  <c r="AJ964" i="1"/>
  <c r="AB965" i="1"/>
  <c r="AC965" i="1"/>
  <c r="AG965" i="1"/>
  <c r="AI965" i="1"/>
  <c r="AJ965" i="1"/>
  <c r="AB966" i="1"/>
  <c r="AE966" i="1" s="1"/>
  <c r="AF966" i="1" s="1"/>
  <c r="AH966" i="1" s="1"/>
  <c r="AC966" i="1"/>
  <c r="AD966" i="1" s="1"/>
  <c r="AG966" i="1"/>
  <c r="AI966" i="1"/>
  <c r="AJ966" i="1"/>
  <c r="AB967" i="1"/>
  <c r="AE967" i="1" s="1"/>
  <c r="AF967" i="1" s="1"/>
  <c r="AH967" i="1" s="1"/>
  <c r="AC967" i="1"/>
  <c r="AG967" i="1"/>
  <c r="AI967" i="1"/>
  <c r="AJ967" i="1"/>
  <c r="AB968" i="1"/>
  <c r="AC968" i="1"/>
  <c r="AD968" i="1"/>
  <c r="AE968" i="1"/>
  <c r="AF968" i="1"/>
  <c r="AH968" i="1" s="1"/>
  <c r="AG968" i="1"/>
  <c r="AI968" i="1"/>
  <c r="AJ968" i="1"/>
  <c r="AB969" i="1"/>
  <c r="AC969" i="1"/>
  <c r="AG969" i="1"/>
  <c r="AI969" i="1"/>
  <c r="AJ969" i="1"/>
  <c r="AB970" i="1"/>
  <c r="AE970" i="1" s="1"/>
  <c r="AF970" i="1" s="1"/>
  <c r="AC970" i="1"/>
  <c r="AD970" i="1"/>
  <c r="AG970" i="1"/>
  <c r="AI970" i="1"/>
  <c r="AJ970" i="1"/>
  <c r="AB971" i="1"/>
  <c r="AD971" i="1" s="1"/>
  <c r="AC971" i="1"/>
  <c r="AG971" i="1"/>
  <c r="AI971" i="1"/>
  <c r="AJ971" i="1"/>
  <c r="AB972" i="1"/>
  <c r="AD972" i="1" s="1"/>
  <c r="AC972" i="1"/>
  <c r="AG972" i="1"/>
  <c r="AI972" i="1"/>
  <c r="AJ972" i="1"/>
  <c r="AB973" i="1"/>
  <c r="AE973" i="1" s="1"/>
  <c r="AF973" i="1" s="1"/>
  <c r="AH973" i="1" s="1"/>
  <c r="AC973" i="1"/>
  <c r="AD973" i="1"/>
  <c r="AG973" i="1"/>
  <c r="AI973" i="1"/>
  <c r="AJ973" i="1"/>
  <c r="AB974" i="1"/>
  <c r="AE974" i="1" s="1"/>
  <c r="AF974" i="1" s="1"/>
  <c r="AH974" i="1" s="1"/>
  <c r="AC974" i="1"/>
  <c r="AD974" i="1" s="1"/>
  <c r="AG974" i="1"/>
  <c r="AI974" i="1"/>
  <c r="AJ974" i="1"/>
  <c r="AB975" i="1"/>
  <c r="AC975" i="1"/>
  <c r="AD975" i="1"/>
  <c r="AE975" i="1"/>
  <c r="AF975" i="1"/>
  <c r="AH975" i="1" s="1"/>
  <c r="AG975" i="1"/>
  <c r="AI975" i="1"/>
  <c r="AJ975" i="1"/>
  <c r="AB976" i="1"/>
  <c r="AE976" i="1" s="1"/>
  <c r="AF976" i="1" s="1"/>
  <c r="AH976" i="1" s="1"/>
  <c r="AC976" i="1"/>
  <c r="AG976" i="1"/>
  <c r="AI976" i="1"/>
  <c r="AJ976" i="1"/>
  <c r="AB977" i="1"/>
  <c r="AC977" i="1"/>
  <c r="AD977" i="1"/>
  <c r="AE977" i="1"/>
  <c r="AF977" i="1"/>
  <c r="AG977" i="1"/>
  <c r="AI977" i="1"/>
  <c r="AJ977" i="1"/>
  <c r="AB978" i="1"/>
  <c r="AE978" i="1" s="1"/>
  <c r="AF978" i="1" s="1"/>
  <c r="AH978" i="1" s="1"/>
  <c r="AC978" i="1"/>
  <c r="AG978" i="1"/>
  <c r="AI978" i="1"/>
  <c r="AJ978" i="1"/>
  <c r="AB979" i="1"/>
  <c r="AC979" i="1"/>
  <c r="AD979" i="1"/>
  <c r="AE979" i="1"/>
  <c r="AF979" i="1"/>
  <c r="AG979" i="1"/>
  <c r="AI979" i="1"/>
  <c r="AJ979" i="1"/>
  <c r="AB980" i="1"/>
  <c r="AC980" i="1"/>
  <c r="AD980" i="1" s="1"/>
  <c r="AE980" i="1"/>
  <c r="AF980" i="1" s="1"/>
  <c r="AG980" i="1"/>
  <c r="AH980" i="1" s="1"/>
  <c r="AI980" i="1"/>
  <c r="AJ980" i="1"/>
  <c r="AB981" i="1"/>
  <c r="AC981" i="1"/>
  <c r="AD981" i="1"/>
  <c r="AE981" i="1"/>
  <c r="AF981" i="1" s="1"/>
  <c r="AG981" i="1"/>
  <c r="AI981" i="1"/>
  <c r="AJ981" i="1"/>
  <c r="AB982" i="1"/>
  <c r="AE982" i="1" s="1"/>
  <c r="AF982" i="1" s="1"/>
  <c r="AH982" i="1" s="1"/>
  <c r="AC982" i="1"/>
  <c r="AG982" i="1"/>
  <c r="AI982" i="1"/>
  <c r="AJ982" i="1"/>
  <c r="AB983" i="1"/>
  <c r="AE983" i="1" s="1"/>
  <c r="AF983" i="1" s="1"/>
  <c r="AC983" i="1"/>
  <c r="AD983" i="1"/>
  <c r="AG983" i="1"/>
  <c r="AI983" i="1"/>
  <c r="AJ983" i="1"/>
  <c r="AB984" i="1"/>
  <c r="AE984" i="1" s="1"/>
  <c r="AF984" i="1" s="1"/>
  <c r="AH984" i="1" s="1"/>
  <c r="AC984" i="1"/>
  <c r="AD984" i="1"/>
  <c r="AG984" i="1"/>
  <c r="AI984" i="1"/>
  <c r="AJ984" i="1"/>
  <c r="AB985" i="1"/>
  <c r="AC985" i="1"/>
  <c r="AG985" i="1"/>
  <c r="AI985" i="1"/>
  <c r="AJ985" i="1"/>
  <c r="AB986" i="1"/>
  <c r="AC986" i="1"/>
  <c r="AD986" i="1"/>
  <c r="AE986" i="1"/>
  <c r="AF986" i="1"/>
  <c r="AG986" i="1"/>
  <c r="AI986" i="1"/>
  <c r="AJ986" i="1"/>
  <c r="AB987" i="1"/>
  <c r="AE987" i="1" s="1"/>
  <c r="AF987" i="1" s="1"/>
  <c r="AH987" i="1" s="1"/>
  <c r="AC987" i="1"/>
  <c r="AD987" i="1" s="1"/>
  <c r="AG987" i="1"/>
  <c r="AI987" i="1"/>
  <c r="AJ987" i="1"/>
  <c r="AB988" i="1"/>
  <c r="AC988" i="1"/>
  <c r="AD988" i="1"/>
  <c r="AE988" i="1"/>
  <c r="AF988" i="1" s="1"/>
  <c r="AG988" i="1"/>
  <c r="AI988" i="1"/>
  <c r="AJ988" i="1"/>
  <c r="AB989" i="1"/>
  <c r="AC989" i="1"/>
  <c r="AD989" i="1" s="1"/>
  <c r="AE989" i="1"/>
  <c r="AF989" i="1"/>
  <c r="AH989" i="1" s="1"/>
  <c r="AG989" i="1"/>
  <c r="AI989" i="1"/>
  <c r="AJ989" i="1"/>
  <c r="AB990" i="1"/>
  <c r="AE990" i="1" s="1"/>
  <c r="AF990" i="1" s="1"/>
  <c r="AH990" i="1" s="1"/>
  <c r="AC990" i="1"/>
  <c r="AG990" i="1"/>
  <c r="AI990" i="1"/>
  <c r="AJ990" i="1"/>
  <c r="AB991" i="1"/>
  <c r="AE991" i="1" s="1"/>
  <c r="AF991" i="1" s="1"/>
  <c r="AH991" i="1" s="1"/>
  <c r="AC991" i="1"/>
  <c r="AD991" i="1"/>
  <c r="AG991" i="1"/>
  <c r="AI991" i="1"/>
  <c r="AJ991" i="1"/>
  <c r="AB992" i="1"/>
  <c r="AE992" i="1" s="1"/>
  <c r="AF992" i="1" s="1"/>
  <c r="AC992" i="1"/>
  <c r="AD992" i="1" s="1"/>
  <c r="AG992" i="1"/>
  <c r="AI992" i="1"/>
  <c r="AJ992" i="1"/>
  <c r="AB993" i="1"/>
  <c r="AC993" i="1"/>
  <c r="AD993" i="1"/>
  <c r="AE993" i="1"/>
  <c r="AF993" i="1"/>
  <c r="AH993" i="1" s="1"/>
  <c r="AG993" i="1"/>
  <c r="AI993" i="1"/>
  <c r="AJ993" i="1"/>
  <c r="AB994" i="1"/>
  <c r="AE994" i="1" s="1"/>
  <c r="AF994" i="1" s="1"/>
  <c r="AH994" i="1" s="1"/>
  <c r="AC994" i="1"/>
  <c r="AD994" i="1" s="1"/>
  <c r="AG994" i="1"/>
  <c r="AI994" i="1"/>
  <c r="AJ994" i="1"/>
  <c r="AB995" i="1"/>
  <c r="AC995" i="1"/>
  <c r="AD995" i="1"/>
  <c r="AE995" i="1"/>
  <c r="AF995" i="1"/>
  <c r="AG995" i="1"/>
  <c r="AH995" i="1"/>
  <c r="AI995" i="1"/>
  <c r="AJ995" i="1"/>
  <c r="AB996" i="1"/>
  <c r="AE996" i="1" s="1"/>
  <c r="AF996" i="1" s="1"/>
  <c r="AH996" i="1" s="1"/>
  <c r="AC996" i="1"/>
  <c r="AG996" i="1"/>
  <c r="AI996" i="1"/>
  <c r="AJ996" i="1"/>
  <c r="AB997" i="1"/>
  <c r="AE997" i="1" s="1"/>
  <c r="AF997" i="1" s="1"/>
  <c r="AC997" i="1"/>
  <c r="AD997" i="1" s="1"/>
  <c r="AG997" i="1"/>
  <c r="AI997" i="1"/>
  <c r="AJ997" i="1"/>
  <c r="AB998" i="1"/>
  <c r="AC998" i="1"/>
  <c r="AD998" i="1" s="1"/>
  <c r="AE998" i="1"/>
  <c r="AF998" i="1" s="1"/>
  <c r="AH998" i="1" s="1"/>
  <c r="AG998" i="1"/>
  <c r="AI998" i="1"/>
  <c r="AJ998" i="1"/>
  <c r="AB999" i="1"/>
  <c r="AE999" i="1" s="1"/>
  <c r="AF999" i="1" s="1"/>
  <c r="AH999" i="1" s="1"/>
  <c r="AC999" i="1"/>
  <c r="AG999" i="1"/>
  <c r="AI999" i="1"/>
  <c r="AJ999" i="1"/>
  <c r="AB1000" i="1"/>
  <c r="AC1000" i="1"/>
  <c r="AD1000" i="1"/>
  <c r="AE1000" i="1"/>
  <c r="AF1000" i="1"/>
  <c r="AG1000" i="1"/>
  <c r="AI1000" i="1"/>
  <c r="AJ1000" i="1"/>
  <c r="AB1001" i="1"/>
  <c r="AC1001" i="1"/>
  <c r="AG1001" i="1"/>
  <c r="AI1001" i="1"/>
  <c r="AJ1001" i="1"/>
  <c r="AB1002" i="1"/>
  <c r="AE1002" i="1" s="1"/>
  <c r="AF1002" i="1" s="1"/>
  <c r="AH1002" i="1" s="1"/>
  <c r="AC1002" i="1"/>
  <c r="AG1002" i="1"/>
  <c r="AI1002" i="1"/>
  <c r="AJ1002" i="1"/>
  <c r="AB1003" i="1"/>
  <c r="AE1003" i="1" s="1"/>
  <c r="AC1003" i="1"/>
  <c r="AD1003" i="1" s="1"/>
  <c r="AF1003" i="1"/>
  <c r="AG1003" i="1"/>
  <c r="AH1003" i="1"/>
  <c r="AI1003" i="1"/>
  <c r="AJ1003" i="1"/>
  <c r="AB1004" i="1"/>
  <c r="AD1004" i="1" s="1"/>
  <c r="AC1004" i="1"/>
  <c r="AG1004" i="1"/>
  <c r="AI1004" i="1"/>
  <c r="AJ1004" i="1"/>
  <c r="AB1005" i="1"/>
  <c r="AC1005" i="1"/>
  <c r="AD1005" i="1"/>
  <c r="AE1005" i="1"/>
  <c r="AF1005" i="1" s="1"/>
  <c r="AG1005" i="1"/>
  <c r="AH1005" i="1"/>
  <c r="AI1005" i="1"/>
  <c r="AJ1005" i="1"/>
  <c r="AB1006" i="1"/>
  <c r="AE1006" i="1" s="1"/>
  <c r="AF1006" i="1" s="1"/>
  <c r="AH1006" i="1" s="1"/>
  <c r="AC1006" i="1"/>
  <c r="AD1006" i="1"/>
  <c r="AG1006" i="1"/>
  <c r="AI1006" i="1"/>
  <c r="AJ1006" i="1"/>
  <c r="AB1007" i="1"/>
  <c r="AC1007" i="1"/>
  <c r="AD1007" i="1"/>
  <c r="AE1007" i="1"/>
  <c r="AF1007" i="1" s="1"/>
  <c r="AG1007" i="1"/>
  <c r="AH1007" i="1"/>
  <c r="AI1007" i="1"/>
  <c r="AJ1007" i="1"/>
  <c r="AB1008" i="1"/>
  <c r="AE1008" i="1" s="1"/>
  <c r="AF1008" i="1" s="1"/>
  <c r="AC1008" i="1"/>
  <c r="AD1008" i="1" s="1"/>
  <c r="AG1008" i="1"/>
  <c r="AI1008" i="1"/>
  <c r="AJ1008" i="1"/>
  <c r="AB1009" i="1"/>
  <c r="AC1009" i="1"/>
  <c r="AG1009" i="1"/>
  <c r="AI1009" i="1"/>
  <c r="AJ1009" i="1"/>
  <c r="AB1010" i="1"/>
  <c r="AE1010" i="1" s="1"/>
  <c r="AC1010" i="1"/>
  <c r="AF1010" i="1"/>
  <c r="AG1010" i="1"/>
  <c r="AI1010" i="1"/>
  <c r="AJ1010" i="1"/>
  <c r="AB1011" i="1"/>
  <c r="AC1011" i="1"/>
  <c r="AG1011" i="1"/>
  <c r="AI1011" i="1"/>
  <c r="AJ1011" i="1"/>
  <c r="AB1012" i="1"/>
  <c r="AC1012" i="1"/>
  <c r="AD1012" i="1" s="1"/>
  <c r="AE1012" i="1"/>
  <c r="AF1012" i="1" s="1"/>
  <c r="AG1012" i="1"/>
  <c r="AI1012" i="1"/>
  <c r="AJ1012" i="1"/>
  <c r="AB1013" i="1"/>
  <c r="AC1013" i="1"/>
  <c r="AD1013" i="1"/>
  <c r="AE1013" i="1"/>
  <c r="AF1013" i="1"/>
  <c r="AG1013" i="1"/>
  <c r="AI1013" i="1"/>
  <c r="AJ1013" i="1"/>
  <c r="AB1014" i="1"/>
  <c r="AE1014" i="1" s="1"/>
  <c r="AF1014" i="1" s="1"/>
  <c r="AH1014" i="1" s="1"/>
  <c r="AC1014" i="1"/>
  <c r="AG1014" i="1"/>
  <c r="AI1014" i="1"/>
  <c r="AJ1014" i="1"/>
  <c r="AB1015" i="1"/>
  <c r="AE1015" i="1" s="1"/>
  <c r="AF1015" i="1" s="1"/>
  <c r="AC1015" i="1"/>
  <c r="AD1015" i="1"/>
  <c r="AG1015" i="1"/>
  <c r="AI1015" i="1"/>
  <c r="AJ1015" i="1"/>
  <c r="AB1016" i="1"/>
  <c r="AC1016" i="1"/>
  <c r="AD1016" i="1"/>
  <c r="AE1016" i="1"/>
  <c r="AF1016" i="1" s="1"/>
  <c r="AH1016" i="1" s="1"/>
  <c r="AG1016" i="1"/>
  <c r="AI1016" i="1"/>
  <c r="AJ1016" i="1"/>
  <c r="AB1017" i="1"/>
  <c r="AC1017" i="1"/>
  <c r="AG1017" i="1"/>
  <c r="AI1017" i="1"/>
  <c r="AJ1017" i="1"/>
  <c r="AB1018" i="1"/>
  <c r="AC1018" i="1"/>
  <c r="AD1018" i="1"/>
  <c r="AE1018" i="1"/>
  <c r="AF1018" i="1"/>
  <c r="AG1018" i="1"/>
  <c r="AI1018" i="1"/>
  <c r="AJ1018" i="1"/>
  <c r="AB1019" i="1"/>
  <c r="AE1019" i="1" s="1"/>
  <c r="AF1019" i="1" s="1"/>
  <c r="AC1019" i="1"/>
  <c r="AD1019" i="1" s="1"/>
  <c r="AG1019" i="1"/>
  <c r="AH1019" i="1"/>
  <c r="AI1019" i="1"/>
  <c r="AJ1019" i="1"/>
  <c r="AB1020" i="1"/>
  <c r="AC1020" i="1"/>
  <c r="AD1020" i="1"/>
  <c r="AE1020" i="1"/>
  <c r="AF1020" i="1" s="1"/>
  <c r="AG1020" i="1"/>
  <c r="AI1020" i="1"/>
  <c r="AJ1020" i="1"/>
  <c r="AB1021" i="1"/>
  <c r="AE1021" i="1" s="1"/>
  <c r="AF1021" i="1" s="1"/>
  <c r="AC1021" i="1"/>
  <c r="AD1021" i="1" s="1"/>
  <c r="AG1021" i="1"/>
  <c r="AI1021" i="1"/>
  <c r="AJ1021" i="1"/>
  <c r="AB1022" i="1"/>
  <c r="AE1022" i="1" s="1"/>
  <c r="AF1022" i="1" s="1"/>
  <c r="AC1022" i="1"/>
  <c r="AD1022" i="1" s="1"/>
  <c r="AG1022" i="1"/>
  <c r="AI1022" i="1"/>
  <c r="AJ1022" i="1"/>
  <c r="AB1023" i="1"/>
  <c r="AC1023" i="1"/>
  <c r="AD1023" i="1"/>
  <c r="AE1023" i="1"/>
  <c r="AF1023" i="1" s="1"/>
  <c r="AH1023" i="1" s="1"/>
  <c r="AG1023" i="1"/>
  <c r="AI1023" i="1"/>
  <c r="AJ1023" i="1"/>
  <c r="AB1024" i="1"/>
  <c r="AE1024" i="1" s="1"/>
  <c r="AF1024" i="1" s="1"/>
  <c r="AC1024" i="1"/>
  <c r="AD1024" i="1" s="1"/>
  <c r="AG1024" i="1"/>
  <c r="AI1024" i="1"/>
  <c r="AJ1024" i="1"/>
  <c r="AB1025" i="1"/>
  <c r="AC1025" i="1"/>
  <c r="AD1025" i="1" s="1"/>
  <c r="AE1025" i="1"/>
  <c r="AF1025" i="1" s="1"/>
  <c r="AG1025" i="1"/>
  <c r="AI1025" i="1"/>
  <c r="AJ1025" i="1"/>
  <c r="AB1026" i="1"/>
  <c r="AC1026" i="1"/>
  <c r="AD1026" i="1" s="1"/>
  <c r="AE1026" i="1"/>
  <c r="AF1026" i="1" s="1"/>
  <c r="AH1026" i="1" s="1"/>
  <c r="AG1026" i="1"/>
  <c r="AI1026" i="1"/>
  <c r="AJ1026" i="1"/>
  <c r="AB1027" i="1"/>
  <c r="AC1027" i="1"/>
  <c r="AD1027" i="1" s="1"/>
  <c r="AE1027" i="1"/>
  <c r="AF1027" i="1" s="1"/>
  <c r="AG1027" i="1"/>
  <c r="AI1027" i="1"/>
  <c r="AJ1027" i="1"/>
  <c r="AB1028" i="1"/>
  <c r="AD1028" i="1" s="1"/>
  <c r="AC1028" i="1"/>
  <c r="AE1028" i="1"/>
  <c r="AF1028" i="1" s="1"/>
  <c r="AH1028" i="1" s="1"/>
  <c r="AG1028" i="1"/>
  <c r="AI1028" i="1"/>
  <c r="AJ1028" i="1"/>
  <c r="AB1029" i="1"/>
  <c r="AE1029" i="1" s="1"/>
  <c r="AF1029" i="1" s="1"/>
  <c r="AC1029" i="1"/>
  <c r="AD1029" i="1"/>
  <c r="AG1029" i="1"/>
  <c r="AI1029" i="1"/>
  <c r="AJ1029" i="1"/>
  <c r="AB1030" i="1"/>
  <c r="AC1030" i="1"/>
  <c r="AD1030" i="1" s="1"/>
  <c r="AE1030" i="1"/>
  <c r="AF1030" i="1"/>
  <c r="AH1030" i="1" s="1"/>
  <c r="AG1030" i="1"/>
  <c r="AI1030" i="1"/>
  <c r="AJ1030" i="1"/>
  <c r="AB1031" i="1"/>
  <c r="AE1031" i="1" s="1"/>
  <c r="AF1031" i="1" s="1"/>
  <c r="AC1031" i="1"/>
  <c r="AD1031" i="1" s="1"/>
  <c r="AG1031" i="1"/>
  <c r="AI1031" i="1"/>
  <c r="AJ1031" i="1"/>
  <c r="AB1032" i="1"/>
  <c r="AD1032" i="1" s="1"/>
  <c r="AC1032" i="1"/>
  <c r="AG1032" i="1"/>
  <c r="AI1032" i="1"/>
  <c r="AJ1032" i="1"/>
  <c r="AB1033" i="1"/>
  <c r="AC1033" i="1"/>
  <c r="AG1033" i="1"/>
  <c r="AI1033" i="1"/>
  <c r="AJ1033" i="1"/>
  <c r="AB1034" i="1"/>
  <c r="AC1034" i="1"/>
  <c r="AD1034" i="1"/>
  <c r="AE1034" i="1"/>
  <c r="AF1034" i="1"/>
  <c r="AH1034" i="1" s="1"/>
  <c r="AG1034" i="1"/>
  <c r="AI1034" i="1"/>
  <c r="AJ1034" i="1"/>
  <c r="AB1035" i="1"/>
  <c r="AC1035" i="1"/>
  <c r="AD1035" i="1"/>
  <c r="AE1035" i="1"/>
  <c r="AF1035" i="1"/>
  <c r="AH1035" i="1" s="1"/>
  <c r="AG1035" i="1"/>
  <c r="AI1035" i="1"/>
  <c r="AJ1035" i="1"/>
  <c r="AB1036" i="1"/>
  <c r="AE1036" i="1" s="1"/>
  <c r="AF1036" i="1" s="1"/>
  <c r="AC1036" i="1"/>
  <c r="AD1036" i="1" s="1"/>
  <c r="AG1036" i="1"/>
  <c r="AI1036" i="1"/>
  <c r="AJ1036" i="1"/>
  <c r="AB1037" i="1"/>
  <c r="AC1037" i="1"/>
  <c r="AD1037" i="1" s="1"/>
  <c r="AE1037" i="1"/>
  <c r="AF1037" i="1" s="1"/>
  <c r="AH1037" i="1" s="1"/>
  <c r="AG1037" i="1"/>
  <c r="AI1037" i="1"/>
  <c r="AJ1037" i="1"/>
  <c r="AB1038" i="1"/>
  <c r="AC1038" i="1"/>
  <c r="AD1038" i="1"/>
  <c r="AE1038" i="1"/>
  <c r="AF1038" i="1" s="1"/>
  <c r="AH1038" i="1" s="1"/>
  <c r="AG1038" i="1"/>
  <c r="AI1038" i="1"/>
  <c r="AJ1038" i="1"/>
  <c r="AB1039" i="1"/>
  <c r="AC1039" i="1"/>
  <c r="AD1039" i="1"/>
  <c r="AE1039" i="1"/>
  <c r="AF1039" i="1"/>
  <c r="AH1039" i="1" s="1"/>
  <c r="AG1039" i="1"/>
  <c r="AI1039" i="1"/>
  <c r="AJ1039" i="1"/>
  <c r="AB1040" i="1"/>
  <c r="AE1040" i="1" s="1"/>
  <c r="AF1040" i="1" s="1"/>
  <c r="AC1040" i="1"/>
  <c r="AD1040" i="1" s="1"/>
  <c r="AG1040" i="1"/>
  <c r="AI1040" i="1"/>
  <c r="AJ1040" i="1"/>
  <c r="AB1041" i="1"/>
  <c r="AC1041" i="1"/>
  <c r="AG1041" i="1"/>
  <c r="AI1041" i="1"/>
  <c r="AJ1041" i="1"/>
  <c r="AB1042" i="1"/>
  <c r="AC1042" i="1"/>
  <c r="AE1042" i="1"/>
  <c r="AF1042" i="1" s="1"/>
  <c r="AH1042" i="1" s="1"/>
  <c r="AG1042" i="1"/>
  <c r="AI1042" i="1"/>
  <c r="AJ1042" i="1"/>
  <c r="AB1043" i="1"/>
  <c r="AC1043" i="1"/>
  <c r="AG1043" i="1"/>
  <c r="AI1043" i="1"/>
  <c r="AJ1043" i="1"/>
  <c r="AB1044" i="1"/>
  <c r="AE1044" i="1" s="1"/>
  <c r="AF1044" i="1" s="1"/>
  <c r="AC1044" i="1"/>
  <c r="AD1044" i="1" s="1"/>
  <c r="AG1044" i="1"/>
  <c r="AH1044" i="1" s="1"/>
  <c r="AI1044" i="1"/>
  <c r="AJ1044" i="1"/>
  <c r="AB1045" i="1"/>
  <c r="AE1045" i="1" s="1"/>
  <c r="AF1045" i="1" s="1"/>
  <c r="AC1045" i="1"/>
  <c r="AD1045" i="1" s="1"/>
  <c r="AG1045" i="1"/>
  <c r="AI1045" i="1"/>
  <c r="AJ1045" i="1"/>
  <c r="AB1046" i="1"/>
  <c r="AE1046" i="1" s="1"/>
  <c r="AF1046" i="1" s="1"/>
  <c r="AC1046" i="1"/>
  <c r="AD1046" i="1" s="1"/>
  <c r="AG1046" i="1"/>
  <c r="AH1046" i="1"/>
  <c r="AI1046" i="1"/>
  <c r="AJ1046" i="1"/>
  <c r="AB1047" i="1"/>
  <c r="AE1047" i="1" s="1"/>
  <c r="AF1047" i="1" s="1"/>
  <c r="AH1047" i="1" s="1"/>
  <c r="AC1047" i="1"/>
  <c r="AG1047" i="1"/>
  <c r="AI1047" i="1"/>
  <c r="AJ1047" i="1"/>
  <c r="AB1048" i="1"/>
  <c r="AC1048" i="1"/>
  <c r="AD1048" i="1"/>
  <c r="AE1048" i="1"/>
  <c r="AF1048" i="1" s="1"/>
  <c r="AG1048" i="1"/>
  <c r="AH1048" i="1"/>
  <c r="AI1048" i="1"/>
  <c r="AJ1048" i="1"/>
  <c r="AB1049" i="1"/>
  <c r="AC1049" i="1"/>
  <c r="AG1049" i="1"/>
  <c r="AI1049" i="1"/>
  <c r="AJ1049" i="1"/>
  <c r="AB1050" i="1"/>
  <c r="AE1050" i="1" s="1"/>
  <c r="AF1050" i="1" s="1"/>
  <c r="AH1050" i="1" s="1"/>
  <c r="AC1050" i="1"/>
  <c r="AG1050" i="1"/>
  <c r="AI1050" i="1"/>
  <c r="AJ1050" i="1"/>
  <c r="AB1051" i="1"/>
  <c r="AD1051" i="1" s="1"/>
  <c r="AC1051" i="1"/>
  <c r="AE1051" i="1"/>
  <c r="AF1051" i="1"/>
  <c r="AG1051" i="1"/>
  <c r="AH1051" i="1"/>
  <c r="AI1051" i="1"/>
  <c r="AJ1051" i="1"/>
  <c r="AB1052" i="1"/>
  <c r="AE1052" i="1" s="1"/>
  <c r="AF1052" i="1" s="1"/>
  <c r="AC1052" i="1"/>
  <c r="AG1052" i="1"/>
  <c r="AI1052" i="1"/>
  <c r="AJ1052" i="1"/>
  <c r="AB1053" i="1"/>
  <c r="AC1053" i="1"/>
  <c r="AD1053" i="1"/>
  <c r="AE1053" i="1"/>
  <c r="AF1053" i="1"/>
  <c r="AG1053" i="1"/>
  <c r="AH1053" i="1"/>
  <c r="AI1053" i="1"/>
  <c r="AJ1053" i="1"/>
  <c r="AB1054" i="1"/>
  <c r="AC1054" i="1"/>
  <c r="AD1054" i="1" s="1"/>
  <c r="AE1054" i="1"/>
  <c r="AF1054" i="1" s="1"/>
  <c r="AG1054" i="1"/>
  <c r="AI1054" i="1"/>
  <c r="AJ1054" i="1"/>
  <c r="AB1055" i="1"/>
  <c r="AC1055" i="1"/>
  <c r="AD1055" i="1"/>
  <c r="AE1055" i="1"/>
  <c r="AF1055" i="1"/>
  <c r="AG1055" i="1"/>
  <c r="AH1055" i="1"/>
  <c r="AI1055" i="1"/>
  <c r="AJ1055" i="1"/>
  <c r="AB1056" i="1"/>
  <c r="AE1056" i="1" s="1"/>
  <c r="AF1056" i="1" s="1"/>
  <c r="AC1056" i="1"/>
  <c r="AD1056" i="1" s="1"/>
  <c r="AG1056" i="1"/>
  <c r="AI1056" i="1"/>
  <c r="AJ1056" i="1"/>
  <c r="AB1057" i="1"/>
  <c r="AE1057" i="1" s="1"/>
  <c r="AF1057" i="1" s="1"/>
  <c r="AC1057" i="1"/>
  <c r="AD1057" i="1" s="1"/>
  <c r="AG1057" i="1"/>
  <c r="AI1057" i="1"/>
  <c r="AJ1057" i="1"/>
  <c r="AB1058" i="1"/>
  <c r="AC1058" i="1"/>
  <c r="AD1058" i="1" s="1"/>
  <c r="AE1058" i="1"/>
  <c r="AF1058" i="1"/>
  <c r="AG1058" i="1"/>
  <c r="AI1058" i="1"/>
  <c r="AJ1058" i="1"/>
  <c r="AB1059" i="1"/>
  <c r="AE1059" i="1" s="1"/>
  <c r="AF1059" i="1" s="1"/>
  <c r="AH1059" i="1" s="1"/>
  <c r="AC1059" i="1"/>
  <c r="AD1059" i="1" s="1"/>
  <c r="AG1059" i="1"/>
  <c r="AI1059" i="1"/>
  <c r="AJ1059" i="1"/>
  <c r="AB1060" i="1"/>
  <c r="AC1060" i="1"/>
  <c r="AD1060" i="1"/>
  <c r="AE1060" i="1"/>
  <c r="AF1060" i="1" s="1"/>
  <c r="AG1060" i="1"/>
  <c r="AH1060" i="1"/>
  <c r="AI1060" i="1"/>
  <c r="AJ1060" i="1"/>
  <c r="AB1061" i="1"/>
  <c r="AE1061" i="1" s="1"/>
  <c r="AF1061" i="1" s="1"/>
  <c r="AH1061" i="1" s="1"/>
  <c r="AC1061" i="1"/>
  <c r="AD1061" i="1" s="1"/>
  <c r="AG1061" i="1"/>
  <c r="AI1061" i="1"/>
  <c r="AJ1061" i="1"/>
  <c r="AB1062" i="1"/>
  <c r="AC1062" i="1"/>
  <c r="AD1062" i="1" s="1"/>
  <c r="AE1062" i="1"/>
  <c r="AF1062" i="1" s="1"/>
  <c r="AH1062" i="1" s="1"/>
  <c r="AG1062" i="1"/>
  <c r="AI1062" i="1"/>
  <c r="AJ1062" i="1"/>
  <c r="AB1063" i="1"/>
  <c r="AE1063" i="1" s="1"/>
  <c r="AF1063" i="1" s="1"/>
  <c r="AC1063" i="1"/>
  <c r="AD1063" i="1" s="1"/>
  <c r="AG1063" i="1"/>
  <c r="AI1063" i="1"/>
  <c r="AJ1063" i="1"/>
  <c r="AB1064" i="1"/>
  <c r="AD1064" i="1" s="1"/>
  <c r="AC1064" i="1"/>
  <c r="AE1064" i="1"/>
  <c r="AF1064" i="1" s="1"/>
  <c r="AH1064" i="1" s="1"/>
  <c r="AG1064" i="1"/>
  <c r="AI1064" i="1"/>
  <c r="AJ1064" i="1"/>
  <c r="AB1065" i="1"/>
  <c r="AC1065" i="1"/>
  <c r="AG1065" i="1"/>
  <c r="AI1065" i="1"/>
  <c r="AJ1065" i="1"/>
  <c r="AB1066" i="1"/>
  <c r="AE1066" i="1" s="1"/>
  <c r="AF1066" i="1" s="1"/>
  <c r="AH1066" i="1" s="1"/>
  <c r="AC1066" i="1"/>
  <c r="AD1066" i="1" s="1"/>
  <c r="AG1066" i="1"/>
  <c r="AI1066" i="1"/>
  <c r="AJ1066" i="1"/>
  <c r="AB1067" i="1"/>
  <c r="AE1067" i="1" s="1"/>
  <c r="AF1067" i="1" s="1"/>
  <c r="AH1067" i="1" s="1"/>
  <c r="AC1067" i="1"/>
  <c r="AD1067" i="1" s="1"/>
  <c r="AG1067" i="1"/>
  <c r="AI1067" i="1"/>
  <c r="AJ1067" i="1"/>
  <c r="AB1068" i="1"/>
  <c r="AE1068" i="1" s="1"/>
  <c r="AF1068" i="1" s="1"/>
  <c r="AH1068" i="1" s="1"/>
  <c r="AC1068" i="1"/>
  <c r="AD1068" i="1" s="1"/>
  <c r="AG1068" i="1"/>
  <c r="AI1068" i="1"/>
  <c r="AJ1068" i="1"/>
  <c r="AB1069" i="1"/>
  <c r="AC1069" i="1"/>
  <c r="AD1069" i="1"/>
  <c r="AE1069" i="1"/>
  <c r="AF1069" i="1" s="1"/>
  <c r="AH1069" i="1" s="1"/>
  <c r="AG1069" i="1"/>
  <c r="AI1069" i="1"/>
  <c r="AJ1069" i="1"/>
  <c r="AB1070" i="1"/>
  <c r="AE1070" i="1" s="1"/>
  <c r="AF1070" i="1" s="1"/>
  <c r="AC1070" i="1"/>
  <c r="AD1070" i="1" s="1"/>
  <c r="AG1070" i="1"/>
  <c r="AI1070" i="1"/>
  <c r="AJ1070" i="1"/>
  <c r="AB1071" i="1"/>
  <c r="AC1071" i="1"/>
  <c r="AD1071" i="1"/>
  <c r="AE1071" i="1"/>
  <c r="AF1071" i="1"/>
  <c r="AG1071" i="1"/>
  <c r="AI1071" i="1"/>
  <c r="AJ1071" i="1"/>
  <c r="AB1072" i="1"/>
  <c r="AE1072" i="1" s="1"/>
  <c r="AF1072" i="1" s="1"/>
  <c r="AC1072" i="1"/>
  <c r="AG1072" i="1"/>
  <c r="AI1072" i="1"/>
  <c r="AJ1072" i="1"/>
  <c r="AB1073" i="1"/>
  <c r="AE1073" i="1" s="1"/>
  <c r="AC1073" i="1"/>
  <c r="AF1073" i="1"/>
  <c r="AH1073" i="1" s="1"/>
  <c r="AG1073" i="1"/>
  <c r="AI1073" i="1"/>
  <c r="AJ1073" i="1"/>
  <c r="AB1074" i="1"/>
  <c r="AE1074" i="1" s="1"/>
  <c r="AF1074" i="1" s="1"/>
  <c r="AH1074" i="1" s="1"/>
  <c r="AC1074" i="1"/>
  <c r="AG1074" i="1"/>
  <c r="AI1074" i="1"/>
  <c r="AJ1074" i="1"/>
  <c r="AB1075" i="1"/>
  <c r="AE1075" i="1" s="1"/>
  <c r="AC1075" i="1"/>
  <c r="AD1075" i="1" s="1"/>
  <c r="AF1075" i="1"/>
  <c r="AG1075" i="1"/>
  <c r="AH1075" i="1"/>
  <c r="AI1075" i="1"/>
  <c r="AJ1075" i="1"/>
  <c r="AB1076" i="1"/>
  <c r="AC1076" i="1"/>
  <c r="AD1076" i="1"/>
  <c r="AE1076" i="1"/>
  <c r="AF1076" i="1" s="1"/>
  <c r="AG1076" i="1"/>
  <c r="AI1076" i="1"/>
  <c r="AJ1076" i="1"/>
  <c r="AB1077" i="1"/>
  <c r="AE1077" i="1" s="1"/>
  <c r="AC1077" i="1"/>
  <c r="AF1077" i="1"/>
  <c r="AG1077" i="1"/>
  <c r="AI1077" i="1"/>
  <c r="AJ1077" i="1"/>
  <c r="AB1078" i="1"/>
  <c r="AE1078" i="1" s="1"/>
  <c r="AF1078" i="1" s="1"/>
  <c r="AH1078" i="1" s="1"/>
  <c r="AC1078" i="1"/>
  <c r="AG1078" i="1"/>
  <c r="AI1078" i="1"/>
  <c r="AJ1078" i="1"/>
  <c r="AB1079" i="1"/>
  <c r="AE1079" i="1" s="1"/>
  <c r="AF1079" i="1" s="1"/>
  <c r="AH1079" i="1" s="1"/>
  <c r="AC1079" i="1"/>
  <c r="AG1079" i="1"/>
  <c r="AI1079" i="1"/>
  <c r="AJ1079" i="1"/>
  <c r="AB1080" i="1"/>
  <c r="AC1080" i="1"/>
  <c r="AD1080" i="1" s="1"/>
  <c r="AE1080" i="1"/>
  <c r="AF1080" i="1" s="1"/>
  <c r="AH1080" i="1" s="1"/>
  <c r="AG1080" i="1"/>
  <c r="AI1080" i="1"/>
  <c r="AJ1080" i="1"/>
  <c r="AB1081" i="1"/>
  <c r="AC1081" i="1"/>
  <c r="AG1081" i="1"/>
  <c r="AI1081" i="1"/>
  <c r="AJ1081" i="1"/>
  <c r="AB1082" i="1"/>
  <c r="AE1082" i="1" s="1"/>
  <c r="AF1082" i="1" s="1"/>
  <c r="AC1082" i="1"/>
  <c r="AD1082" i="1" s="1"/>
  <c r="AG1082" i="1"/>
  <c r="AI1082" i="1"/>
  <c r="AJ1082" i="1"/>
  <c r="AB1083" i="1"/>
  <c r="AE1083" i="1" s="1"/>
  <c r="AF1083" i="1" s="1"/>
  <c r="AC1083" i="1"/>
  <c r="AD1083" i="1" s="1"/>
  <c r="AG1083" i="1"/>
  <c r="AH1083" i="1"/>
  <c r="AI1083" i="1"/>
  <c r="AJ1083" i="1"/>
  <c r="AB1084" i="1"/>
  <c r="AC1084" i="1"/>
  <c r="AD1084" i="1"/>
  <c r="AE1084" i="1"/>
  <c r="AF1084" i="1"/>
  <c r="AG1084" i="1"/>
  <c r="AI1084" i="1"/>
  <c r="AJ1084" i="1"/>
  <c r="AB1085" i="1"/>
  <c r="AE1085" i="1" s="1"/>
  <c r="AF1085" i="1" s="1"/>
  <c r="AC1085" i="1"/>
  <c r="AD1085" i="1" s="1"/>
  <c r="AG1085" i="1"/>
  <c r="AH1085" i="1"/>
  <c r="AI1085" i="1"/>
  <c r="AJ1085" i="1"/>
  <c r="AB1086" i="1"/>
  <c r="AC1086" i="1"/>
  <c r="AD1086" i="1"/>
  <c r="AE1086" i="1"/>
  <c r="AF1086" i="1" s="1"/>
  <c r="AG1086" i="1"/>
  <c r="AI1086" i="1"/>
  <c r="AJ1086" i="1"/>
  <c r="AB1087" i="1"/>
  <c r="AE1087" i="1" s="1"/>
  <c r="AF1087" i="1" s="1"/>
  <c r="AH1087" i="1" s="1"/>
  <c r="AC1087" i="1"/>
  <c r="AD1087" i="1" s="1"/>
  <c r="AG1087" i="1"/>
  <c r="AI1087" i="1"/>
  <c r="AJ1087" i="1"/>
  <c r="AB1088" i="1"/>
  <c r="AE1088" i="1" s="1"/>
  <c r="AF1088" i="1" s="1"/>
  <c r="AC1088" i="1"/>
  <c r="AD1088" i="1" s="1"/>
  <c r="AG1088" i="1"/>
  <c r="AI1088" i="1"/>
  <c r="AJ1088" i="1"/>
  <c r="AB1089" i="1"/>
  <c r="AE1089" i="1" s="1"/>
  <c r="AF1089" i="1" s="1"/>
  <c r="AH1089" i="1" s="1"/>
  <c r="AC1089" i="1"/>
  <c r="AD1089" i="1"/>
  <c r="AG1089" i="1"/>
  <c r="AI1089" i="1"/>
  <c r="AJ1089" i="1"/>
  <c r="AB1090" i="1"/>
  <c r="AE1090" i="1" s="1"/>
  <c r="AF1090" i="1" s="1"/>
  <c r="AH1090" i="1" s="1"/>
  <c r="AC1090" i="1"/>
  <c r="AG1090" i="1"/>
  <c r="AI1090" i="1"/>
  <c r="AJ1090" i="1"/>
  <c r="AB1091" i="1"/>
  <c r="AE1091" i="1" s="1"/>
  <c r="AF1091" i="1" s="1"/>
  <c r="AH1091" i="1" s="1"/>
  <c r="AC1091" i="1"/>
  <c r="AD1091" i="1"/>
  <c r="AG1091" i="1"/>
  <c r="AI1091" i="1"/>
  <c r="AJ1091" i="1"/>
  <c r="AB1092" i="1"/>
  <c r="AE1092" i="1" s="1"/>
  <c r="AF1092" i="1" s="1"/>
  <c r="AH1092" i="1" s="1"/>
  <c r="AC1092" i="1"/>
  <c r="AD1092" i="1" s="1"/>
  <c r="AG1092" i="1"/>
  <c r="AI1092" i="1"/>
  <c r="AJ1092" i="1"/>
  <c r="AB1093" i="1"/>
  <c r="AE1093" i="1" s="1"/>
  <c r="AF1093" i="1" s="1"/>
  <c r="AH1093" i="1" s="1"/>
  <c r="AC1093" i="1"/>
  <c r="AD1093" i="1" s="1"/>
  <c r="AG1093" i="1"/>
  <c r="AI1093" i="1"/>
  <c r="AJ1093" i="1"/>
  <c r="AB1094" i="1"/>
  <c r="AC1094" i="1"/>
  <c r="AD1094" i="1" s="1"/>
  <c r="AE1094" i="1"/>
  <c r="AF1094" i="1"/>
  <c r="AH1094" i="1" s="1"/>
  <c r="AG1094" i="1"/>
  <c r="AI1094" i="1"/>
  <c r="AJ1094" i="1"/>
  <c r="AB1095" i="1"/>
  <c r="AE1095" i="1" s="1"/>
  <c r="AF1095" i="1" s="1"/>
  <c r="AH1095" i="1" s="1"/>
  <c r="AC1095" i="1"/>
  <c r="AD1095" i="1" s="1"/>
  <c r="AG1095" i="1"/>
  <c r="AI1095" i="1"/>
  <c r="AJ1095" i="1"/>
  <c r="AB1096" i="1"/>
  <c r="AC1096" i="1"/>
  <c r="AD1096" i="1"/>
  <c r="AE1096" i="1"/>
  <c r="AF1096" i="1"/>
  <c r="AG1096" i="1"/>
  <c r="AH1096" i="1"/>
  <c r="AI1096" i="1"/>
  <c r="AJ1096" i="1"/>
  <c r="AB1097" i="1"/>
  <c r="AC1097" i="1"/>
  <c r="AG1097" i="1"/>
  <c r="AI1097" i="1"/>
  <c r="AJ1097" i="1"/>
  <c r="AB1098" i="1"/>
  <c r="AC1098" i="1"/>
  <c r="AD1098" i="1"/>
  <c r="AE1098" i="1"/>
  <c r="AF1098" i="1"/>
  <c r="AG1098" i="1"/>
  <c r="AI1098" i="1"/>
  <c r="AJ1098" i="1"/>
  <c r="AB1099" i="1"/>
  <c r="AE1099" i="1" s="1"/>
  <c r="AF1099" i="1" s="1"/>
  <c r="AH1099" i="1" s="1"/>
  <c r="AC1099" i="1"/>
  <c r="AD1099" i="1" s="1"/>
  <c r="AG1099" i="1"/>
  <c r="AI1099" i="1"/>
  <c r="AJ1099" i="1"/>
  <c r="AB1100" i="1"/>
  <c r="AE1100" i="1" s="1"/>
  <c r="AF1100" i="1" s="1"/>
  <c r="AC1100" i="1"/>
  <c r="AD1100" i="1"/>
  <c r="AG1100" i="1"/>
  <c r="AI1100" i="1"/>
  <c r="AJ1100" i="1"/>
  <c r="AB1101" i="1"/>
  <c r="AC1101" i="1"/>
  <c r="AD1101" i="1"/>
  <c r="AE1101" i="1"/>
  <c r="AF1101" i="1"/>
  <c r="AH1101" i="1" s="1"/>
  <c r="AG1101" i="1"/>
  <c r="AI1101" i="1"/>
  <c r="AJ1101" i="1"/>
  <c r="AB1102" i="1"/>
  <c r="AE1102" i="1" s="1"/>
  <c r="AF1102" i="1" s="1"/>
  <c r="AC1102" i="1"/>
  <c r="AD1102" i="1" s="1"/>
  <c r="AG1102" i="1"/>
  <c r="AI1102" i="1"/>
  <c r="AJ1102" i="1"/>
  <c r="AB1103" i="1"/>
  <c r="AC1103" i="1"/>
  <c r="AD1103" i="1"/>
  <c r="AE1103" i="1"/>
  <c r="AF1103" i="1"/>
  <c r="AG1103" i="1"/>
  <c r="AH1103" i="1"/>
  <c r="AI1103" i="1"/>
  <c r="AJ1103" i="1"/>
  <c r="AB1104" i="1"/>
  <c r="AE1104" i="1" s="1"/>
  <c r="AF1104" i="1" s="1"/>
  <c r="AH1104" i="1" s="1"/>
  <c r="AC1104" i="1"/>
  <c r="AG1104" i="1"/>
  <c r="AI1104" i="1"/>
  <c r="AJ1104" i="1"/>
  <c r="AB1105" i="1"/>
  <c r="AE1105" i="1" s="1"/>
  <c r="AF1105" i="1" s="1"/>
  <c r="AC1105" i="1"/>
  <c r="AD1105" i="1"/>
  <c r="AG1105" i="1"/>
  <c r="AI1105" i="1"/>
  <c r="AJ1105" i="1"/>
  <c r="AB1106" i="1"/>
  <c r="AC1106" i="1"/>
  <c r="AD1106" i="1" s="1"/>
  <c r="AE1106" i="1"/>
  <c r="AF1106" i="1" s="1"/>
  <c r="AH1106" i="1" s="1"/>
  <c r="AG1106" i="1"/>
  <c r="AI1106" i="1"/>
  <c r="AJ1106" i="1"/>
  <c r="AB1107" i="1"/>
  <c r="AE1107" i="1" s="1"/>
  <c r="AF1107" i="1" s="1"/>
  <c r="AC1107" i="1"/>
  <c r="AD1107" i="1"/>
  <c r="AG1107" i="1"/>
  <c r="AI1107" i="1"/>
  <c r="AJ1107" i="1"/>
  <c r="AB1108" i="1"/>
  <c r="AC1108" i="1"/>
  <c r="AD1108" i="1"/>
  <c r="AE1108" i="1"/>
  <c r="AF1108" i="1" s="1"/>
  <c r="AG1108" i="1"/>
  <c r="AI1108" i="1"/>
  <c r="AJ1108" i="1"/>
  <c r="AB1109" i="1"/>
  <c r="AE1109" i="1" s="1"/>
  <c r="AF1109" i="1" s="1"/>
  <c r="AH1109" i="1" s="1"/>
  <c r="AC1109" i="1"/>
  <c r="AG1109" i="1"/>
  <c r="AI1109" i="1"/>
  <c r="AJ1109" i="1"/>
  <c r="AB1110" i="1"/>
  <c r="AC1110" i="1"/>
  <c r="AD1110" i="1" s="1"/>
  <c r="AE1110" i="1"/>
  <c r="AF1110" i="1"/>
  <c r="AG1110" i="1"/>
  <c r="AI1110" i="1"/>
  <c r="AJ1110" i="1"/>
  <c r="AB1111" i="1"/>
  <c r="AE1111" i="1" s="1"/>
  <c r="AF1111" i="1" s="1"/>
  <c r="AC1111" i="1"/>
  <c r="AD1111" i="1" s="1"/>
  <c r="AG1111" i="1"/>
  <c r="AI1111" i="1"/>
  <c r="AJ1111" i="1"/>
  <c r="AB1112" i="1"/>
  <c r="AD1112" i="1" s="1"/>
  <c r="AC1112" i="1"/>
  <c r="AG1112" i="1"/>
  <c r="AI1112" i="1"/>
  <c r="AJ1112" i="1"/>
  <c r="AB1113" i="1"/>
  <c r="AC1113" i="1"/>
  <c r="AG1113" i="1"/>
  <c r="AI1113" i="1"/>
  <c r="AJ1113" i="1"/>
  <c r="AB1114" i="1"/>
  <c r="AE1114" i="1" s="1"/>
  <c r="AF1114" i="1" s="1"/>
  <c r="AH1114" i="1" s="1"/>
  <c r="AC1114" i="1"/>
  <c r="AD1114" i="1"/>
  <c r="AG1114" i="1"/>
  <c r="AI1114" i="1"/>
  <c r="AJ1114" i="1"/>
  <c r="AB1115" i="1"/>
  <c r="AC1115" i="1"/>
  <c r="AD1115" i="1"/>
  <c r="AE1115" i="1"/>
  <c r="AF1115" i="1"/>
  <c r="AG1115" i="1"/>
  <c r="AH1115" i="1"/>
  <c r="AI1115" i="1"/>
  <c r="AJ1115" i="1"/>
  <c r="AB1116" i="1"/>
  <c r="AE1116" i="1" s="1"/>
  <c r="AF1116" i="1" s="1"/>
  <c r="AC1116" i="1"/>
  <c r="AD1116" i="1" s="1"/>
  <c r="AG1116" i="1"/>
  <c r="AI1116" i="1"/>
  <c r="AJ1116" i="1"/>
  <c r="AB1117" i="1"/>
  <c r="AE1117" i="1" s="1"/>
  <c r="AF1117" i="1" s="1"/>
  <c r="AH1117" i="1" s="1"/>
  <c r="AC1117" i="1"/>
  <c r="AD1117" i="1" s="1"/>
  <c r="AG1117" i="1"/>
  <c r="AI1117" i="1"/>
  <c r="AJ1117" i="1"/>
  <c r="AB1118" i="1"/>
  <c r="AD1118" i="1" s="1"/>
  <c r="AC1118" i="1"/>
  <c r="AG1118" i="1"/>
  <c r="AI1118" i="1"/>
  <c r="AJ1118" i="1"/>
  <c r="AB1119" i="1"/>
  <c r="AE1119" i="1" s="1"/>
  <c r="AF1119" i="1" s="1"/>
  <c r="AH1119" i="1" s="1"/>
  <c r="AC1119" i="1"/>
  <c r="AD1119" i="1" s="1"/>
  <c r="AG1119" i="1"/>
  <c r="AI1119" i="1"/>
  <c r="AJ1119" i="1"/>
  <c r="AB1120" i="1"/>
  <c r="AE1120" i="1" s="1"/>
  <c r="AF1120" i="1" s="1"/>
  <c r="AC1120" i="1"/>
  <c r="AD1120" i="1" s="1"/>
  <c r="AG1120" i="1"/>
  <c r="AI1120" i="1"/>
  <c r="AJ1120" i="1"/>
  <c r="AB1121" i="1"/>
  <c r="AC1121" i="1"/>
  <c r="AD1121" i="1"/>
  <c r="AE1121" i="1"/>
  <c r="AF1121" i="1"/>
  <c r="AG1121" i="1"/>
  <c r="AI1121" i="1"/>
  <c r="AJ1121" i="1"/>
  <c r="AB1122" i="1"/>
  <c r="AC1122" i="1"/>
  <c r="AE1122" i="1"/>
  <c r="AF1122" i="1" s="1"/>
  <c r="AH1122" i="1" s="1"/>
  <c r="AG1122" i="1"/>
  <c r="AI1122" i="1"/>
  <c r="AJ1122" i="1"/>
  <c r="AB1123" i="1"/>
  <c r="AC1123" i="1"/>
  <c r="AD1123" i="1"/>
  <c r="AE1123" i="1"/>
  <c r="AF1123" i="1"/>
  <c r="AG1123" i="1"/>
  <c r="AI1123" i="1"/>
  <c r="AJ1123" i="1"/>
  <c r="AB1124" i="1"/>
  <c r="AE1124" i="1" s="1"/>
  <c r="AF1124" i="1" s="1"/>
  <c r="AH1124" i="1" s="1"/>
  <c r="AC1124" i="1"/>
  <c r="AD1124" i="1" s="1"/>
  <c r="AG1124" i="1"/>
  <c r="AI1124" i="1"/>
  <c r="AJ1124" i="1"/>
  <c r="AB1125" i="1"/>
  <c r="AC1125" i="1"/>
  <c r="AD1125" i="1"/>
  <c r="AE1125" i="1"/>
  <c r="AF1125" i="1"/>
  <c r="AG1125" i="1"/>
  <c r="AI1125" i="1"/>
  <c r="AJ1125" i="1"/>
  <c r="AB1126" i="1"/>
  <c r="AC1126" i="1"/>
  <c r="AD1126" i="1" s="1"/>
  <c r="AE1126" i="1"/>
  <c r="AF1126" i="1" s="1"/>
  <c r="AH1126" i="1" s="1"/>
  <c r="AG1126" i="1"/>
  <c r="AI1126" i="1"/>
  <c r="AJ1126" i="1"/>
  <c r="AB1127" i="1"/>
  <c r="AE1127" i="1" s="1"/>
  <c r="AF1127" i="1" s="1"/>
  <c r="AC1127" i="1"/>
  <c r="AD1127" i="1"/>
  <c r="AG1127" i="1"/>
  <c r="AI1127" i="1"/>
  <c r="AJ1127" i="1"/>
  <c r="AB1128" i="1"/>
  <c r="AE1128" i="1" s="1"/>
  <c r="AF1128" i="1" s="1"/>
  <c r="AH1128" i="1" s="1"/>
  <c r="AC1128" i="1"/>
  <c r="AD1128" i="1" s="1"/>
  <c r="AG1128" i="1"/>
  <c r="AI1128" i="1"/>
  <c r="AJ1128" i="1"/>
  <c r="AB1129" i="1"/>
  <c r="AC1129" i="1"/>
  <c r="AG1129" i="1"/>
  <c r="AI1129" i="1"/>
  <c r="AJ1129" i="1"/>
  <c r="AB1130" i="1"/>
  <c r="AC1130" i="1"/>
  <c r="AG1130" i="1"/>
  <c r="AI1130" i="1"/>
  <c r="AJ1130" i="1"/>
  <c r="AB1131" i="1"/>
  <c r="AE1131" i="1" s="1"/>
  <c r="AF1131" i="1" s="1"/>
  <c r="AH1131" i="1" s="1"/>
  <c r="AC1131" i="1"/>
  <c r="AD1131" i="1" s="1"/>
  <c r="AG1131" i="1"/>
  <c r="AI1131" i="1"/>
  <c r="AJ1131" i="1"/>
  <c r="AB1132" i="1"/>
  <c r="AC1132" i="1"/>
  <c r="AD1132" i="1"/>
  <c r="AE1132" i="1"/>
  <c r="AF1132" i="1"/>
  <c r="AG1132" i="1"/>
  <c r="AI1132" i="1"/>
  <c r="AJ1132" i="1"/>
  <c r="AB1133" i="1"/>
  <c r="AE1133" i="1" s="1"/>
  <c r="AF1133" i="1" s="1"/>
  <c r="AH1133" i="1" s="1"/>
  <c r="AC1133" i="1"/>
  <c r="AG1133" i="1"/>
  <c r="AI1133" i="1"/>
  <c r="AJ1133" i="1"/>
  <c r="AB1134" i="1"/>
  <c r="AC1134" i="1"/>
  <c r="AD1134" i="1"/>
  <c r="AE1134" i="1"/>
  <c r="AF1134" i="1" s="1"/>
  <c r="AG1134" i="1"/>
  <c r="AI1134" i="1"/>
  <c r="AJ1134" i="1"/>
  <c r="AB1135" i="1"/>
  <c r="AC1135" i="1"/>
  <c r="AG1135" i="1"/>
  <c r="AI1135" i="1"/>
  <c r="AJ1135" i="1"/>
  <c r="AB1136" i="1"/>
  <c r="AE1136" i="1" s="1"/>
  <c r="AF1136" i="1" s="1"/>
  <c r="AC1136" i="1"/>
  <c r="AD1136" i="1" s="1"/>
  <c r="AG1136" i="1"/>
  <c r="AI1136" i="1"/>
  <c r="AJ1136" i="1"/>
  <c r="AB1137" i="1"/>
  <c r="AE1137" i="1" s="1"/>
  <c r="AF1137" i="1" s="1"/>
  <c r="AC1137" i="1"/>
  <c r="AD1137" i="1"/>
  <c r="AG1137" i="1"/>
  <c r="AI1137" i="1"/>
  <c r="AJ1137" i="1"/>
  <c r="AB1138" i="1"/>
  <c r="AE1138" i="1" s="1"/>
  <c r="AC1138" i="1"/>
  <c r="AD1138" i="1" s="1"/>
  <c r="AF1138" i="1"/>
  <c r="AG1138" i="1"/>
  <c r="AI1138" i="1"/>
  <c r="AJ1138" i="1"/>
  <c r="AB1139" i="1"/>
  <c r="AE1139" i="1" s="1"/>
  <c r="AF1139" i="1" s="1"/>
  <c r="AC1139" i="1"/>
  <c r="AD1139" i="1"/>
  <c r="AG1139" i="1"/>
  <c r="AI1139" i="1"/>
  <c r="AJ1139" i="1"/>
  <c r="AB1140" i="1"/>
  <c r="AC1140" i="1"/>
  <c r="AD1140" i="1"/>
  <c r="AE1140" i="1"/>
  <c r="AF1140" i="1" s="1"/>
  <c r="AG1140" i="1"/>
  <c r="AI1140" i="1"/>
  <c r="AJ1140" i="1"/>
  <c r="AB1141" i="1"/>
  <c r="AE1141" i="1" s="1"/>
  <c r="AF1141" i="1" s="1"/>
  <c r="AC1141" i="1"/>
  <c r="AD1141" i="1" s="1"/>
  <c r="AG1141" i="1"/>
  <c r="AI1141" i="1"/>
  <c r="AJ1141" i="1"/>
  <c r="AB1142" i="1"/>
  <c r="AC1142" i="1"/>
  <c r="AE1142" i="1"/>
  <c r="AF1142" i="1"/>
  <c r="AG1142" i="1"/>
  <c r="AH1142" i="1"/>
  <c r="AI1142" i="1"/>
  <c r="AJ1142" i="1"/>
  <c r="AB1143" i="1"/>
  <c r="AE1143" i="1" s="1"/>
  <c r="AF1143" i="1" s="1"/>
  <c r="AC1143" i="1"/>
  <c r="AD1143" i="1" s="1"/>
  <c r="AG1143" i="1"/>
  <c r="AI1143" i="1"/>
  <c r="AJ1143" i="1"/>
  <c r="AB1144" i="1"/>
  <c r="AC1144" i="1"/>
  <c r="AD1144" i="1" s="1"/>
  <c r="AE1144" i="1"/>
  <c r="AF1144" i="1"/>
  <c r="AG1144" i="1"/>
  <c r="AH1144" i="1"/>
  <c r="AI1144" i="1"/>
  <c r="AJ1144" i="1"/>
  <c r="AB1145" i="1"/>
  <c r="AC1145" i="1"/>
  <c r="AG1145" i="1"/>
  <c r="AI1145" i="1"/>
  <c r="AJ1145" i="1"/>
  <c r="AB1146" i="1"/>
  <c r="AE1146" i="1" s="1"/>
  <c r="AF1146" i="1" s="1"/>
  <c r="AH1146" i="1" s="1"/>
  <c r="AC1146" i="1"/>
  <c r="AG1146" i="1"/>
  <c r="AI1146" i="1"/>
  <c r="AJ1146" i="1"/>
  <c r="AB1147" i="1"/>
  <c r="AC1147" i="1"/>
  <c r="AD1147" i="1" s="1"/>
  <c r="AE1147" i="1"/>
  <c r="AF1147" i="1"/>
  <c r="AG1147" i="1"/>
  <c r="AH1147" i="1"/>
  <c r="AI1147" i="1"/>
  <c r="AJ1147" i="1"/>
  <c r="AB1148" i="1"/>
  <c r="AD1148" i="1" s="1"/>
  <c r="AC1148" i="1"/>
  <c r="AG1148" i="1"/>
  <c r="AI1148" i="1"/>
  <c r="AJ1148" i="1"/>
  <c r="AB1149" i="1"/>
  <c r="AE1149" i="1" s="1"/>
  <c r="AF1149" i="1" s="1"/>
  <c r="AH1149" i="1" s="1"/>
  <c r="AC1149" i="1"/>
  <c r="AD1149" i="1" s="1"/>
  <c r="AG1149" i="1"/>
  <c r="AI1149" i="1"/>
  <c r="AJ1149" i="1"/>
  <c r="AB1150" i="1"/>
  <c r="AE1150" i="1" s="1"/>
  <c r="AF1150" i="1" s="1"/>
  <c r="AH1150" i="1" s="1"/>
  <c r="AC1150" i="1"/>
  <c r="AD1150" i="1"/>
  <c r="AG1150" i="1"/>
  <c r="AI1150" i="1"/>
  <c r="AJ1150" i="1"/>
  <c r="AB1151" i="1"/>
  <c r="AE1151" i="1" s="1"/>
  <c r="AF1151" i="1" s="1"/>
  <c r="AH1151" i="1" s="1"/>
  <c r="AC1151" i="1"/>
  <c r="AD1151" i="1" s="1"/>
  <c r="AG1151" i="1"/>
  <c r="AI1151" i="1"/>
  <c r="AJ1151" i="1"/>
  <c r="AB1152" i="1"/>
  <c r="AE1152" i="1" s="1"/>
  <c r="AF1152" i="1" s="1"/>
  <c r="AC1152" i="1"/>
  <c r="AD1152" i="1" s="1"/>
  <c r="AG1152" i="1"/>
  <c r="AI1152" i="1"/>
  <c r="AJ1152" i="1"/>
  <c r="AB1153" i="1"/>
  <c r="AE1153" i="1" s="1"/>
  <c r="AF1153" i="1" s="1"/>
  <c r="AC1153" i="1"/>
  <c r="AD1153" i="1" s="1"/>
  <c r="AG1153" i="1"/>
  <c r="AI1153" i="1"/>
  <c r="AJ1153" i="1"/>
  <c r="AB1154" i="1"/>
  <c r="AC1154" i="1"/>
  <c r="AD1154" i="1" s="1"/>
  <c r="AE1154" i="1"/>
  <c r="AF1154" i="1" s="1"/>
  <c r="AG1154" i="1"/>
  <c r="AI1154" i="1"/>
  <c r="AJ1154" i="1"/>
  <c r="AB1155" i="1"/>
  <c r="AE1155" i="1" s="1"/>
  <c r="AF1155" i="1" s="1"/>
  <c r="AH1155" i="1" s="1"/>
  <c r="AC1155" i="1"/>
  <c r="AD1155" i="1" s="1"/>
  <c r="AG1155" i="1"/>
  <c r="AI1155" i="1"/>
  <c r="AJ1155" i="1"/>
  <c r="AB1156" i="1"/>
  <c r="AC1156" i="1"/>
  <c r="AD1156" i="1"/>
  <c r="AE1156" i="1"/>
  <c r="AF1156" i="1" s="1"/>
  <c r="AH1156" i="1" s="1"/>
  <c r="AG1156" i="1"/>
  <c r="AI1156" i="1"/>
  <c r="AJ1156" i="1"/>
  <c r="AB1157" i="1"/>
  <c r="AE1157" i="1" s="1"/>
  <c r="AF1157" i="1" s="1"/>
  <c r="AH1157" i="1" s="1"/>
  <c r="AC1157" i="1"/>
  <c r="AD1157" i="1" s="1"/>
  <c r="AG1157" i="1"/>
  <c r="AI1157" i="1"/>
  <c r="AJ1157" i="1"/>
  <c r="AB1158" i="1"/>
  <c r="AC1158" i="1"/>
  <c r="AD1158" i="1" s="1"/>
  <c r="AE1158" i="1"/>
  <c r="AF1158" i="1"/>
  <c r="AG1158" i="1"/>
  <c r="AH1158" i="1"/>
  <c r="AI1158" i="1"/>
  <c r="AJ1158" i="1"/>
  <c r="AB1159" i="1"/>
  <c r="AE1159" i="1" s="1"/>
  <c r="AF1159" i="1" s="1"/>
  <c r="AH1159" i="1" s="1"/>
  <c r="AC1159" i="1"/>
  <c r="AG1159" i="1"/>
  <c r="AI1159" i="1"/>
  <c r="AJ1159" i="1"/>
  <c r="AB1160" i="1"/>
  <c r="AC1160" i="1"/>
  <c r="AD1160" i="1"/>
  <c r="AE1160" i="1"/>
  <c r="AF1160" i="1" s="1"/>
  <c r="AG1160" i="1"/>
  <c r="AI1160" i="1"/>
  <c r="AJ1160" i="1"/>
  <c r="AB1161" i="1"/>
  <c r="AC1161" i="1"/>
  <c r="AG1161" i="1"/>
  <c r="AI1161" i="1"/>
  <c r="AJ1161" i="1"/>
  <c r="AB1162" i="1"/>
  <c r="AE1162" i="1" s="1"/>
  <c r="AF1162" i="1" s="1"/>
  <c r="AC1162" i="1"/>
  <c r="AD1162" i="1" s="1"/>
  <c r="AG1162" i="1"/>
  <c r="AI1162" i="1"/>
  <c r="AJ1162" i="1"/>
  <c r="AB1163" i="1"/>
  <c r="AC1163" i="1"/>
  <c r="AD1163" i="1"/>
  <c r="AE1163" i="1"/>
  <c r="AF1163" i="1"/>
  <c r="AG1163" i="1"/>
  <c r="AI1163" i="1"/>
  <c r="AJ1163" i="1"/>
  <c r="AB1164" i="1"/>
  <c r="AE1164" i="1" s="1"/>
  <c r="AF1164" i="1" s="1"/>
  <c r="AH1164" i="1" s="1"/>
  <c r="AC1164" i="1"/>
  <c r="AD1164" i="1" s="1"/>
  <c r="AG1164" i="1"/>
  <c r="AI1164" i="1"/>
  <c r="AJ1164" i="1"/>
  <c r="AB1165" i="1"/>
  <c r="AC1165" i="1"/>
  <c r="AD1165" i="1"/>
  <c r="AE1165" i="1"/>
  <c r="AF1165" i="1"/>
  <c r="AG1165" i="1"/>
  <c r="AI1165" i="1"/>
  <c r="AJ1165" i="1"/>
  <c r="AB1166" i="1"/>
  <c r="AE1166" i="1" s="1"/>
  <c r="AF1166" i="1" s="1"/>
  <c r="AC1166" i="1"/>
  <c r="AG1166" i="1"/>
  <c r="AI1166" i="1"/>
  <c r="AJ1166" i="1"/>
  <c r="AB1167" i="1"/>
  <c r="AC1167" i="1"/>
  <c r="AD1167" i="1"/>
  <c r="AE1167" i="1"/>
  <c r="AF1167" i="1"/>
  <c r="AG1167" i="1"/>
  <c r="AI1167" i="1"/>
  <c r="AJ1167" i="1"/>
  <c r="AB1168" i="1"/>
  <c r="AE1168" i="1" s="1"/>
  <c r="AF1168" i="1" s="1"/>
  <c r="AC1168" i="1"/>
  <c r="AD1168" i="1" s="1"/>
  <c r="AG1168" i="1"/>
  <c r="AI1168" i="1"/>
  <c r="AJ1168" i="1"/>
  <c r="AB1169" i="1"/>
  <c r="AE1169" i="1" s="1"/>
  <c r="AF1169" i="1" s="1"/>
  <c r="AH1169" i="1" s="1"/>
  <c r="AC1169" i="1"/>
  <c r="AG1169" i="1"/>
  <c r="AI1169" i="1"/>
  <c r="AJ1169" i="1"/>
  <c r="AB1170" i="1"/>
  <c r="AC1170" i="1"/>
  <c r="AD1170" i="1" s="1"/>
  <c r="AE1170" i="1"/>
  <c r="AF1170" i="1"/>
  <c r="AG1170" i="1"/>
  <c r="AI1170" i="1"/>
  <c r="AJ1170" i="1"/>
  <c r="AB1171" i="1"/>
  <c r="AE1171" i="1" s="1"/>
  <c r="AF1171" i="1" s="1"/>
  <c r="AC1171" i="1"/>
  <c r="AD1171" i="1" s="1"/>
  <c r="AG1171" i="1"/>
  <c r="AH1171" i="1"/>
  <c r="AI1171" i="1"/>
  <c r="AJ1171" i="1"/>
  <c r="AB1172" i="1"/>
  <c r="AC1172" i="1"/>
  <c r="AD1172" i="1"/>
  <c r="AE1172" i="1"/>
  <c r="AF1172" i="1" s="1"/>
  <c r="AG1172" i="1"/>
  <c r="AI1172" i="1"/>
  <c r="AJ1172" i="1"/>
  <c r="AB1173" i="1"/>
  <c r="AE1173" i="1" s="1"/>
  <c r="AF1173" i="1" s="1"/>
  <c r="AC1173" i="1"/>
  <c r="AD1173" i="1" s="1"/>
  <c r="AG1173" i="1"/>
  <c r="AI1173" i="1"/>
  <c r="AJ1173" i="1"/>
  <c r="AB1174" i="1"/>
  <c r="AE1174" i="1" s="1"/>
  <c r="AF1174" i="1" s="1"/>
  <c r="AH1174" i="1" s="1"/>
  <c r="AC1174" i="1"/>
  <c r="AD1174" i="1" s="1"/>
  <c r="AG1174" i="1"/>
  <c r="AI1174" i="1"/>
  <c r="AJ1174" i="1"/>
  <c r="AB1175" i="1"/>
  <c r="AE1175" i="1" s="1"/>
  <c r="AF1175" i="1" s="1"/>
  <c r="AH1175" i="1" s="1"/>
  <c r="AC1175" i="1"/>
  <c r="AD1175" i="1" s="1"/>
  <c r="AG1175" i="1"/>
  <c r="AI1175" i="1"/>
  <c r="AJ1175" i="1"/>
  <c r="AB1176" i="1"/>
  <c r="AC1176" i="1"/>
  <c r="AD1176" i="1"/>
  <c r="AE1176" i="1"/>
  <c r="AF1176" i="1"/>
  <c r="AG1176" i="1"/>
  <c r="AI1176" i="1"/>
  <c r="AJ1176" i="1"/>
  <c r="AB1177" i="1"/>
  <c r="AC1177" i="1"/>
  <c r="AG1177" i="1"/>
  <c r="AI1177" i="1"/>
  <c r="AJ1177" i="1"/>
  <c r="AB1178" i="1"/>
  <c r="AC1178" i="1"/>
  <c r="AG1178" i="1"/>
  <c r="AI1178" i="1"/>
  <c r="AJ1178" i="1"/>
  <c r="AB1179" i="1"/>
  <c r="AC1179" i="1"/>
  <c r="AD1179" i="1"/>
  <c r="AE1179" i="1"/>
  <c r="AF1179" i="1" s="1"/>
  <c r="AH1179" i="1" s="1"/>
  <c r="AG1179" i="1"/>
  <c r="AI1179" i="1"/>
  <c r="AJ1179" i="1"/>
  <c r="AB1180" i="1"/>
  <c r="AE1180" i="1" s="1"/>
  <c r="AF1180" i="1" s="1"/>
  <c r="AC1180" i="1"/>
  <c r="AD1180" i="1" s="1"/>
  <c r="AG1180" i="1"/>
  <c r="AI1180" i="1"/>
  <c r="AJ1180" i="1"/>
  <c r="AB1181" i="1"/>
  <c r="AC1181" i="1"/>
  <c r="AD1181" i="1"/>
  <c r="AE1181" i="1"/>
  <c r="AF1181" i="1"/>
  <c r="AH1181" i="1" s="1"/>
  <c r="AG1181" i="1"/>
  <c r="AI1181" i="1"/>
  <c r="AJ1181" i="1"/>
  <c r="AB1182" i="1"/>
  <c r="AD1182" i="1" s="1"/>
  <c r="AC1182" i="1"/>
  <c r="AG1182" i="1"/>
  <c r="AI1182" i="1"/>
  <c r="AJ1182" i="1"/>
  <c r="AB1183" i="1"/>
  <c r="AC1183" i="1"/>
  <c r="AD1183" i="1"/>
  <c r="AE1183" i="1"/>
  <c r="AF1183" i="1"/>
  <c r="AG1183" i="1"/>
  <c r="AH1183" i="1"/>
  <c r="AI1183" i="1"/>
  <c r="AJ1183" i="1"/>
  <c r="AB1184" i="1"/>
  <c r="AE1184" i="1" s="1"/>
  <c r="AF1184" i="1" s="1"/>
  <c r="AH1184" i="1" s="1"/>
  <c r="AC1184" i="1"/>
  <c r="AG1184" i="1"/>
  <c r="AI1184" i="1"/>
  <c r="AJ1184" i="1"/>
  <c r="AB1185" i="1"/>
  <c r="AC1185" i="1"/>
  <c r="AD1185" i="1"/>
  <c r="AE1185" i="1"/>
  <c r="AF1185" i="1"/>
  <c r="AG1185" i="1"/>
  <c r="AH1185" i="1"/>
  <c r="AI1185" i="1"/>
  <c r="AJ1185" i="1"/>
  <c r="AB1186" i="1"/>
  <c r="AC1186" i="1"/>
  <c r="AD1186" i="1" s="1"/>
  <c r="AE1186" i="1"/>
  <c r="AF1186" i="1" s="1"/>
  <c r="AG1186" i="1"/>
  <c r="AI1186" i="1"/>
  <c r="AJ1186" i="1"/>
  <c r="AB1187" i="1"/>
  <c r="AC1187" i="1"/>
  <c r="AD1187" i="1"/>
  <c r="AE1187" i="1"/>
  <c r="AF1187" i="1"/>
  <c r="AG1187" i="1"/>
  <c r="AH1187" i="1"/>
  <c r="AI1187" i="1"/>
  <c r="AJ1187" i="1"/>
  <c r="AB1188" i="1"/>
  <c r="AE1188" i="1" s="1"/>
  <c r="AF1188" i="1" s="1"/>
  <c r="AH1188" i="1" s="1"/>
  <c r="AC1188" i="1"/>
  <c r="AD1188" i="1" s="1"/>
  <c r="AG1188" i="1"/>
  <c r="AI1188" i="1"/>
  <c r="AJ1188" i="1"/>
  <c r="AB1189" i="1"/>
  <c r="AC1189" i="1"/>
  <c r="AD1189" i="1"/>
  <c r="AE1189" i="1"/>
  <c r="AF1189" i="1"/>
  <c r="AG1189" i="1"/>
  <c r="AI1189" i="1"/>
  <c r="AJ1189" i="1"/>
  <c r="AB1190" i="1"/>
  <c r="AC1190" i="1"/>
  <c r="AD1190" i="1" s="1"/>
  <c r="AE1190" i="1"/>
  <c r="AF1190" i="1" s="1"/>
  <c r="AH1190" i="1" s="1"/>
  <c r="AG1190" i="1"/>
  <c r="AI1190" i="1"/>
  <c r="AJ1190" i="1"/>
  <c r="AB1191" i="1"/>
  <c r="AE1191" i="1" s="1"/>
  <c r="AF1191" i="1" s="1"/>
  <c r="AH1191" i="1" s="1"/>
  <c r="AC1191" i="1"/>
  <c r="AD1191" i="1" s="1"/>
  <c r="AG1191" i="1"/>
  <c r="AI1191" i="1"/>
  <c r="AJ1191" i="1"/>
  <c r="AB1192" i="1"/>
  <c r="AE1192" i="1" s="1"/>
  <c r="AC1192" i="1"/>
  <c r="AD1192" i="1" s="1"/>
  <c r="AF1192" i="1"/>
  <c r="AH1192" i="1" s="1"/>
  <c r="AG1192" i="1"/>
  <c r="AI1192" i="1"/>
  <c r="AJ1192" i="1"/>
  <c r="AB1193" i="1"/>
  <c r="AC1193" i="1"/>
  <c r="AG1193" i="1"/>
  <c r="AI1193" i="1"/>
  <c r="AJ1193" i="1"/>
  <c r="AB1194" i="1"/>
  <c r="AE1194" i="1" s="1"/>
  <c r="AF1194" i="1" s="1"/>
  <c r="AC1194" i="1"/>
  <c r="AD1194" i="1"/>
  <c r="AG1194" i="1"/>
  <c r="AI1194" i="1"/>
  <c r="AJ1194" i="1"/>
  <c r="AB1195" i="1"/>
  <c r="AE1195" i="1" s="1"/>
  <c r="AF1195" i="1" s="1"/>
  <c r="AC1195" i="1"/>
  <c r="AD1195" i="1" s="1"/>
  <c r="AG1195" i="1"/>
  <c r="AH1195" i="1"/>
  <c r="AI1195" i="1"/>
  <c r="AJ1195" i="1"/>
  <c r="AB1196" i="1"/>
  <c r="AC1196" i="1"/>
  <c r="AG1196" i="1"/>
  <c r="AI1196" i="1"/>
  <c r="AJ1196" i="1"/>
  <c r="AB1197" i="1"/>
  <c r="AE1197" i="1" s="1"/>
  <c r="AF1197" i="1" s="1"/>
  <c r="AH1197" i="1" s="1"/>
  <c r="AC1197" i="1"/>
  <c r="AD1197" i="1"/>
  <c r="AG1197" i="1"/>
  <c r="AI1197" i="1"/>
  <c r="AJ1197" i="1"/>
  <c r="AB1198" i="1"/>
  <c r="AC1198" i="1"/>
  <c r="AD1198" i="1"/>
  <c r="AE1198" i="1"/>
  <c r="AF1198" i="1" s="1"/>
  <c r="AG1198" i="1"/>
  <c r="AI1198" i="1"/>
  <c r="AJ1198" i="1"/>
  <c r="AB1199" i="1"/>
  <c r="AE1199" i="1" s="1"/>
  <c r="AF1199" i="1" s="1"/>
  <c r="AH1199" i="1" s="1"/>
  <c r="AC1199" i="1"/>
  <c r="AD1199" i="1"/>
  <c r="AG1199" i="1"/>
  <c r="AI1199" i="1"/>
  <c r="AJ1199" i="1"/>
  <c r="AB1200" i="1"/>
  <c r="AE1200" i="1" s="1"/>
  <c r="AF1200" i="1" s="1"/>
  <c r="AC1200" i="1"/>
  <c r="AD1200" i="1" s="1"/>
  <c r="AG1200" i="1"/>
  <c r="AI1200" i="1"/>
  <c r="AJ1200" i="1"/>
  <c r="AB1201" i="1"/>
  <c r="AC1201" i="1"/>
  <c r="AG1201" i="1"/>
  <c r="AI1201" i="1"/>
  <c r="AJ1201" i="1"/>
  <c r="AB1202" i="1"/>
  <c r="AE1202" i="1" s="1"/>
  <c r="AF1202" i="1" s="1"/>
  <c r="AC1202" i="1"/>
  <c r="AG1202" i="1"/>
  <c r="AI1202" i="1"/>
  <c r="AJ1202" i="1"/>
  <c r="AB1203" i="1"/>
  <c r="AC1203" i="1"/>
  <c r="AG1203" i="1"/>
  <c r="AI1203" i="1"/>
  <c r="AJ1203" i="1"/>
  <c r="AB1204" i="1"/>
  <c r="AC1204" i="1"/>
  <c r="AD1204" i="1" s="1"/>
  <c r="AE1204" i="1"/>
  <c r="AF1204" i="1" s="1"/>
  <c r="AH1204" i="1" s="1"/>
  <c r="AG1204" i="1"/>
  <c r="AI1204" i="1"/>
  <c r="AJ1204" i="1"/>
  <c r="AB1205" i="1"/>
  <c r="AE1205" i="1" s="1"/>
  <c r="AF1205" i="1" s="1"/>
  <c r="AH1205" i="1" s="1"/>
  <c r="AC1205" i="1"/>
  <c r="AD1205" i="1" s="1"/>
  <c r="AG1205" i="1"/>
  <c r="AI1205" i="1"/>
  <c r="AJ1205" i="1"/>
  <c r="AB1206" i="1"/>
  <c r="AE1206" i="1" s="1"/>
  <c r="AC1206" i="1"/>
  <c r="AD1206" i="1" s="1"/>
  <c r="AF1206" i="1"/>
  <c r="AH1206" i="1" s="1"/>
  <c r="AG1206" i="1"/>
  <c r="AI1206" i="1"/>
  <c r="AJ1206" i="1"/>
  <c r="AB1207" i="1"/>
  <c r="AE1207" i="1" s="1"/>
  <c r="AF1207" i="1" s="1"/>
  <c r="AH1207" i="1" s="1"/>
  <c r="AC1207" i="1"/>
  <c r="AD1207" i="1" s="1"/>
  <c r="AG1207" i="1"/>
  <c r="AI1207" i="1"/>
  <c r="AJ1207" i="1"/>
  <c r="AB1208" i="1"/>
  <c r="AC1208" i="1"/>
  <c r="AD1208" i="1"/>
  <c r="AE1208" i="1"/>
  <c r="AF1208" i="1" s="1"/>
  <c r="AH1208" i="1" s="1"/>
  <c r="AG1208" i="1"/>
  <c r="AI1208" i="1"/>
  <c r="AJ1208" i="1"/>
  <c r="AB1209" i="1"/>
  <c r="AC1209" i="1"/>
  <c r="AG1209" i="1"/>
  <c r="AI1209" i="1"/>
  <c r="AJ1209" i="1"/>
  <c r="AB1210" i="1"/>
  <c r="AE1210" i="1" s="1"/>
  <c r="AF1210" i="1" s="1"/>
  <c r="AH1210" i="1" s="1"/>
  <c r="AC1210" i="1"/>
  <c r="AD1210" i="1" s="1"/>
  <c r="AG1210" i="1"/>
  <c r="AI1210" i="1"/>
  <c r="AJ1210" i="1"/>
  <c r="AB1211" i="1"/>
  <c r="AE1211" i="1" s="1"/>
  <c r="AF1211" i="1" s="1"/>
  <c r="AC1211" i="1"/>
  <c r="AD1211" i="1" s="1"/>
  <c r="AG1211" i="1"/>
  <c r="AH1211" i="1"/>
  <c r="AI1211" i="1"/>
  <c r="AJ1211" i="1"/>
  <c r="AB1212" i="1"/>
  <c r="AE1212" i="1" s="1"/>
  <c r="AF1212" i="1" s="1"/>
  <c r="AH1212" i="1" s="1"/>
  <c r="AC1212" i="1"/>
  <c r="AD1212" i="1" s="1"/>
  <c r="AG1212" i="1"/>
  <c r="AI1212" i="1"/>
  <c r="AJ1212" i="1"/>
  <c r="AB1213" i="1"/>
  <c r="AE1213" i="1" s="1"/>
  <c r="AF1213" i="1" s="1"/>
  <c r="AH1213" i="1" s="1"/>
  <c r="AC1213" i="1"/>
  <c r="AD1213" i="1"/>
  <c r="AG1213" i="1"/>
  <c r="AI1213" i="1"/>
  <c r="AJ1213" i="1"/>
  <c r="AB1214" i="1"/>
  <c r="AE1214" i="1" s="1"/>
  <c r="AF1214" i="1" s="1"/>
  <c r="AC1214" i="1"/>
  <c r="AD1214" i="1" s="1"/>
  <c r="AG1214" i="1"/>
  <c r="AI1214" i="1"/>
  <c r="AJ1214" i="1"/>
  <c r="AB1215" i="1"/>
  <c r="AD1215" i="1" s="1"/>
  <c r="AC1215" i="1"/>
  <c r="AG1215" i="1"/>
  <c r="AI1215" i="1"/>
  <c r="AJ1215" i="1"/>
  <c r="AB1216" i="1"/>
  <c r="AE1216" i="1" s="1"/>
  <c r="AF1216" i="1" s="1"/>
  <c r="AH1216" i="1" s="1"/>
  <c r="AC1216" i="1"/>
  <c r="AG1216" i="1"/>
  <c r="AI1216" i="1"/>
  <c r="AJ1216" i="1"/>
  <c r="AB1217" i="1"/>
  <c r="AE1217" i="1" s="1"/>
  <c r="AF1217" i="1" s="1"/>
  <c r="AC1217" i="1"/>
  <c r="AD1217" i="1"/>
  <c r="AG1217" i="1"/>
  <c r="AI1217" i="1"/>
  <c r="AJ1217" i="1"/>
  <c r="AB1218" i="1"/>
  <c r="AE1218" i="1" s="1"/>
  <c r="AF1218" i="1" s="1"/>
  <c r="AH1218" i="1" s="1"/>
  <c r="AC1218" i="1"/>
  <c r="AG1218" i="1"/>
  <c r="AI1218" i="1"/>
  <c r="AJ1218" i="1"/>
  <c r="AB1219" i="1"/>
  <c r="AE1219" i="1" s="1"/>
  <c r="AF1219" i="1" s="1"/>
  <c r="AC1219" i="1"/>
  <c r="AD1219" i="1"/>
  <c r="AG1219" i="1"/>
  <c r="AI1219" i="1"/>
  <c r="AJ1219" i="1"/>
  <c r="AB1220" i="1"/>
  <c r="AC1220" i="1"/>
  <c r="AD1220" i="1"/>
  <c r="AE1220" i="1"/>
  <c r="AF1220" i="1" s="1"/>
  <c r="AG1220" i="1"/>
  <c r="AI1220" i="1"/>
  <c r="AJ1220" i="1"/>
  <c r="AB1221" i="1"/>
  <c r="AE1221" i="1" s="1"/>
  <c r="AF1221" i="1" s="1"/>
  <c r="AH1221" i="1" s="1"/>
  <c r="AC1221" i="1"/>
  <c r="AG1221" i="1"/>
  <c r="AI1221" i="1"/>
  <c r="AJ1221" i="1"/>
  <c r="AB1222" i="1"/>
  <c r="AC1222" i="1"/>
  <c r="AD1222" i="1"/>
  <c r="AE1222" i="1"/>
  <c r="AF1222" i="1" s="1"/>
  <c r="AG1222" i="1"/>
  <c r="AI1222" i="1"/>
  <c r="AJ1222" i="1"/>
  <c r="AB1223" i="1"/>
  <c r="AE1223" i="1" s="1"/>
  <c r="AF1223" i="1" s="1"/>
  <c r="AH1223" i="1" s="1"/>
  <c r="AC1223" i="1"/>
  <c r="AG1223" i="1"/>
  <c r="AI1223" i="1"/>
  <c r="AJ1223" i="1"/>
  <c r="AB1224" i="1"/>
  <c r="AD1224" i="1" s="1"/>
  <c r="AC1224" i="1"/>
  <c r="AG1224" i="1"/>
  <c r="AI1224" i="1"/>
  <c r="AJ1224" i="1"/>
  <c r="AB1225" i="1"/>
  <c r="AC1225" i="1"/>
  <c r="AG1225" i="1"/>
  <c r="AI1225" i="1"/>
  <c r="AJ1225" i="1"/>
  <c r="AB1226" i="1"/>
  <c r="AE1226" i="1" s="1"/>
  <c r="AF1226" i="1" s="1"/>
  <c r="AH1226" i="1" s="1"/>
  <c r="AC1226" i="1"/>
  <c r="AG1226" i="1"/>
  <c r="AI1226" i="1"/>
  <c r="AJ1226" i="1"/>
  <c r="AB1227" i="1"/>
  <c r="AC1227" i="1"/>
  <c r="AD1227" i="1"/>
  <c r="AE1227" i="1"/>
  <c r="AF1227" i="1"/>
  <c r="AG1227" i="1"/>
  <c r="AH1227" i="1"/>
  <c r="AI1227" i="1"/>
  <c r="AJ1227" i="1"/>
  <c r="AB1228" i="1"/>
  <c r="AE1228" i="1" s="1"/>
  <c r="AF1228" i="1" s="1"/>
  <c r="AH1228" i="1" s="1"/>
  <c r="AC1228" i="1"/>
  <c r="AD1228" i="1" s="1"/>
  <c r="AG1228" i="1"/>
  <c r="AI1228" i="1"/>
  <c r="AJ1228" i="1"/>
  <c r="AB1229" i="1"/>
  <c r="AE1229" i="1" s="1"/>
  <c r="AF1229" i="1" s="1"/>
  <c r="AH1229" i="1" s="1"/>
  <c r="AC1229" i="1"/>
  <c r="AG1229" i="1"/>
  <c r="AI1229" i="1"/>
  <c r="AJ1229" i="1"/>
  <c r="AB1230" i="1"/>
  <c r="AE1230" i="1" s="1"/>
  <c r="AF1230" i="1" s="1"/>
  <c r="AH1230" i="1" s="1"/>
  <c r="AC1230" i="1"/>
  <c r="AD1230" i="1"/>
  <c r="AG1230" i="1"/>
  <c r="AI1230" i="1"/>
  <c r="AJ1230" i="1"/>
  <c r="AB1231" i="1"/>
  <c r="AE1231" i="1" s="1"/>
  <c r="AF1231" i="1" s="1"/>
  <c r="AC1231" i="1"/>
  <c r="AD1231" i="1" s="1"/>
  <c r="AG1231" i="1"/>
  <c r="AI1231" i="1"/>
  <c r="AJ1231" i="1"/>
  <c r="AB1232" i="1"/>
  <c r="AE1232" i="1" s="1"/>
  <c r="AF1232" i="1" s="1"/>
  <c r="AC1232" i="1"/>
  <c r="AD1232" i="1" s="1"/>
  <c r="AG1232" i="1"/>
  <c r="AI1232" i="1"/>
  <c r="AJ1232" i="1"/>
  <c r="AB1233" i="1"/>
  <c r="AE1233" i="1" s="1"/>
  <c r="AF1233" i="1" s="1"/>
  <c r="AH1233" i="1" s="1"/>
  <c r="AC1233" i="1"/>
  <c r="AD1233" i="1"/>
  <c r="AG1233" i="1"/>
  <c r="AI1233" i="1"/>
  <c r="AJ1233" i="1"/>
  <c r="AJ99" i="1"/>
  <c r="AI99" i="1"/>
  <c r="AG99" i="1"/>
  <c r="AC99" i="1"/>
  <c r="AD99" i="1" s="1"/>
  <c r="AB99" i="1"/>
  <c r="AE99" i="1" s="1"/>
  <c r="AF99" i="1" s="1"/>
  <c r="AH99" i="1" s="1"/>
  <c r="AJ92" i="1"/>
  <c r="AJ93" i="1"/>
  <c r="AJ94" i="1"/>
  <c r="AJ95" i="1"/>
  <c r="AJ91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64" i="1"/>
  <c r="AB92" i="1"/>
  <c r="AC92" i="1"/>
  <c r="AD92" i="1"/>
  <c r="AE92" i="1"/>
  <c r="AF92" i="1"/>
  <c r="AG92" i="1"/>
  <c r="AH92" i="1"/>
  <c r="AI92" i="1"/>
  <c r="AB93" i="1"/>
  <c r="AC93" i="1"/>
  <c r="AD93" i="1" s="1"/>
  <c r="AE93" i="1"/>
  <c r="AF93" i="1" s="1"/>
  <c r="AH93" i="1" s="1"/>
  <c r="AG93" i="1"/>
  <c r="AI93" i="1"/>
  <c r="AB94" i="1"/>
  <c r="AC94" i="1"/>
  <c r="AD94" i="1" s="1"/>
  <c r="AE94" i="1"/>
  <c r="AF94" i="1" s="1"/>
  <c r="AH94" i="1" s="1"/>
  <c r="AG94" i="1"/>
  <c r="AI94" i="1"/>
  <c r="AB95" i="1"/>
  <c r="AC95" i="1"/>
  <c r="AD95" i="1"/>
  <c r="AE95" i="1"/>
  <c r="AF95" i="1"/>
  <c r="AG95" i="1"/>
  <c r="AH95" i="1"/>
  <c r="AI95" i="1"/>
  <c r="AC91" i="1"/>
  <c r="AI91" i="1"/>
  <c r="AG91" i="1"/>
  <c r="AB91" i="1"/>
  <c r="AE91" i="1" s="1"/>
  <c r="AF91" i="1" s="1"/>
  <c r="AH91" i="1" s="1"/>
  <c r="AD913" i="1" l="1"/>
  <c r="AE913" i="1"/>
  <c r="AF913" i="1" s="1"/>
  <c r="AH913" i="1" s="1"/>
  <c r="AH101" i="1"/>
  <c r="AH1020" i="1"/>
  <c r="AH1189" i="1"/>
  <c r="AH504" i="1"/>
  <c r="AH455" i="1"/>
  <c r="AH435" i="1"/>
  <c r="AH284" i="1"/>
  <c r="AH269" i="1"/>
  <c r="AD1196" i="1"/>
  <c r="AH986" i="1"/>
  <c r="AH940" i="1"/>
  <c r="AH784" i="1"/>
  <c r="AD719" i="1"/>
  <c r="AH1198" i="1"/>
  <c r="AH1163" i="1"/>
  <c r="AH1111" i="1"/>
  <c r="AD1011" i="1"/>
  <c r="AH988" i="1"/>
  <c r="AH424" i="1"/>
  <c r="AH1140" i="1"/>
  <c r="AD1043" i="1"/>
  <c r="AH1013" i="1"/>
  <c r="AH1000" i="1"/>
  <c r="AH1222" i="1"/>
  <c r="AH1168" i="1"/>
  <c r="AH923" i="1"/>
  <c r="AE810" i="1"/>
  <c r="AF810" i="1" s="1"/>
  <c r="AH810" i="1" s="1"/>
  <c r="AD810" i="1"/>
  <c r="AE415" i="1"/>
  <c r="AF415" i="1" s="1"/>
  <c r="AH415" i="1" s="1"/>
  <c r="AD415" i="1"/>
  <c r="AH247" i="1"/>
  <c r="AE150" i="1"/>
  <c r="AF150" i="1" s="1"/>
  <c r="AH150" i="1" s="1"/>
  <c r="AD150" i="1"/>
  <c r="AH138" i="1"/>
  <c r="AH127" i="1"/>
  <c r="AH1217" i="1"/>
  <c r="AH388" i="1"/>
  <c r="AH1110" i="1"/>
  <c r="AH1010" i="1"/>
  <c r="AD756" i="1"/>
  <c r="AE756" i="1"/>
  <c r="AF756" i="1" s="1"/>
  <c r="AH756" i="1" s="1"/>
  <c r="AH135" i="1"/>
  <c r="AH106" i="1"/>
  <c r="AH743" i="1"/>
  <c r="AH1152" i="1"/>
  <c r="AH997" i="1"/>
  <c r="AH647" i="1"/>
  <c r="AD1203" i="1"/>
  <c r="AH1180" i="1"/>
  <c r="AH1172" i="1"/>
  <c r="AD1142" i="1"/>
  <c r="AD1077" i="1"/>
  <c r="AD1072" i="1"/>
  <c r="AH1015" i="1"/>
  <c r="AD976" i="1"/>
  <c r="AD912" i="1"/>
  <c r="AD885" i="1"/>
  <c r="AD778" i="1"/>
  <c r="AD622" i="1"/>
  <c r="AH619" i="1"/>
  <c r="AD613" i="1"/>
  <c r="AH605" i="1"/>
  <c r="AD504" i="1"/>
  <c r="AD483" i="1"/>
  <c r="AD440" i="1"/>
  <c r="AH356" i="1"/>
  <c r="AD272" i="1"/>
  <c r="AD945" i="1"/>
  <c r="AE945" i="1"/>
  <c r="AF945" i="1" s="1"/>
  <c r="AH945" i="1" s="1"/>
  <c r="AH1121" i="1"/>
  <c r="AH963" i="1"/>
  <c r="AH942" i="1"/>
  <c r="AH721" i="1"/>
  <c r="AH222" i="1"/>
  <c r="AH1125" i="1"/>
  <c r="AH1008" i="1"/>
  <c r="AH815" i="1"/>
  <c r="AD609" i="1"/>
  <c r="AE609" i="1"/>
  <c r="AF609" i="1" s="1"/>
  <c r="AH609" i="1" s="1"/>
  <c r="AD494" i="1"/>
  <c r="AE494" i="1"/>
  <c r="AF494" i="1" s="1"/>
  <c r="AH494" i="1" s="1"/>
  <c r="AH412" i="1"/>
  <c r="AD1201" i="1"/>
  <c r="AH600" i="1"/>
  <c r="AH130" i="1"/>
  <c r="AH1173" i="1"/>
  <c r="AH822" i="1"/>
  <c r="AH109" i="1"/>
  <c r="AH141" i="1"/>
  <c r="AD124" i="1"/>
  <c r="AE124" i="1"/>
  <c r="AF124" i="1" s="1"/>
  <c r="AH124" i="1" s="1"/>
  <c r="AH737" i="1"/>
  <c r="AH912" i="1"/>
  <c r="AE674" i="1"/>
  <c r="AF674" i="1" s="1"/>
  <c r="AH674" i="1" s="1"/>
  <c r="AD674" i="1"/>
  <c r="AH613" i="1"/>
  <c r="AE365" i="1"/>
  <c r="AF365" i="1" s="1"/>
  <c r="AH365" i="1" s="1"/>
  <c r="AD365" i="1"/>
  <c r="AD221" i="1"/>
  <c r="AE221" i="1"/>
  <c r="AF221" i="1" s="1"/>
  <c r="AH221" i="1" s="1"/>
  <c r="AH813" i="1"/>
  <c r="AH1123" i="1"/>
  <c r="AH1108" i="1"/>
  <c r="AH1086" i="1"/>
  <c r="AH979" i="1"/>
  <c r="AH947" i="1"/>
  <c r="AH104" i="1"/>
  <c r="AH897" i="1"/>
  <c r="AH696" i="1"/>
  <c r="AH712" i="1"/>
  <c r="AD642" i="1"/>
  <c r="AE642" i="1"/>
  <c r="AF642" i="1" s="1"/>
  <c r="AH642" i="1" s="1"/>
  <c r="AH233" i="1"/>
  <c r="AH1170" i="1"/>
  <c r="AH1070" i="1"/>
  <c r="AH267" i="1"/>
  <c r="AH152" i="1"/>
  <c r="AH1200" i="1"/>
  <c r="AH1088" i="1"/>
  <c r="AH1045" i="1"/>
  <c r="AH850" i="1"/>
  <c r="AH1232" i="1"/>
  <c r="AH1072" i="1"/>
  <c r="AD1229" i="1"/>
  <c r="AH1162" i="1"/>
  <c r="AD1159" i="1"/>
  <c r="AD1122" i="1"/>
  <c r="AD1052" i="1"/>
  <c r="AD1047" i="1"/>
  <c r="AH1027" i="1"/>
  <c r="AD999" i="1"/>
  <c r="AD961" i="1"/>
  <c r="AH958" i="1"/>
  <c r="AH925" i="1"/>
  <c r="AD909" i="1"/>
  <c r="AH906" i="1"/>
  <c r="AD824" i="1"/>
  <c r="AE824" i="1"/>
  <c r="AF824" i="1" s="1"/>
  <c r="AD795" i="1"/>
  <c r="AD660" i="1"/>
  <c r="AH638" i="1"/>
  <c r="AH616" i="1"/>
  <c r="AD551" i="1"/>
  <c r="AH545" i="1"/>
  <c r="AH1021" i="1"/>
  <c r="AD875" i="1"/>
  <c r="AE875" i="1"/>
  <c r="AF875" i="1" s="1"/>
  <c r="AH791" i="1"/>
  <c r="AH723" i="1"/>
  <c r="AH592" i="1"/>
  <c r="AH932" i="1"/>
  <c r="AH799" i="1"/>
  <c r="AH244" i="1"/>
  <c r="AH1063" i="1"/>
  <c r="AH546" i="1"/>
  <c r="AH1165" i="1"/>
  <c r="AD443" i="1"/>
  <c r="AH1134" i="1"/>
  <c r="AH1167" i="1"/>
  <c r="AH1137" i="1"/>
  <c r="AH1077" i="1"/>
  <c r="AH1025" i="1"/>
  <c r="AH1194" i="1"/>
  <c r="AD1090" i="1"/>
  <c r="AE1032" i="1"/>
  <c r="AF1032" i="1" s="1"/>
  <c r="AH1032" i="1" s="1"/>
  <c r="AD996" i="1"/>
  <c r="AD978" i="1"/>
  <c r="AE971" i="1"/>
  <c r="AF971" i="1" s="1"/>
  <c r="AH971" i="1" s="1"/>
  <c r="AH961" i="1"/>
  <c r="AH914" i="1"/>
  <c r="AD785" i="1"/>
  <c r="AE780" i="1"/>
  <c r="AF780" i="1" s="1"/>
  <c r="AH780" i="1" s="1"/>
  <c r="AD635" i="1"/>
  <c r="AD387" i="1"/>
  <c r="AE387" i="1"/>
  <c r="AF387" i="1" s="1"/>
  <c r="AH387" i="1" s="1"/>
  <c r="AH1160" i="1"/>
  <c r="AE378" i="1"/>
  <c r="AF378" i="1" s="1"/>
  <c r="AH378" i="1" s="1"/>
  <c r="AE223" i="1"/>
  <c r="AF223" i="1" s="1"/>
  <c r="AH223" i="1" s="1"/>
  <c r="AD223" i="1"/>
  <c r="AH1220" i="1"/>
  <c r="AH1176" i="1"/>
  <c r="AH950" i="1"/>
  <c r="AH878" i="1"/>
  <c r="AH1166" i="1"/>
  <c r="AH977" i="1"/>
  <c r="AH960" i="1"/>
  <c r="AH872" i="1"/>
  <c r="AH805" i="1"/>
  <c r="AD1135" i="1"/>
  <c r="AH1058" i="1"/>
  <c r="AH726" i="1"/>
  <c r="AH1153" i="1"/>
  <c r="AD1130" i="1"/>
  <c r="AH1018" i="1"/>
  <c r="AH952" i="1"/>
  <c r="AH1214" i="1"/>
  <c r="AH1098" i="1"/>
  <c r="AH802" i="1"/>
  <c r="AH427" i="1"/>
  <c r="AE253" i="1"/>
  <c r="AF253" i="1" s="1"/>
  <c r="AH253" i="1" s="1"/>
  <c r="AD253" i="1"/>
  <c r="AH935" i="1"/>
  <c r="AD450" i="1"/>
  <c r="AH904" i="1"/>
  <c r="AH493" i="1"/>
  <c r="AH432" i="1"/>
  <c r="AD115" i="1"/>
  <c r="AH1105" i="1"/>
  <c r="AH907" i="1"/>
  <c r="AH773" i="1"/>
  <c r="AD1079" i="1"/>
  <c r="AD1226" i="1"/>
  <c r="AD1218" i="1"/>
  <c r="AD1169" i="1"/>
  <c r="AD1133" i="1"/>
  <c r="AH1076" i="1"/>
  <c r="AD1074" i="1"/>
  <c r="AH1071" i="1"/>
  <c r="AD1041" i="1"/>
  <c r="AD982" i="1"/>
  <c r="AH930" i="1"/>
  <c r="AD884" i="1"/>
  <c r="AD811" i="1"/>
  <c r="AD808" i="1"/>
  <c r="AD800" i="1"/>
  <c r="AH777" i="1"/>
  <c r="AD775" i="1"/>
  <c r="AE775" i="1"/>
  <c r="AF775" i="1" s="1"/>
  <c r="AH775" i="1" s="1"/>
  <c r="AH640" i="1"/>
  <c r="AD404" i="1"/>
  <c r="AH1231" i="1"/>
  <c r="AE1182" i="1"/>
  <c r="AF1182" i="1" s="1"/>
  <c r="AH1182" i="1" s="1"/>
  <c r="AH1100" i="1"/>
  <c r="AH1057" i="1"/>
  <c r="AH981" i="1"/>
  <c r="AD926" i="1"/>
  <c r="AE893" i="1"/>
  <c r="AF893" i="1" s="1"/>
  <c r="AH893" i="1" s="1"/>
  <c r="AH888" i="1"/>
  <c r="AE869" i="1"/>
  <c r="AF869" i="1" s="1"/>
  <c r="AH869" i="1" s="1"/>
  <c r="AH814" i="1"/>
  <c r="AH812" i="1"/>
  <c r="AH809" i="1"/>
  <c r="AH755" i="1"/>
  <c r="AH752" i="1"/>
  <c r="AH515" i="1"/>
  <c r="AH512" i="1"/>
  <c r="AD452" i="1"/>
  <c r="AH357" i="1"/>
  <c r="AH155" i="1"/>
  <c r="AH111" i="1"/>
  <c r="AE1224" i="1"/>
  <c r="AF1224" i="1" s="1"/>
  <c r="AH1224" i="1" s="1"/>
  <c r="AH1139" i="1"/>
  <c r="AE1118" i="1"/>
  <c r="AF1118" i="1" s="1"/>
  <c r="AH1118" i="1" s="1"/>
  <c r="AE1112" i="1"/>
  <c r="AF1112" i="1" s="1"/>
  <c r="AH1112" i="1" s="1"/>
  <c r="AH1040" i="1"/>
  <c r="AH1219" i="1"/>
  <c r="AD1146" i="1"/>
  <c r="AH1127" i="1"/>
  <c r="AH1107" i="1"/>
  <c r="AH1102" i="1"/>
  <c r="AD1002" i="1"/>
  <c r="AD990" i="1"/>
  <c r="AD855" i="1"/>
  <c r="AH846" i="1"/>
  <c r="AH816" i="1"/>
  <c r="AH742" i="1"/>
  <c r="AH690" i="1"/>
  <c r="AH528" i="1"/>
  <c r="AH1022" i="1"/>
  <c r="AD1216" i="1"/>
  <c r="AD1202" i="1"/>
  <c r="AD1184" i="1"/>
  <c r="AD1178" i="1"/>
  <c r="AH1141" i="1"/>
  <c r="AH1136" i="1"/>
  <c r="AD1104" i="1"/>
  <c r="AH1054" i="1"/>
  <c r="AD1050" i="1"/>
  <c r="AH1029" i="1"/>
  <c r="AH1024" i="1"/>
  <c r="AH1012" i="1"/>
  <c r="AH895" i="1"/>
  <c r="AH890" i="1"/>
  <c r="AH849" i="1"/>
  <c r="AH783" i="1"/>
  <c r="AH776" i="1"/>
  <c r="AH722" i="1"/>
  <c r="AH631" i="1"/>
  <c r="AD583" i="1"/>
  <c r="AD556" i="1"/>
  <c r="AD382" i="1"/>
  <c r="AE382" i="1"/>
  <c r="AF382" i="1" s="1"/>
  <c r="AH382" i="1" s="1"/>
  <c r="AD357" i="1"/>
  <c r="AD354" i="1"/>
  <c r="AH346" i="1"/>
  <c r="AH194" i="1"/>
  <c r="AD182" i="1"/>
  <c r="AD179" i="1"/>
  <c r="AD160" i="1"/>
  <c r="AD1221" i="1"/>
  <c r="AD1109" i="1"/>
  <c r="AD1078" i="1"/>
  <c r="AD860" i="1"/>
  <c r="AH823" i="1"/>
  <c r="AD714" i="1"/>
  <c r="AH692" i="1"/>
  <c r="AD645" i="1"/>
  <c r="AH553" i="1"/>
  <c r="AD416" i="1"/>
  <c r="AD413" i="1"/>
  <c r="AH354" i="1"/>
  <c r="AH340" i="1"/>
  <c r="AH332" i="1"/>
  <c r="AH329" i="1"/>
  <c r="AH298" i="1"/>
  <c r="AD234" i="1"/>
  <c r="AH213" i="1"/>
  <c r="AD202" i="1"/>
  <c r="AD188" i="1"/>
  <c r="AD185" i="1"/>
  <c r="AD1166" i="1"/>
  <c r="AH1143" i="1"/>
  <c r="AH1120" i="1"/>
  <c r="AD1073" i="1"/>
  <c r="AH1056" i="1"/>
  <c r="AD1042" i="1"/>
  <c r="AH1031" i="1"/>
  <c r="AD1014" i="1"/>
  <c r="AD1009" i="1"/>
  <c r="AH931" i="1"/>
  <c r="AD925" i="1"/>
  <c r="AD851" i="1"/>
  <c r="AH760" i="1"/>
  <c r="AD706" i="1"/>
  <c r="AD588" i="1"/>
  <c r="AD585" i="1"/>
  <c r="AD573" i="1"/>
  <c r="AD422" i="1"/>
  <c r="AD410" i="1"/>
  <c r="AD362" i="1"/>
  <c r="AD216" i="1"/>
  <c r="AH154" i="1"/>
  <c r="AD145" i="1"/>
  <c r="AE145" i="1"/>
  <c r="AF145" i="1" s="1"/>
  <c r="AH145" i="1" s="1"/>
  <c r="AH765" i="1"/>
  <c r="AH757" i="1"/>
  <c r="AH746" i="1"/>
  <c r="AH720" i="1"/>
  <c r="AH644" i="1"/>
  <c r="AH628" i="1"/>
  <c r="AH531" i="1"/>
  <c r="AH525" i="1"/>
  <c r="AH522" i="1"/>
  <c r="AH457" i="1"/>
  <c r="AH454" i="1"/>
  <c r="AD403" i="1"/>
  <c r="AE403" i="1"/>
  <c r="AF403" i="1" s="1"/>
  <c r="AH403" i="1" s="1"/>
  <c r="AH372" i="1"/>
  <c r="AH295" i="1"/>
  <c r="AH120" i="1"/>
  <c r="AH949" i="1"/>
  <c r="AH944" i="1"/>
  <c r="AD899" i="1"/>
  <c r="AH879" i="1"/>
  <c r="AH871" i="1"/>
  <c r="AD854" i="1"/>
  <c r="AD841" i="1"/>
  <c r="AH827" i="1"/>
  <c r="AH686" i="1"/>
  <c r="AH654" i="1"/>
  <c r="AD636" i="1"/>
  <c r="AD319" i="1"/>
  <c r="AD303" i="1"/>
  <c r="AH192" i="1"/>
  <c r="AH1082" i="1"/>
  <c r="AD1010" i="1"/>
  <c r="AH992" i="1"/>
  <c r="AH983" i="1"/>
  <c r="AH970" i="1"/>
  <c r="AD965" i="1"/>
  <c r="AD876" i="1"/>
  <c r="AD798" i="1"/>
  <c r="AD762" i="1"/>
  <c r="AD731" i="1"/>
  <c r="AD724" i="1"/>
  <c r="AH717" i="1"/>
  <c r="AD701" i="1"/>
  <c r="AD678" i="1"/>
  <c r="AD479" i="1"/>
  <c r="AD468" i="1"/>
  <c r="AH400" i="1"/>
  <c r="AE333" i="1"/>
  <c r="AF333" i="1" s="1"/>
  <c r="AH333" i="1" s="1"/>
  <c r="AH322" i="1"/>
  <c r="AD265" i="1"/>
  <c r="AD260" i="1"/>
  <c r="AD209" i="1"/>
  <c r="AD206" i="1"/>
  <c r="AD200" i="1"/>
  <c r="AD195" i="1"/>
  <c r="AH187" i="1"/>
  <c r="AH184" i="1"/>
  <c r="AD930" i="1"/>
  <c r="AD918" i="1"/>
  <c r="AH899" i="1"/>
  <c r="AD805" i="1"/>
  <c r="AD772" i="1"/>
  <c r="AE704" i="1"/>
  <c r="AF704" i="1" s="1"/>
  <c r="AH704" i="1" s="1"/>
  <c r="AD704" i="1"/>
  <c r="AD667" i="1"/>
  <c r="AD662" i="1"/>
  <c r="AD602" i="1"/>
  <c r="AD574" i="1"/>
  <c r="AH527" i="1"/>
  <c r="AD473" i="1"/>
  <c r="AE383" i="1"/>
  <c r="AF383" i="1" s="1"/>
  <c r="AH383" i="1" s="1"/>
  <c r="AD383" i="1"/>
  <c r="AD136" i="1"/>
  <c r="AD352" i="1"/>
  <c r="AE279" i="1"/>
  <c r="AF279" i="1" s="1"/>
  <c r="AH279" i="1" s="1"/>
  <c r="AD279" i="1"/>
  <c r="AE905" i="1"/>
  <c r="AF905" i="1" s="1"/>
  <c r="AH905" i="1" s="1"/>
  <c r="AH857" i="1"/>
  <c r="AH829" i="1"/>
  <c r="AH826" i="1"/>
  <c r="AH790" i="1"/>
  <c r="AH786" i="1"/>
  <c r="AH716" i="1"/>
  <c r="AD695" i="1"/>
  <c r="AH682" i="1"/>
  <c r="AH661" i="1"/>
  <c r="AD649" i="1"/>
  <c r="AD618" i="1"/>
  <c r="AH594" i="1"/>
  <c r="AH587" i="1"/>
  <c r="AD409" i="1"/>
  <c r="AH380" i="1"/>
  <c r="AD372" i="1"/>
  <c r="AH339" i="1"/>
  <c r="AD326" i="1"/>
  <c r="AH288" i="1"/>
  <c r="AD240" i="1"/>
  <c r="AD230" i="1"/>
  <c r="AH215" i="1"/>
  <c r="AH186" i="1"/>
  <c r="AD159" i="1"/>
  <c r="AH103" i="1"/>
  <c r="AH929" i="1"/>
  <c r="AD873" i="1"/>
  <c r="AH839" i="1"/>
  <c r="AH748" i="1"/>
  <c r="AE725" i="1"/>
  <c r="AF725" i="1" s="1"/>
  <c r="AH702" i="1"/>
  <c r="AE699" i="1"/>
  <c r="AF699" i="1" s="1"/>
  <c r="AH699" i="1" s="1"/>
  <c r="AE668" i="1"/>
  <c r="AF668" i="1" s="1"/>
  <c r="AH668" i="1" s="1"/>
  <c r="AE612" i="1"/>
  <c r="AF612" i="1" s="1"/>
  <c r="AH612" i="1" s="1"/>
  <c r="AH555" i="1"/>
  <c r="AH409" i="1"/>
  <c r="AH364" i="1"/>
  <c r="AH334" i="1"/>
  <c r="AH313" i="1"/>
  <c r="AH227" i="1"/>
  <c r="AD169" i="1"/>
  <c r="AD934" i="1"/>
  <c r="AH924" i="1"/>
  <c r="AH868" i="1"/>
  <c r="AD862" i="1"/>
  <c r="AH831" i="1"/>
  <c r="AH817" i="1"/>
  <c r="AH768" i="1"/>
  <c r="AD658" i="1"/>
  <c r="AD569" i="1"/>
  <c r="AH563" i="1"/>
  <c r="AE547" i="1"/>
  <c r="AF547" i="1" s="1"/>
  <c r="AH547" i="1" s="1"/>
  <c r="AH377" i="1"/>
  <c r="AH361" i="1"/>
  <c r="AD358" i="1"/>
  <c r="AH274" i="1"/>
  <c r="AH235" i="1"/>
  <c r="AH172" i="1"/>
  <c r="AD859" i="1"/>
  <c r="AH779" i="1"/>
  <c r="AD718" i="1"/>
  <c r="AD711" i="1"/>
  <c r="AH651" i="1"/>
  <c r="AH615" i="1"/>
  <c r="AD577" i="1"/>
  <c r="AH569" i="1"/>
  <c r="AH560" i="1"/>
  <c r="AD555" i="1"/>
  <c r="AD459" i="1"/>
  <c r="AD451" i="1"/>
  <c r="AD425" i="1"/>
  <c r="AD420" i="1"/>
  <c r="AD417" i="1"/>
  <c r="AD374" i="1"/>
  <c r="AD282" i="1"/>
  <c r="AD261" i="1"/>
  <c r="AD193" i="1"/>
  <c r="AD156" i="1"/>
  <c r="AD148" i="1"/>
  <c r="AD140" i="1"/>
  <c r="AD108" i="1"/>
  <c r="AH694" i="1"/>
  <c r="AD898" i="1"/>
  <c r="AD891" i="1"/>
  <c r="AD877" i="1"/>
  <c r="AD828" i="1"/>
  <c r="AD794" i="1"/>
  <c r="AH772" i="1"/>
  <c r="AD758" i="1"/>
  <c r="AD727" i="1"/>
  <c r="AD694" i="1"/>
  <c r="AD586" i="1"/>
  <c r="AD523" i="1"/>
  <c r="AD500" i="1"/>
  <c r="AD461" i="1"/>
  <c r="AD371" i="1"/>
  <c r="AH304" i="1"/>
  <c r="AD276" i="1"/>
  <c r="AH239" i="1"/>
  <c r="AD229" i="1"/>
  <c r="AD214" i="1"/>
  <c r="AD158" i="1"/>
  <c r="AD121" i="1"/>
  <c r="AD118" i="1"/>
  <c r="AH507" i="1"/>
  <c r="AH487" i="1"/>
  <c r="AH480" i="1"/>
  <c r="AH465" i="1"/>
  <c r="AH429" i="1"/>
  <c r="AH411" i="1"/>
  <c r="AH379" i="1"/>
  <c r="AH300" i="1"/>
  <c r="AD297" i="1"/>
  <c r="AH281" i="1"/>
  <c r="AH278" i="1"/>
  <c r="AH254" i="1"/>
  <c r="AH249" i="1"/>
  <c r="AH208" i="1"/>
  <c r="AD713" i="1"/>
  <c r="AD677" i="1"/>
  <c r="AH533" i="1"/>
  <c r="AD442" i="1"/>
  <c r="AD376" i="1"/>
  <c r="AH351" i="1"/>
  <c r="AD346" i="1"/>
  <c r="AH336" i="1"/>
  <c r="AD309" i="1"/>
  <c r="AD306" i="1"/>
  <c r="AD288" i="1"/>
  <c r="AD246" i="1"/>
  <c r="AH203" i="1"/>
  <c r="AH191" i="1"/>
  <c r="AH176" i="1"/>
  <c r="AD164" i="1"/>
  <c r="AH161" i="1"/>
  <c r="AH137" i="1"/>
  <c r="AD549" i="1"/>
  <c r="AH517" i="1"/>
  <c r="AH514" i="1"/>
  <c r="AH437" i="1"/>
  <c r="AD408" i="1"/>
  <c r="AH396" i="1"/>
  <c r="AH386" i="1"/>
  <c r="AH373" i="1"/>
  <c r="AD366" i="1"/>
  <c r="AH297" i="1"/>
  <c r="AD290" i="1"/>
  <c r="AD283" i="1"/>
  <c r="AD278" i="1"/>
  <c r="AD251" i="1"/>
  <c r="AD226" i="1"/>
  <c r="AD215" i="1"/>
  <c r="AH210" i="1"/>
  <c r="AD198" i="1"/>
  <c r="AD184" i="1"/>
  <c r="AD181" i="1"/>
  <c r="AD178" i="1"/>
  <c r="AH171" i="1"/>
  <c r="AD166" i="1"/>
  <c r="AD154" i="1"/>
  <c r="AD144" i="1"/>
  <c r="AD132" i="1"/>
  <c r="AD120" i="1"/>
  <c r="AD597" i="1"/>
  <c r="AD561" i="1"/>
  <c r="AH529" i="1"/>
  <c r="AD477" i="1"/>
  <c r="AH464" i="1"/>
  <c r="AH448" i="1"/>
  <c r="AH381" i="1"/>
  <c r="AH299" i="1"/>
  <c r="AD263" i="1"/>
  <c r="AH258" i="1"/>
  <c r="AH151" i="1"/>
  <c r="AH105" i="1"/>
  <c r="AD526" i="1"/>
  <c r="AD521" i="1"/>
  <c r="AD513" i="1"/>
  <c r="AH423" i="1"/>
  <c r="AD398" i="1"/>
  <c r="AD395" i="1"/>
  <c r="AH368" i="1"/>
  <c r="AD360" i="1"/>
  <c r="AD345" i="1"/>
  <c r="AD340" i="1"/>
  <c r="AH323" i="1"/>
  <c r="AH311" i="1"/>
  <c r="AD280" i="1"/>
  <c r="AD248" i="1"/>
  <c r="AD238" i="1"/>
  <c r="AD236" i="1"/>
  <c r="AH231" i="1"/>
  <c r="AH217" i="1"/>
  <c r="AH146" i="1"/>
  <c r="AH116" i="1"/>
  <c r="AH100" i="1"/>
  <c r="AH864" i="1"/>
  <c r="AH797" i="1"/>
  <c r="AE1196" i="1"/>
  <c r="AF1196" i="1" s="1"/>
  <c r="AH1196" i="1" s="1"/>
  <c r="AE1178" i="1"/>
  <c r="AF1178" i="1" s="1"/>
  <c r="AH1178" i="1" s="1"/>
  <c r="AE1135" i="1"/>
  <c r="AF1135" i="1" s="1"/>
  <c r="AH1135" i="1" s="1"/>
  <c r="AE1043" i="1"/>
  <c r="AF1043" i="1" s="1"/>
  <c r="AH1043" i="1" s="1"/>
  <c r="AE1041" i="1"/>
  <c r="AF1041" i="1" s="1"/>
  <c r="AH1041" i="1" s="1"/>
  <c r="AD1033" i="1"/>
  <c r="AE1033" i="1"/>
  <c r="AF1033" i="1" s="1"/>
  <c r="AH1033" i="1" s="1"/>
  <c r="AE1004" i="1"/>
  <c r="AF1004" i="1" s="1"/>
  <c r="AH1004" i="1" s="1"/>
  <c r="AE965" i="1"/>
  <c r="AF965" i="1" s="1"/>
  <c r="AH965" i="1" s="1"/>
  <c r="AE926" i="1"/>
  <c r="AF926" i="1" s="1"/>
  <c r="AH926" i="1" s="1"/>
  <c r="AE855" i="1"/>
  <c r="AF855" i="1" s="1"/>
  <c r="AH855" i="1" s="1"/>
  <c r="AH808" i="1"/>
  <c r="AD750" i="1"/>
  <c r="AE750" i="1"/>
  <c r="AF750" i="1" s="1"/>
  <c r="AH750" i="1" s="1"/>
  <c r="AD738" i="1"/>
  <c r="AE738" i="1"/>
  <c r="AF738" i="1" s="1"/>
  <c r="AH738" i="1" s="1"/>
  <c r="AE727" i="1"/>
  <c r="AF727" i="1" s="1"/>
  <c r="AH727" i="1" s="1"/>
  <c r="AD693" i="1"/>
  <c r="AE693" i="1"/>
  <c r="AF693" i="1" s="1"/>
  <c r="AH693" i="1" s="1"/>
  <c r="AE684" i="1"/>
  <c r="AF684" i="1" s="1"/>
  <c r="AH684" i="1" s="1"/>
  <c r="AE542" i="1"/>
  <c r="AF542" i="1" s="1"/>
  <c r="AH542" i="1" s="1"/>
  <c r="AD542" i="1"/>
  <c r="AH1202" i="1"/>
  <c r="AD967" i="1"/>
  <c r="AD953" i="1"/>
  <c r="AE953" i="1"/>
  <c r="AF953" i="1" s="1"/>
  <c r="AH953" i="1" s="1"/>
  <c r="AE853" i="1"/>
  <c r="AF853" i="1" s="1"/>
  <c r="AH853" i="1" s="1"/>
  <c r="AD833" i="1"/>
  <c r="AE833" i="1"/>
  <c r="AF833" i="1" s="1"/>
  <c r="AH833" i="1" s="1"/>
  <c r="AD755" i="1"/>
  <c r="AD582" i="1"/>
  <c r="AE582" i="1"/>
  <c r="AF582" i="1" s="1"/>
  <c r="AH582" i="1" s="1"/>
  <c r="AD560" i="1"/>
  <c r="AD1129" i="1"/>
  <c r="AE1129" i="1"/>
  <c r="AF1129" i="1" s="1"/>
  <c r="AH1129" i="1" s="1"/>
  <c r="AD928" i="1"/>
  <c r="AD733" i="1"/>
  <c r="AD562" i="1"/>
  <c r="AD516" i="1"/>
  <c r="AE516" i="1"/>
  <c r="AF516" i="1" s="1"/>
  <c r="AH516" i="1" s="1"/>
  <c r="AD331" i="1"/>
  <c r="AD256" i="1"/>
  <c r="AD176" i="1"/>
  <c r="AD123" i="1"/>
  <c r="AE123" i="1"/>
  <c r="AF123" i="1" s="1"/>
  <c r="AH123" i="1" s="1"/>
  <c r="AH658" i="1"/>
  <c r="AH579" i="1"/>
  <c r="AD431" i="1"/>
  <c r="AE431" i="1"/>
  <c r="AF431" i="1" s="1"/>
  <c r="AH431" i="1" s="1"/>
  <c r="AD901" i="1"/>
  <c r="AE901" i="1"/>
  <c r="AF901" i="1" s="1"/>
  <c r="AH901" i="1" s="1"/>
  <c r="AD985" i="1"/>
  <c r="AE985" i="1"/>
  <c r="AF985" i="1" s="1"/>
  <c r="AH985" i="1" s="1"/>
  <c r="AH754" i="1"/>
  <c r="AH648" i="1"/>
  <c r="AD639" i="1"/>
  <c r="AE639" i="1"/>
  <c r="AF639" i="1" s="1"/>
  <c r="AH639" i="1" s="1"/>
  <c r="AH610" i="1"/>
  <c r="AH488" i="1"/>
  <c r="AD1209" i="1"/>
  <c r="AE1209" i="1"/>
  <c r="AF1209" i="1" s="1"/>
  <c r="AH1209" i="1" s="1"/>
  <c r="AH725" i="1"/>
  <c r="AH824" i="1"/>
  <c r="AH1116" i="1"/>
  <c r="AH618" i="1"/>
  <c r="AD623" i="1"/>
  <c r="AE623" i="1"/>
  <c r="AF623" i="1" s="1"/>
  <c r="AH623" i="1" s="1"/>
  <c r="AD1065" i="1"/>
  <c r="AE1065" i="1"/>
  <c r="AF1065" i="1" s="1"/>
  <c r="AH1065" i="1" s="1"/>
  <c r="AH567" i="1"/>
  <c r="AH350" i="1"/>
  <c r="AD1161" i="1"/>
  <c r="AE1161" i="1"/>
  <c r="AF1161" i="1" s="1"/>
  <c r="AH1161" i="1" s="1"/>
  <c r="AH1052" i="1"/>
  <c r="AH875" i="1"/>
  <c r="AH856" i="1"/>
  <c r="AH840" i="1"/>
  <c r="AH798" i="1"/>
  <c r="AD766" i="1"/>
  <c r="AE766" i="1"/>
  <c r="AF766" i="1" s="1"/>
  <c r="AH766" i="1" s="1"/>
  <c r="AH650" i="1"/>
  <c r="AD643" i="1"/>
  <c r="AE643" i="1"/>
  <c r="AF643" i="1" s="1"/>
  <c r="AH643" i="1" s="1"/>
  <c r="AD501" i="1"/>
  <c r="AE501" i="1"/>
  <c r="AF501" i="1" s="1"/>
  <c r="AH501" i="1" s="1"/>
  <c r="AD245" i="1"/>
  <c r="AE245" i="1"/>
  <c r="AF245" i="1" s="1"/>
  <c r="AH245" i="1" s="1"/>
  <c r="AH214" i="1"/>
  <c r="AD1225" i="1"/>
  <c r="AE1225" i="1"/>
  <c r="AF1225" i="1" s="1"/>
  <c r="AH1225" i="1" s="1"/>
  <c r="AH1084" i="1"/>
  <c r="AD881" i="1"/>
  <c r="AE881" i="1"/>
  <c r="AF881" i="1" s="1"/>
  <c r="AH881" i="1" s="1"/>
  <c r="AD1113" i="1"/>
  <c r="AE1113" i="1"/>
  <c r="AF1113" i="1" s="1"/>
  <c r="AH1113" i="1" s="1"/>
  <c r="AD1049" i="1"/>
  <c r="AE1049" i="1"/>
  <c r="AF1049" i="1" s="1"/>
  <c r="AH1049" i="1" s="1"/>
  <c r="AD740" i="1"/>
  <c r="AE740" i="1"/>
  <c r="AF740" i="1" s="1"/>
  <c r="AH740" i="1" s="1"/>
  <c r="AD969" i="1"/>
  <c r="AE969" i="1"/>
  <c r="AF969" i="1" s="1"/>
  <c r="AH969" i="1" s="1"/>
  <c r="AH956" i="1"/>
  <c r="AD627" i="1"/>
  <c r="AE627" i="1"/>
  <c r="AF627" i="1" s="1"/>
  <c r="AH627" i="1" s="1"/>
  <c r="AH1138" i="1"/>
  <c r="AD1081" i="1"/>
  <c r="AE1081" i="1"/>
  <c r="AF1081" i="1" s="1"/>
  <c r="AH1081" i="1" s="1"/>
  <c r="AD861" i="1"/>
  <c r="AE861" i="1"/>
  <c r="AF861" i="1" s="1"/>
  <c r="AH861" i="1" s="1"/>
  <c r="AH800" i="1"/>
  <c r="AD761" i="1"/>
  <c r="AE761" i="1"/>
  <c r="AF761" i="1" s="1"/>
  <c r="AH761" i="1" s="1"/>
  <c r="AH664" i="1"/>
  <c r="AD655" i="1"/>
  <c r="AE655" i="1"/>
  <c r="AF655" i="1" s="1"/>
  <c r="AH655" i="1" s="1"/>
  <c r="AE471" i="1"/>
  <c r="AF471" i="1" s="1"/>
  <c r="AH471" i="1" s="1"/>
  <c r="AD471" i="1"/>
  <c r="AH430" i="1"/>
  <c r="AD540" i="1"/>
  <c r="AE540" i="1"/>
  <c r="AF540" i="1" s="1"/>
  <c r="AH540" i="1" s="1"/>
  <c r="AD128" i="1"/>
  <c r="AE128" i="1"/>
  <c r="AF128" i="1" s="1"/>
  <c r="AH128" i="1" s="1"/>
  <c r="AE819" i="1"/>
  <c r="AF819" i="1" s="1"/>
  <c r="AH819" i="1" s="1"/>
  <c r="AD819" i="1"/>
  <c r="AH1036" i="1"/>
  <c r="AH634" i="1"/>
  <c r="AH195" i="1"/>
  <c r="AD1177" i="1"/>
  <c r="AE1177" i="1"/>
  <c r="AF1177" i="1" s="1"/>
  <c r="AH1177" i="1" s="1"/>
  <c r="AE1215" i="1"/>
  <c r="AF1215" i="1" s="1"/>
  <c r="AH1215" i="1" s="1"/>
  <c r="AE1148" i="1"/>
  <c r="AF1148" i="1" s="1"/>
  <c r="AH1148" i="1" s="1"/>
  <c r="AE1130" i="1"/>
  <c r="AF1130" i="1" s="1"/>
  <c r="AH1130" i="1" s="1"/>
  <c r="AE1011" i="1"/>
  <c r="AF1011" i="1" s="1"/>
  <c r="AH1011" i="1" s="1"/>
  <c r="AE1009" i="1"/>
  <c r="AF1009" i="1" s="1"/>
  <c r="AH1009" i="1" s="1"/>
  <c r="AD1001" i="1"/>
  <c r="AE1001" i="1"/>
  <c r="AF1001" i="1" s="1"/>
  <c r="AH1001" i="1" s="1"/>
  <c r="AE972" i="1"/>
  <c r="AF972" i="1" s="1"/>
  <c r="AH972" i="1" s="1"/>
  <c r="AE933" i="1"/>
  <c r="AF933" i="1" s="1"/>
  <c r="AH933" i="1" s="1"/>
  <c r="AE877" i="1"/>
  <c r="AF877" i="1" s="1"/>
  <c r="AH877" i="1" s="1"/>
  <c r="AE873" i="1"/>
  <c r="AF873" i="1" s="1"/>
  <c r="AH873" i="1" s="1"/>
  <c r="AD848" i="1"/>
  <c r="AE848" i="1"/>
  <c r="AF848" i="1" s="1"/>
  <c r="AH848" i="1" s="1"/>
  <c r="AH666" i="1"/>
  <c r="AD659" i="1"/>
  <c r="AE659" i="1"/>
  <c r="AF659" i="1" s="1"/>
  <c r="AH659" i="1" s="1"/>
  <c r="AH626" i="1"/>
  <c r="AE503" i="1"/>
  <c r="AF503" i="1" s="1"/>
  <c r="AH503" i="1" s="1"/>
  <c r="AD503" i="1"/>
  <c r="AH257" i="1"/>
  <c r="AD1017" i="1"/>
  <c r="AE1017" i="1"/>
  <c r="AF1017" i="1" s="1"/>
  <c r="AH1017" i="1" s="1"/>
  <c r="AD937" i="1"/>
  <c r="AE937" i="1"/>
  <c r="AF937" i="1" s="1"/>
  <c r="AH937" i="1" s="1"/>
  <c r="AH1186" i="1"/>
  <c r="AD870" i="1"/>
  <c r="AE870" i="1"/>
  <c r="AF870" i="1" s="1"/>
  <c r="AH870" i="1" s="1"/>
  <c r="AH348" i="1"/>
  <c r="AH110" i="1"/>
  <c r="AD735" i="1"/>
  <c r="AE735" i="1"/>
  <c r="AF735" i="1" s="1"/>
  <c r="AH735" i="1" s="1"/>
  <c r="AH632" i="1"/>
  <c r="AD550" i="1"/>
  <c r="AE550" i="1"/>
  <c r="AF550" i="1" s="1"/>
  <c r="AH550" i="1" s="1"/>
  <c r="AD821" i="1"/>
  <c r="AE821" i="1"/>
  <c r="AF821" i="1" s="1"/>
  <c r="AH821" i="1" s="1"/>
  <c r="AE1201" i="1"/>
  <c r="AF1201" i="1" s="1"/>
  <c r="AH1201" i="1" s="1"/>
  <c r="AD935" i="1"/>
  <c r="AD921" i="1"/>
  <c r="AE921" i="1"/>
  <c r="AF921" i="1" s="1"/>
  <c r="AH921" i="1" s="1"/>
  <c r="AD879" i="1"/>
  <c r="AD751" i="1"/>
  <c r="AE751" i="1"/>
  <c r="AF751" i="1" s="1"/>
  <c r="AH751" i="1" s="1"/>
  <c r="AD671" i="1"/>
  <c r="AE671" i="1"/>
  <c r="AF671" i="1" s="1"/>
  <c r="AH671" i="1" s="1"/>
  <c r="AD270" i="1"/>
  <c r="AE270" i="1"/>
  <c r="AF270" i="1" s="1"/>
  <c r="AH270" i="1" s="1"/>
  <c r="AD1145" i="1"/>
  <c r="AE1145" i="1"/>
  <c r="AF1145" i="1" s="1"/>
  <c r="AH1145" i="1" s="1"/>
  <c r="AH1132" i="1"/>
  <c r="AE1203" i="1"/>
  <c r="AF1203" i="1" s="1"/>
  <c r="AH1203" i="1" s="1"/>
  <c r="AD1223" i="1"/>
  <c r="AD1193" i="1"/>
  <c r="AE1193" i="1"/>
  <c r="AF1193" i="1" s="1"/>
  <c r="AH1193" i="1" s="1"/>
  <c r="AH1154" i="1"/>
  <c r="AD1097" i="1"/>
  <c r="AE1097" i="1"/>
  <c r="AF1097" i="1" s="1"/>
  <c r="AH1097" i="1" s="1"/>
  <c r="AD770" i="1"/>
  <c r="AE770" i="1"/>
  <c r="AF770" i="1" s="1"/>
  <c r="AH770" i="1" s="1"/>
  <c r="AH710" i="1"/>
  <c r="AD675" i="1"/>
  <c r="AE675" i="1"/>
  <c r="AF675" i="1" s="1"/>
  <c r="AH675" i="1" s="1"/>
  <c r="AD535" i="1"/>
  <c r="AE535" i="1"/>
  <c r="AF535" i="1" s="1"/>
  <c r="AH535" i="1" s="1"/>
  <c r="AD519" i="1"/>
  <c r="AD514" i="1"/>
  <c r="AD505" i="1"/>
  <c r="AD812" i="1"/>
  <c r="AD478" i="1"/>
  <c r="AE478" i="1"/>
  <c r="AF478" i="1" s="1"/>
  <c r="AH478" i="1" s="1"/>
  <c r="AH456" i="1"/>
  <c r="AD683" i="1"/>
  <c r="AE683" i="1"/>
  <c r="AF683" i="1" s="1"/>
  <c r="AH683" i="1" s="1"/>
  <c r="AH764" i="1"/>
  <c r="AE414" i="1"/>
  <c r="AF414" i="1" s="1"/>
  <c r="AH414" i="1" s="1"/>
  <c r="AD414" i="1"/>
  <c r="AH163" i="1"/>
  <c r="AE781" i="1"/>
  <c r="AF781" i="1" s="1"/>
  <c r="AH781" i="1" s="1"/>
  <c r="AD781" i="1"/>
  <c r="AH374" i="1"/>
  <c r="AD839" i="1"/>
  <c r="AD687" i="1"/>
  <c r="AE687" i="1"/>
  <c r="AF687" i="1" s="1"/>
  <c r="AH687" i="1" s="1"/>
  <c r="AH614" i="1"/>
  <c r="AD548" i="1"/>
  <c r="AD544" i="1"/>
  <c r="AD533" i="1"/>
  <c r="AD419" i="1"/>
  <c r="AH406" i="1"/>
  <c r="AD803" i="1"/>
  <c r="AE803" i="1"/>
  <c r="AF803" i="1" s="1"/>
  <c r="AH803" i="1" s="1"/>
  <c r="AE669" i="1"/>
  <c r="AF669" i="1" s="1"/>
  <c r="AH669" i="1" s="1"/>
  <c r="AD669" i="1"/>
  <c r="AE653" i="1"/>
  <c r="AF653" i="1" s="1"/>
  <c r="AH653" i="1" s="1"/>
  <c r="AD653" i="1"/>
  <c r="AE637" i="1"/>
  <c r="AF637" i="1" s="1"/>
  <c r="AH637" i="1" s="1"/>
  <c r="AD637" i="1"/>
  <c r="AE621" i="1"/>
  <c r="AF621" i="1" s="1"/>
  <c r="AH621" i="1" s="1"/>
  <c r="AD621" i="1"/>
  <c r="AE530" i="1"/>
  <c r="AF530" i="1" s="1"/>
  <c r="AH530" i="1" s="1"/>
  <c r="AD530" i="1"/>
  <c r="AD892" i="1"/>
  <c r="AD498" i="1"/>
  <c r="AE498" i="1"/>
  <c r="AF498" i="1" s="1"/>
  <c r="AH498" i="1" s="1"/>
  <c r="AH376" i="1"/>
  <c r="AD497" i="1"/>
  <c r="AE497" i="1"/>
  <c r="AF497" i="1" s="1"/>
  <c r="AH497" i="1" s="1"/>
  <c r="AD315" i="1"/>
  <c r="AE564" i="1"/>
  <c r="AF564" i="1" s="1"/>
  <c r="AH564" i="1" s="1"/>
  <c r="AD564" i="1"/>
  <c r="AH197" i="1"/>
  <c r="AH143" i="1"/>
  <c r="AH691" i="1"/>
  <c r="AH551" i="1"/>
  <c r="AH460" i="1"/>
  <c r="AH159" i="1"/>
  <c r="AD726" i="1"/>
  <c r="AD532" i="1"/>
  <c r="AE532" i="1"/>
  <c r="AF532" i="1" s="1"/>
  <c r="AH532" i="1" s="1"/>
  <c r="AD474" i="1"/>
  <c r="AE474" i="1"/>
  <c r="AF474" i="1" s="1"/>
  <c r="AH474" i="1" s="1"/>
  <c r="AD334" i="1"/>
  <c r="AH126" i="1"/>
  <c r="AD252" i="1"/>
  <c r="AE252" i="1"/>
  <c r="AF252" i="1" s="1"/>
  <c r="AH252" i="1" s="1"/>
  <c r="AD703" i="1"/>
  <c r="AE703" i="1"/>
  <c r="AF703" i="1" s="1"/>
  <c r="AH703" i="1" s="1"/>
  <c r="AD607" i="1"/>
  <c r="AE607" i="1"/>
  <c r="AF607" i="1" s="1"/>
  <c r="AH607" i="1" s="1"/>
  <c r="AD566" i="1"/>
  <c r="AE566" i="1"/>
  <c r="AF566" i="1" s="1"/>
  <c r="AH566" i="1" s="1"/>
  <c r="AH241" i="1"/>
  <c r="AH485" i="1"/>
  <c r="AD476" i="1"/>
  <c r="AE476" i="1"/>
  <c r="AF476" i="1" s="1"/>
  <c r="AH476" i="1" s="1"/>
  <c r="AD464" i="1"/>
  <c r="AD418" i="1"/>
  <c r="AD364" i="1"/>
  <c r="AD336" i="1"/>
  <c r="AD313" i="1"/>
  <c r="AD553" i="1"/>
  <c r="AH420" i="1"/>
  <c r="AD363" i="1"/>
  <c r="AH342" i="1"/>
  <c r="AH142" i="1"/>
  <c r="AD448" i="1"/>
  <c r="AD396" i="1"/>
  <c r="AD368" i="1"/>
  <c r="AH238" i="1"/>
  <c r="AD139" i="1"/>
  <c r="AE139" i="1"/>
  <c r="AF139" i="1" s="1"/>
  <c r="AH139" i="1" s="1"/>
  <c r="AD537" i="1"/>
  <c r="AD480" i="1"/>
  <c r="AD439" i="1"/>
  <c r="AD434" i="1"/>
  <c r="AD386" i="1"/>
  <c r="AD284" i="1"/>
  <c r="AD203" i="1"/>
  <c r="AD187" i="1"/>
  <c r="AE500" i="1"/>
  <c r="AF500" i="1" s="1"/>
  <c r="AH500" i="1" s="1"/>
  <c r="AE484" i="1"/>
  <c r="AF484" i="1" s="1"/>
  <c r="AH484" i="1" s="1"/>
  <c r="AE468" i="1"/>
  <c r="AF468" i="1" s="1"/>
  <c r="AH468" i="1" s="1"/>
  <c r="AE452" i="1"/>
  <c r="AF452" i="1" s="1"/>
  <c r="AH452" i="1" s="1"/>
  <c r="AE443" i="1"/>
  <c r="AF443" i="1" s="1"/>
  <c r="AH443" i="1" s="1"/>
  <c r="AD299" i="1"/>
  <c r="AD171" i="1"/>
  <c r="AD146" i="1"/>
  <c r="AE482" i="1"/>
  <c r="AF482" i="1" s="1"/>
  <c r="AH482" i="1" s="1"/>
  <c r="AE466" i="1"/>
  <c r="AF466" i="1" s="1"/>
  <c r="AH466" i="1" s="1"/>
  <c r="AE450" i="1"/>
  <c r="AF450" i="1" s="1"/>
  <c r="AH450" i="1" s="1"/>
  <c r="AE441" i="1"/>
  <c r="AF441" i="1" s="1"/>
  <c r="AH441" i="1" s="1"/>
  <c r="AE417" i="1"/>
  <c r="AF417" i="1" s="1"/>
  <c r="AH417" i="1" s="1"/>
  <c r="AD411" i="1"/>
  <c r="AD379" i="1"/>
  <c r="AD347" i="1"/>
  <c r="AE307" i="1"/>
  <c r="AF307" i="1" s="1"/>
  <c r="AH307" i="1" s="1"/>
  <c r="AE160" i="1"/>
  <c r="AF160" i="1" s="1"/>
  <c r="AH160" i="1" s="1"/>
  <c r="AE117" i="1"/>
  <c r="AF117" i="1" s="1"/>
  <c r="AH117" i="1" s="1"/>
  <c r="AE115" i="1"/>
  <c r="AF115" i="1" s="1"/>
  <c r="AH115" i="1" s="1"/>
  <c r="AD267" i="1"/>
  <c r="AD162" i="1"/>
  <c r="AD427" i="1"/>
  <c r="AD402" i="1"/>
  <c r="AD370" i="1"/>
  <c r="AD338" i="1"/>
  <c r="AD210" i="1"/>
  <c r="AD91" i="1"/>
  <c r="AB65" i="1"/>
  <c r="AE65" i="1" s="1"/>
  <c r="AF65" i="1" s="1"/>
  <c r="AC65" i="1"/>
  <c r="AD65" i="1" s="1"/>
  <c r="AG65" i="1"/>
  <c r="AI65" i="1"/>
  <c r="AB66" i="1"/>
  <c r="AC66" i="1"/>
  <c r="AD66" i="1"/>
  <c r="AE66" i="1"/>
  <c r="AF66" i="1"/>
  <c r="AG66" i="1"/>
  <c r="AH66" i="1"/>
  <c r="AI66" i="1"/>
  <c r="AB67" i="1"/>
  <c r="AE67" i="1" s="1"/>
  <c r="AF67" i="1" s="1"/>
  <c r="AC67" i="1"/>
  <c r="AG67" i="1"/>
  <c r="AI67" i="1"/>
  <c r="AB68" i="1"/>
  <c r="AC68" i="1"/>
  <c r="AD68" i="1"/>
  <c r="AE68" i="1"/>
  <c r="AF68" i="1"/>
  <c r="AG68" i="1"/>
  <c r="AH68" i="1"/>
  <c r="AI68" i="1"/>
  <c r="AB69" i="1"/>
  <c r="AE69" i="1" s="1"/>
  <c r="AF69" i="1" s="1"/>
  <c r="AC69" i="1"/>
  <c r="AD69" i="1" s="1"/>
  <c r="AG69" i="1"/>
  <c r="AI69" i="1"/>
  <c r="AB70" i="1"/>
  <c r="AE70" i="1" s="1"/>
  <c r="AF70" i="1" s="1"/>
  <c r="AH70" i="1" s="1"/>
  <c r="AC70" i="1"/>
  <c r="AG70" i="1"/>
  <c r="AI70" i="1"/>
  <c r="AB71" i="1"/>
  <c r="AE71" i="1" s="1"/>
  <c r="AF71" i="1" s="1"/>
  <c r="AC71" i="1"/>
  <c r="AD71" i="1" s="1"/>
  <c r="AG71" i="1"/>
  <c r="AI71" i="1"/>
  <c r="AB72" i="1"/>
  <c r="AC72" i="1"/>
  <c r="AD72" i="1"/>
  <c r="AE72" i="1"/>
  <c r="AF72" i="1"/>
  <c r="AG72" i="1"/>
  <c r="AH72" i="1"/>
  <c r="AI72" i="1"/>
  <c r="AB73" i="1"/>
  <c r="AE73" i="1" s="1"/>
  <c r="AF73" i="1" s="1"/>
  <c r="AC73" i="1"/>
  <c r="AD73" i="1" s="1"/>
  <c r="AG73" i="1"/>
  <c r="AI73" i="1"/>
  <c r="AB74" i="1"/>
  <c r="AC74" i="1"/>
  <c r="AD74" i="1"/>
  <c r="AE74" i="1"/>
  <c r="AF74" i="1"/>
  <c r="AG74" i="1"/>
  <c r="AH74" i="1"/>
  <c r="AI74" i="1"/>
  <c r="AB75" i="1"/>
  <c r="AE75" i="1" s="1"/>
  <c r="AF75" i="1" s="1"/>
  <c r="AC75" i="1"/>
  <c r="AD75" i="1" s="1"/>
  <c r="AG75" i="1"/>
  <c r="AI75" i="1"/>
  <c r="AB76" i="1"/>
  <c r="AE76" i="1" s="1"/>
  <c r="AF76" i="1" s="1"/>
  <c r="AH76" i="1" s="1"/>
  <c r="AC76" i="1"/>
  <c r="AD76" i="1" s="1"/>
  <c r="AG76" i="1"/>
  <c r="AI76" i="1"/>
  <c r="AB77" i="1"/>
  <c r="AE77" i="1" s="1"/>
  <c r="AF77" i="1" s="1"/>
  <c r="AC77" i="1"/>
  <c r="AD77" i="1" s="1"/>
  <c r="AG77" i="1"/>
  <c r="AI77" i="1"/>
  <c r="AB78" i="1"/>
  <c r="AE78" i="1" s="1"/>
  <c r="AF78" i="1" s="1"/>
  <c r="AC78" i="1"/>
  <c r="AD78" i="1" s="1"/>
  <c r="AG78" i="1"/>
  <c r="AI78" i="1"/>
  <c r="AB79" i="1"/>
  <c r="AE79" i="1" s="1"/>
  <c r="AF79" i="1" s="1"/>
  <c r="AC79" i="1"/>
  <c r="AG79" i="1"/>
  <c r="AI79" i="1"/>
  <c r="AB80" i="1"/>
  <c r="AE80" i="1" s="1"/>
  <c r="AF80" i="1" s="1"/>
  <c r="AH80" i="1" s="1"/>
  <c r="AC80" i="1"/>
  <c r="AG80" i="1"/>
  <c r="AI80" i="1"/>
  <c r="AB81" i="1"/>
  <c r="AE81" i="1" s="1"/>
  <c r="AF81" i="1" s="1"/>
  <c r="AC81" i="1"/>
  <c r="AD81" i="1" s="1"/>
  <c r="AG81" i="1"/>
  <c r="AI81" i="1"/>
  <c r="AB82" i="1"/>
  <c r="AE82" i="1" s="1"/>
  <c r="AF82" i="1" s="1"/>
  <c r="AC82" i="1"/>
  <c r="AD82" i="1" s="1"/>
  <c r="AG82" i="1"/>
  <c r="AI82" i="1"/>
  <c r="AB83" i="1"/>
  <c r="AE83" i="1" s="1"/>
  <c r="AF83" i="1" s="1"/>
  <c r="AC83" i="1"/>
  <c r="AG83" i="1"/>
  <c r="AI83" i="1"/>
  <c r="AB84" i="1"/>
  <c r="AC84" i="1"/>
  <c r="AD84" i="1"/>
  <c r="AE84" i="1"/>
  <c r="AF84" i="1"/>
  <c r="AG84" i="1"/>
  <c r="AI84" i="1"/>
  <c r="AB85" i="1"/>
  <c r="AE85" i="1" s="1"/>
  <c r="AF85" i="1" s="1"/>
  <c r="AC85" i="1"/>
  <c r="AG85" i="1"/>
  <c r="AI85" i="1"/>
  <c r="AB86" i="1"/>
  <c r="AE86" i="1" s="1"/>
  <c r="AF86" i="1" s="1"/>
  <c r="AC86" i="1"/>
  <c r="AD86" i="1" s="1"/>
  <c r="AG86" i="1"/>
  <c r="AI86" i="1"/>
  <c r="AB87" i="1"/>
  <c r="AE87" i="1" s="1"/>
  <c r="AF87" i="1" s="1"/>
  <c r="AC87" i="1"/>
  <c r="AD87" i="1" s="1"/>
  <c r="AG87" i="1"/>
  <c r="AI87" i="1"/>
  <c r="AI64" i="1"/>
  <c r="AG64" i="1"/>
  <c r="AC64" i="1"/>
  <c r="AB64" i="1"/>
  <c r="AE64" i="1" s="1"/>
  <c r="AF64" i="1" s="1"/>
  <c r="AD80" i="1" l="1"/>
  <c r="AD70" i="1"/>
  <c r="AH82" i="1"/>
  <c r="AD67" i="1"/>
  <c r="AH86" i="1"/>
  <c r="AH85" i="1"/>
  <c r="AH78" i="1"/>
  <c r="AD83" i="1"/>
  <c r="AH84" i="1"/>
  <c r="AD79" i="1"/>
  <c r="AH67" i="1"/>
  <c r="AH79" i="1"/>
  <c r="AH83" i="1"/>
  <c r="AH77" i="1"/>
  <c r="AH87" i="1"/>
  <c r="AH75" i="1"/>
  <c r="AH71" i="1"/>
  <c r="AH73" i="1"/>
  <c r="AD85" i="1"/>
  <c r="AH69" i="1"/>
  <c r="AH81" i="1"/>
  <c r="AH65" i="1"/>
  <c r="AD64" i="1"/>
  <c r="AH64" i="1"/>
  <c r="AG60" i="1"/>
  <c r="AC60" i="1"/>
  <c r="AB60" i="1"/>
  <c r="AE60" i="1" s="1"/>
  <c r="AF60" i="1" s="1"/>
  <c r="AG59" i="1"/>
  <c r="AC59" i="1"/>
  <c r="AB59" i="1"/>
  <c r="AE59" i="1" s="1"/>
  <c r="AF59" i="1" s="1"/>
  <c r="AH59" i="1" s="1"/>
  <c r="AG58" i="1"/>
  <c r="AC58" i="1"/>
  <c r="AB58" i="1"/>
  <c r="AE58" i="1" s="1"/>
  <c r="AF58" i="1" s="1"/>
  <c r="AG57" i="1"/>
  <c r="AC57" i="1"/>
  <c r="AB57" i="1"/>
  <c r="AE57" i="1" s="1"/>
  <c r="AF57" i="1" s="1"/>
  <c r="AG56" i="1"/>
  <c r="AC56" i="1"/>
  <c r="AB56" i="1"/>
  <c r="AE56" i="1" s="1"/>
  <c r="AF56" i="1" s="1"/>
  <c r="AH56" i="1" s="1"/>
  <c r="AG55" i="1"/>
  <c r="AC55" i="1"/>
  <c r="AB55" i="1"/>
  <c r="AE55" i="1" s="1"/>
  <c r="AF55" i="1" s="1"/>
  <c r="AH55" i="1" s="1"/>
  <c r="AG54" i="1"/>
  <c r="AC54" i="1"/>
  <c r="AB54" i="1"/>
  <c r="AE54" i="1" s="1"/>
  <c r="AF54" i="1" s="1"/>
  <c r="AH54" i="1" s="1"/>
  <c r="AG53" i="1"/>
  <c r="AC53" i="1"/>
  <c r="AB53" i="1"/>
  <c r="AE53" i="1" s="1"/>
  <c r="AF53" i="1" s="1"/>
  <c r="AH53" i="1" s="1"/>
  <c r="AG52" i="1"/>
  <c r="AC52" i="1"/>
  <c r="AB52" i="1"/>
  <c r="AE52" i="1" s="1"/>
  <c r="AF52" i="1" s="1"/>
  <c r="AG51" i="1"/>
  <c r="AC51" i="1"/>
  <c r="AB51" i="1"/>
  <c r="AE51" i="1" s="1"/>
  <c r="AF51" i="1" s="1"/>
  <c r="AG50" i="1"/>
  <c r="AE50" i="1"/>
  <c r="AF50" i="1" s="1"/>
  <c r="AC50" i="1"/>
  <c r="AD50" i="1" s="1"/>
  <c r="AG49" i="1"/>
  <c r="AE49" i="1"/>
  <c r="AF49" i="1" s="1"/>
  <c r="AC49" i="1"/>
  <c r="AD49" i="1" s="1"/>
  <c r="AG48" i="1"/>
  <c r="AE48" i="1"/>
  <c r="AF48" i="1" s="1"/>
  <c r="AH48" i="1" s="1"/>
  <c r="AC48" i="1"/>
  <c r="AD48" i="1" s="1"/>
  <c r="AG47" i="1"/>
  <c r="AC47" i="1"/>
  <c r="AB47" i="1"/>
  <c r="AE47" i="1" s="1"/>
  <c r="AF47" i="1" s="1"/>
  <c r="AG46" i="1"/>
  <c r="AC46" i="1"/>
  <c r="AB46" i="1"/>
  <c r="AE46" i="1" s="1"/>
  <c r="AF46" i="1" s="1"/>
  <c r="AG45" i="1"/>
  <c r="AC45" i="1"/>
  <c r="AB45" i="1"/>
  <c r="AE45" i="1" s="1"/>
  <c r="AF45" i="1" s="1"/>
  <c r="AH45" i="1" s="1"/>
  <c r="AG44" i="1"/>
  <c r="AC44" i="1"/>
  <c r="AB44" i="1"/>
  <c r="AE44" i="1" s="1"/>
  <c r="AF44" i="1" s="1"/>
  <c r="AG43" i="1"/>
  <c r="AC43" i="1"/>
  <c r="AB43" i="1"/>
  <c r="AE43" i="1" s="1"/>
  <c r="AF43" i="1" s="1"/>
  <c r="AH43" i="1" s="1"/>
  <c r="AG42" i="1"/>
  <c r="AC42" i="1"/>
  <c r="AB42" i="1"/>
  <c r="AE42" i="1" s="1"/>
  <c r="AF42" i="1" s="1"/>
  <c r="AG41" i="1"/>
  <c r="AC41" i="1"/>
  <c r="AB41" i="1"/>
  <c r="AE41" i="1" s="1"/>
  <c r="AF41" i="1" s="1"/>
  <c r="AH41" i="1" s="1"/>
  <c r="AG40" i="1"/>
  <c r="AC40" i="1"/>
  <c r="AB40" i="1"/>
  <c r="AE40" i="1" s="1"/>
  <c r="AF40" i="1" s="1"/>
  <c r="AH40" i="1" s="1"/>
  <c r="AG39" i="1"/>
  <c r="AC39" i="1"/>
  <c r="AB39" i="1"/>
  <c r="AE39" i="1" s="1"/>
  <c r="AF39" i="1" s="1"/>
  <c r="AH39" i="1" s="1"/>
  <c r="AG38" i="1"/>
  <c r="AC38" i="1"/>
  <c r="AB38" i="1"/>
  <c r="AE38" i="1" s="1"/>
  <c r="AF38" i="1" s="1"/>
  <c r="AH38" i="1" s="1"/>
  <c r="AG37" i="1"/>
  <c r="AC37" i="1"/>
  <c r="AB37" i="1"/>
  <c r="AE37" i="1" s="1"/>
  <c r="AF37" i="1" s="1"/>
  <c r="AH37" i="1" s="1"/>
  <c r="AG36" i="1"/>
  <c r="AC36" i="1"/>
  <c r="AB36" i="1"/>
  <c r="AE36" i="1" s="1"/>
  <c r="AF36" i="1" s="1"/>
  <c r="AG35" i="1"/>
  <c r="AC35" i="1"/>
  <c r="AB35" i="1"/>
  <c r="AE35" i="1" s="1"/>
  <c r="AF35" i="1" s="1"/>
  <c r="AG34" i="1"/>
  <c r="AC34" i="1"/>
  <c r="AB34" i="1"/>
  <c r="AE34" i="1" s="1"/>
  <c r="AF34" i="1" s="1"/>
  <c r="AH34" i="1" s="1"/>
  <c r="AG33" i="1"/>
  <c r="AC33" i="1"/>
  <c r="AB33" i="1"/>
  <c r="AE33" i="1" s="1"/>
  <c r="AF33" i="1" s="1"/>
  <c r="AH33" i="1" s="1"/>
  <c r="AG32" i="1"/>
  <c r="AC32" i="1"/>
  <c r="AB32" i="1"/>
  <c r="AE32" i="1" s="1"/>
  <c r="AF32" i="1" s="1"/>
  <c r="AG31" i="1"/>
  <c r="AC31" i="1"/>
  <c r="AB31" i="1"/>
  <c r="AE31" i="1" s="1"/>
  <c r="AF31" i="1" s="1"/>
  <c r="AG30" i="1"/>
  <c r="AC30" i="1"/>
  <c r="AB30" i="1"/>
  <c r="AE30" i="1" s="1"/>
  <c r="AF30" i="1" s="1"/>
  <c r="AG29" i="1"/>
  <c r="AC29" i="1"/>
  <c r="AB29" i="1"/>
  <c r="AE29" i="1" s="1"/>
  <c r="AF29" i="1" s="1"/>
  <c r="AH29" i="1" s="1"/>
  <c r="AG28" i="1"/>
  <c r="AC28" i="1"/>
  <c r="AB28" i="1"/>
  <c r="AE28" i="1" s="1"/>
  <c r="AF28" i="1" s="1"/>
  <c r="AH58" i="1" l="1"/>
  <c r="AH36" i="1"/>
  <c r="AH31" i="1"/>
  <c r="AH47" i="1"/>
  <c r="AD44" i="1"/>
  <c r="AH35" i="1"/>
  <c r="AH51" i="1"/>
  <c r="AD32" i="1"/>
  <c r="AH30" i="1"/>
  <c r="AH46" i="1"/>
  <c r="AD52" i="1"/>
  <c r="AD51" i="1"/>
  <c r="AD41" i="1"/>
  <c r="AD37" i="1"/>
  <c r="AD42" i="1"/>
  <c r="AH50" i="1"/>
  <c r="AD57" i="1"/>
  <c r="AD36" i="1"/>
  <c r="AH28" i="1"/>
  <c r="AD28" i="1"/>
  <c r="AH44" i="1"/>
  <c r="AH60" i="1"/>
  <c r="AD43" i="1"/>
  <c r="AD34" i="1"/>
  <c r="AD39" i="1"/>
  <c r="AH49" i="1"/>
  <c r="AD59" i="1"/>
  <c r="AD55" i="1"/>
  <c r="AD33" i="1"/>
  <c r="AD54" i="1"/>
  <c r="AD60" i="1"/>
  <c r="AD53" i="1"/>
  <c r="AD29" i="1"/>
  <c r="AD56" i="1"/>
  <c r="AD58" i="1"/>
  <c r="AD30" i="1"/>
  <c r="AD45" i="1"/>
  <c r="AD47" i="1"/>
  <c r="AD38" i="1"/>
  <c r="AD40" i="1"/>
  <c r="AD46" i="1"/>
  <c r="AD35" i="1"/>
  <c r="AD31" i="1"/>
  <c r="AH32" i="1"/>
  <c r="AH42" i="1"/>
  <c r="AH52" i="1"/>
  <c r="AH57" i="1"/>
</calcChain>
</file>

<file path=xl/connections.xml><?xml version="1.0" encoding="utf-8"?>
<connections xmlns="http://schemas.openxmlformats.org/spreadsheetml/2006/main">
  <connection id="1" name="fitting_results" type="6" refreshedVersion="6" background="1" saveData="1">
    <textPr codePage="437" firstRow="27" sourceFile="C:\Users\URI\python\pazi\Pazi\simulation_changing_Var_apr11\fitting_results.csv" comma="1">
      <textFields count="2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fitting_results1" type="6" refreshedVersion="6" background="1" saveData="1">
    <textPr codePage="437" firstRow="27" sourceFile="C:\Users\URI\python\pazi\Pazi\simulation_changing_Var_apr17\fitting_results.csv" comma="1">
      <textFields count="2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fitting_results2" type="6" refreshedVersion="6" background="1" saveData="1">
    <textPr codePage="437" firstRow="27" sourceFile="C:\Users\URI\python\pazi\Pazi\simulation_changing_Var_Gaussian_apr21\fitting_results.csv" comma="1">
      <textFields count="2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fitting_results3" type="6" refreshedVersion="6" background="1" saveData="1">
    <textPr codePage="437" firstRow="27" sourceFile="C:\Users\URI\python\pazi\Pazi\simulations_rg_1-2-4-6-8_210425\fitting_results.csv" comma="1">
      <textFields count="2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fitting_results4" type="6" refreshedVersion="6" background="1" saveData="1">
    <textPr codePage="437" firstRow="27" sourceFile="C:\Users\URI\python\pazi\Pazi\simulation_emp_mean_apr21\fitting_results.csv" comma="1">
      <textFields count="2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<sst xmlns="http://schemas.openxmlformats.org/spreadsheetml/2006/main" count="5018" uniqueCount="499">
  <si>
    <t># Fitting Parameters Used:</t>
  </si>
  <si>
    <t># q_min: 0.0</t>
  </si>
  <si>
    <t># q_max: 0.2</t>
  </si>
  <si>
    <t># form_factor_name: guinier_ff</t>
  </si>
  <si>
    <t># f2_initial: 0.0</t>
  </si>
  <si>
    <t># f2_min: -1.0</t>
  </si>
  <si>
    <t># f2_max: 1.0</t>
  </si>
  <si>
    <t># f2_free: False</t>
  </si>
  <si>
    <t># rg_initial: 2.0</t>
  </si>
  <si>
    <t># rg_min: 0.5</t>
  </si>
  <si>
    <t># rg_max: 2.5</t>
  </si>
  <si>
    <t># rg_free: True</t>
  </si>
  <si>
    <t># perform_guinier_estimation: False</t>
  </si>
  <si>
    <t># var_initial: 0.00025</t>
  </si>
  <si>
    <t># var_min: 5e-06</t>
  </si>
  <si>
    <t># var_max: 0.5</t>
  </si>
  <si>
    <t># var_free: True</t>
  </si>
  <si>
    <t># A_initial: 0.1</t>
  </si>
  <si>
    <t># A_min: -1.0</t>
  </si>
  <si>
    <t># A_max: 0.0</t>
  </si>
  <si>
    <t># A_free: True</t>
  </si>
  <si>
    <t># auto_init_A: True</t>
  </si>
  <si>
    <t># plot_fitting_curve: False</t>
  </si>
  <si>
    <t># auto_set_parameters: False</t>
  </si>
  <si>
    <t># auto_rg_bound_percent: 0.2</t>
  </si>
  <si>
    <t>binning</t>
  </si>
  <si>
    <t>bins_number</t>
  </si>
  <si>
    <t>empirical_var</t>
  </si>
  <si>
    <t>form_factor_name</t>
  </si>
  <si>
    <t>normalization_on</t>
  </si>
  <si>
    <t>px_number</t>
  </si>
  <si>
    <t>px_size</t>
  </si>
  <si>
    <t>q_max</t>
  </si>
  <si>
    <t>q_min</t>
  </si>
  <si>
    <t>return_unique</t>
  </si>
  <si>
    <t>rg</t>
  </si>
  <si>
    <t>sample_detector_distance</t>
  </si>
  <si>
    <t>variance</t>
  </si>
  <si>
    <t>wavelength</t>
  </si>
  <si>
    <t>filename1</t>
  </si>
  <si>
    <t>filename2</t>
  </si>
  <si>
    <t>A_fit</t>
  </si>
  <si>
    <t>A_fit_error</t>
  </si>
  <si>
    <t>Ag0</t>
  </si>
  <si>
    <t>Ag1</t>
  </si>
  <si>
    <t>Rg_guinier</t>
  </si>
  <si>
    <t>f2_fit</t>
  </si>
  <si>
    <t>f2_fit_error</t>
  </si>
  <si>
    <t>rg_fit</t>
  </si>
  <si>
    <t>rg_fit_error</t>
  </si>
  <si>
    <t>var_fit</t>
  </si>
  <si>
    <t>var_fit_error</t>
  </si>
  <si>
    <t>guinier_ff</t>
  </si>
  <si>
    <t>[500, 500]</t>
  </si>
  <si>
    <t>sim_000_variance0.010_sigma_x1_sigma_y1.csv</t>
  </si>
  <si>
    <t>sim_001_variance0.010_sigma_x5_sigma_y1.csv</t>
  </si>
  <si>
    <t>sim_000_rg1_variance0.020_sigma_x1_sigma_y1.csv</t>
  </si>
  <si>
    <t>sim_001_rg1_variance0.020_sigma_x5_sigma_y1.csv</t>
  </si>
  <si>
    <t>sim_000_rg5_variance0.020_sigma_x1_sigma_y1.csv</t>
  </si>
  <si>
    <t>sim_001_rg5_variance0.020_sigma_x5_sigma_y1.csv</t>
  </si>
  <si>
    <t>sim_008_rg2.000_variance0.020_sigma_x1_sigma_y1.csv</t>
  </si>
  <si>
    <t>sim_009_rg2.000_variance0.020_sigma_x5_sigma_y1.csv</t>
  </si>
  <si>
    <t>sim_008_rg8_variance0.020_sigma_x1_sigma_y1.csv</t>
  </si>
  <si>
    <t>sim_009_rg8_variance0.020_sigma_x5_sigma_y1.csv</t>
  </si>
  <si>
    <t>sim_002_variance0.100_sigma_x1_sigma_y1.csv</t>
  </si>
  <si>
    <t>sim_003_variance0.100_sigma_x5_sigma_y1.csv</t>
  </si>
  <si>
    <t>sim_002_rg1_variance0.120_sigma_x1_sigma_y1.csv</t>
  </si>
  <si>
    <t>sim_003_rg1_variance0.120_sigma_x5_sigma_y1.csv</t>
  </si>
  <si>
    <t>sim_002_rg5_variance0.120_sigma_x1_sigma_y1.csv</t>
  </si>
  <si>
    <t>sim_003_rg5_variance0.120_sigma_x5_sigma_y1.csv</t>
  </si>
  <si>
    <t>sim_010_rg2.000_variance0.120_sigma_x1_sigma_y1.csv</t>
  </si>
  <si>
    <t>sim_011_rg2.000_variance0.120_sigma_x5_sigma_y1.csv</t>
  </si>
  <si>
    <t>sim_010_rg8_variance0.120_sigma_x1_sigma_y1.csv</t>
  </si>
  <si>
    <t>sim_011_rg8_variance0.120_sigma_x5_sigma_y1.csv</t>
  </si>
  <si>
    <t>sim_000_rg2.000_variance0.200_sigma_x1_sigma_y1.csv</t>
  </si>
  <si>
    <t>sim_001_rg2.000_variance0.200_sigma_x5_sigma_y1.csv</t>
  </si>
  <si>
    <t>sim_004_variance0.200_sigma_x1_sigma_y1.csv</t>
  </si>
  <si>
    <t>sim_005_variance0.200_sigma_x5_sigma_y1.csv</t>
  </si>
  <si>
    <t>sim_004_rg1_variance0.240_sigma_x1_sigma_y1.csv</t>
  </si>
  <si>
    <t>sim_005_rg1_variance0.240_sigma_x5_sigma_y1.csv</t>
  </si>
  <si>
    <t>sim_004_rg5_variance0.240_sigma_x1_sigma_y1.csv</t>
  </si>
  <si>
    <t>sim_005_rg5_variance0.240_sigma_x5_sigma_y1.csv</t>
  </si>
  <si>
    <t>sim_012_rg2.000_variance0.240_sigma_x1_sigma_y1.csv</t>
  </si>
  <si>
    <t>sim_013_rg2.000_variance0.240_sigma_x5_sigma_y1.csv</t>
  </si>
  <si>
    <t>sim_012_rg8_variance0.240_sigma_x1_sigma_y1.csv</t>
  </si>
  <si>
    <t>sim_013_rg8_variance0.240_sigma_x5_sigma_y1.csv</t>
  </si>
  <si>
    <t>sim_006_rg1_variance0.300_sigma_x1_sigma_y1.csv</t>
  </si>
  <si>
    <t>sim_007_rg1_variance0.300_sigma_x5_sigma_y1.csv</t>
  </si>
  <si>
    <t>sim_006_rg5_variance0.300_sigma_x1_sigma_y1.csv</t>
  </si>
  <si>
    <t>sim_007_rg5_variance0.300_sigma_x5_sigma_y1.csv</t>
  </si>
  <si>
    <t>sim_014_rg2.000_variance0.300_sigma_x1_sigma_y1.csv</t>
  </si>
  <si>
    <t>sim_015_rg2.000_variance0.300_sigma_x5_sigma_y1.csv</t>
  </si>
  <si>
    <t>sim_014_rg8_variance0.300_sigma_x1_sigma_y1.csv</t>
  </si>
  <si>
    <t>sim_015_rg8_variance0.300_sigma_x5_sigma_y1.csv</t>
  </si>
  <si>
    <t>sim_008_rg5.100_variance0.020_sigma_x1_sigma_y1.csv</t>
  </si>
  <si>
    <t>sim_009_rg5.100_variance0.020_sigma_x5_sigma_y1.csv</t>
  </si>
  <si>
    <t>sim_000_rg2.100_variance0.020_sigma_x1_sigma_y1.csv</t>
  </si>
  <si>
    <t>sim_001_rg2.100_variance0.020_sigma_x5_sigma_y1.csv</t>
  </si>
  <si>
    <t>sim_010_rg5.100_variance0.120_sigma_x1_sigma_y1.csv</t>
  </si>
  <si>
    <t>sim_011_rg5.100_variance0.120_sigma_x5_sigma_y1.csv</t>
  </si>
  <si>
    <t>sim_002_rg2.100_variance0.120_sigma_x1_sigma_y1.csv</t>
  </si>
  <si>
    <t>sim_003_rg2.100_variance0.120_sigma_x5_sigma_y1.csv</t>
  </si>
  <si>
    <t>sim_004_rg2.100_variance0.240_sigma_x1_sigma_y1.csv</t>
  </si>
  <si>
    <t>sim_005_rg2.100_variance0.240_sigma_x5_sigma_y1.csv</t>
  </si>
  <si>
    <t>sim_012_rg5.100_variance0.240_sigma_x1_sigma_y1.csv</t>
  </si>
  <si>
    <t>sim_013_rg5.100_variance0.240_sigma_x5_sigma_y1.csv</t>
  </si>
  <si>
    <t>sim_014_rg5.100_variance0.300_sigma_x1_sigma_y1.csv</t>
  </si>
  <si>
    <t>sim_015_rg5.100_variance0.300_sigma_x5_sigma_y1.csv</t>
  </si>
  <si>
    <t>sim_006_rg2.100_variance0.300_sigma_x1_sigma_y1.csv</t>
  </si>
  <si>
    <t>sim_007_rg2.100_variance0.300_sigma_x5_sigma_y1.csv</t>
  </si>
  <si>
    <t>sim_000_rg4.100_variance0.000_sigma_x1_sigma_y1.csv</t>
  </si>
  <si>
    <t>sim_001_rg4.100_variance0.000_sigma_x5_sigma_y1.csv</t>
  </si>
  <si>
    <t>sim_002_rg4.100_variance0.168_sigma_x1_sigma_y1.csv</t>
  </si>
  <si>
    <t>sim_003_rg4.100_variance0.168_sigma_x5_sigma_y1.csv</t>
  </si>
  <si>
    <t>estimated V</t>
  </si>
  <si>
    <t>deviation</t>
  </si>
  <si>
    <t>empiric V</t>
  </si>
  <si>
    <t>sim_020_rg6_variance0.000_sigma_x1_sigma_y1.csv</t>
  </si>
  <si>
    <t>sim_021_rg6_variance0.000_sigma_x5_sigma_y1.csv</t>
  </si>
  <si>
    <t>sim_000_rg2_variance0.000_sigma_x1_sigma_y1.csv</t>
  </si>
  <si>
    <t>sim_001_rg2_variance0.000_sigma_x5_sigma_y1.csv</t>
  </si>
  <si>
    <t>sim_010_rg4_variance0.000_sigma_x1_sigma_y1.csv</t>
  </si>
  <si>
    <t>sim_011_rg4_variance0.000_sigma_x5_sigma_y1.csv</t>
  </si>
  <si>
    <t>sim_002_rg2_variance0.010_sigma_x1_sigma_y1.csv</t>
  </si>
  <si>
    <t>sim_003_rg2_variance0.010_sigma_x5_sigma_y1.csv</t>
  </si>
  <si>
    <t>sim_012_rg4_variance0.010_sigma_x1_sigma_y1.csv</t>
  </si>
  <si>
    <t>sim_013_rg4_variance0.010_sigma_x5_sigma_y1.csv</t>
  </si>
  <si>
    <t>sim_022_rg6_variance0.010_sigma_x1_sigma_y1.csv</t>
  </si>
  <si>
    <t>sim_023_rg6_variance0.010_sigma_x5_sigma_y1.csv</t>
  </si>
  <si>
    <t>sim_004_rg2_variance0.100_sigma_x1_sigma_y1.csv</t>
  </si>
  <si>
    <t>sim_005_rg2_variance0.100_sigma_x5_sigma_y1.csv</t>
  </si>
  <si>
    <t>sim_024_rg6_variance0.100_sigma_x1_sigma_y1.csv</t>
  </si>
  <si>
    <t>sim_025_rg6_variance0.100_sigma_x5_sigma_y1.csv</t>
  </si>
  <si>
    <t>sim_014_rg4_variance0.100_sigma_x1_sigma_y1.csv</t>
  </si>
  <si>
    <t>sim_015_rg4_variance0.100_sigma_x5_sigma_y1.csv</t>
  </si>
  <si>
    <t>sim_026_rg6_variance0.300_sigma_x1_sigma_y1.csv</t>
  </si>
  <si>
    <t>sim_027_rg6_variance0.300_sigma_x5_sigma_y1.csv</t>
  </si>
  <si>
    <t>sim_006_rg2_variance0.300_sigma_x1_sigma_y1.csv</t>
  </si>
  <si>
    <t>sim_007_rg2_variance0.300_sigma_x5_sigma_y1.csv</t>
  </si>
  <si>
    <t>sim_016_rg4_variance0.300_sigma_x1_sigma_y1.csv</t>
  </si>
  <si>
    <t>sim_017_rg4_variance0.300_sigma_x5_sigma_y1.csv</t>
  </si>
  <si>
    <t>sim_008_rg2_variance0.600_sigma_x1_sigma_y1.csv</t>
  </si>
  <si>
    <t>sim_009_rg2_variance0.600_sigma_x5_sigma_y1.csv</t>
  </si>
  <si>
    <t>sim_028_rg6_variance0.600_sigma_x1_sigma_y1.csv</t>
  </si>
  <si>
    <t>sim_029_rg6_variance0.600_sigma_x5_sigma_y1.csv</t>
  </si>
  <si>
    <t>sim_018_rg4_variance0.600_sigma_x1_sigma_y1.csv</t>
  </si>
  <si>
    <t>sim_019_rg4_variance0.600_sigma_x5_sigma_y1.csv</t>
  </si>
  <si>
    <t>theory</t>
  </si>
  <si>
    <t>rel deviation</t>
  </si>
  <si>
    <t>rel dev V</t>
  </si>
  <si>
    <t>fitted g1/g0/rg^2</t>
  </si>
  <si>
    <t>sim_000_rg2_variance0.800_sigma_x1_sigma_y1.csv</t>
  </si>
  <si>
    <t>sim_001_rg2_variance0.800_sigma_x5_sigma_y1.csv</t>
  </si>
  <si>
    <t>sim_006_rg4_variance0.800_sigma_x1_sigma_y1.csv</t>
  </si>
  <si>
    <t>sim_007_rg4_variance0.800_sigma_x5_sigma_y1.csv</t>
  </si>
  <si>
    <t>sim_012_rg6_variance0.800_sigma_x1_sigma_y1.csv</t>
  </si>
  <si>
    <t>sim_013_rg6_variance0.800_sigma_x5_sigma_y1.csv</t>
  </si>
  <si>
    <t>sim_002_rg2_variance1.200_sigma_x1_sigma_y1.csv</t>
  </si>
  <si>
    <t>sim_003_rg2_variance1.200_sigma_x5_sigma_y1.csv</t>
  </si>
  <si>
    <t>sim_008_rg4_variance1.200_sigma_x1_sigma_y1.csv</t>
  </si>
  <si>
    <t>sim_009_rg4_variance1.200_sigma_x5_sigma_y1.csv</t>
  </si>
  <si>
    <t>sim_014_rg6_variance1.200_sigma_x1_sigma_y1.csv</t>
  </si>
  <si>
    <t>sim_015_rg6_variance1.200_sigma_x5_sigma_y1.csv</t>
  </si>
  <si>
    <t>sim_004_rg2_variance2_sigma_x1_sigma_y1.csv</t>
  </si>
  <si>
    <t>sim_005_rg2_variance2_sigma_x5_sigma_y1.csv</t>
  </si>
  <si>
    <t>sim_010_rg4_variance2_sigma_x1_sigma_y1.csv</t>
  </si>
  <si>
    <t>sim_011_rg4_variance2_sigma_x5_sigma_y1.csv</t>
  </si>
  <si>
    <t>sim_016_rg6_variance2_sigma_x1_sigma_y1.csv</t>
  </si>
  <si>
    <t>sim_017_rg6_variance2_sigma_x5_sigma_y1.csv</t>
  </si>
  <si>
    <t>gaussian</t>
  </si>
  <si>
    <t>ext_guinier_ff</t>
  </si>
  <si>
    <t>sim_000_variance0.020_sigma_x1_sigma_y1.csv</t>
  </si>
  <si>
    <t>sim_001_variance0.020_sigma_x5_sigma_y1.csv</t>
  </si>
  <si>
    <t>sim_000_variance0.200_sigma_x1_sigma_y1.csv</t>
  </si>
  <si>
    <t>sim_001_variance0.200_sigma_x5_sigma_y1.csv</t>
  </si>
  <si>
    <t>sim_000_rg1_variance0.200_sigma_x1_sigma_y1.csv</t>
  </si>
  <si>
    <t>sim_001_rg1_variance0.200_sigma_x5_sigma_y1.csv</t>
  </si>
  <si>
    <t>simulations_rg_1-2-4-6-8_210425</t>
  </si>
  <si>
    <t>sim_000_rg1.000_variance0.010_sigma_x1_sigma_y1.csv</t>
  </si>
  <si>
    <t>sim_001_rg1.000_variance0.010_sigma_x1_sigma_y2.csv</t>
  </si>
  <si>
    <t>sim_002_rg1.000_variance0.010_sigma_x1_sigma_y5.csv</t>
  </si>
  <si>
    <t>sim_003_rg1.000_variance0.010_sigma_x2_sigma_y1.csv</t>
  </si>
  <si>
    <t>sim_004_rg1.000_variance0.010_sigma_x2_sigma_y2.csv</t>
  </si>
  <si>
    <t>sim_005_rg1.000_variance0.010_sigma_x2_sigma_y5.csv</t>
  </si>
  <si>
    <t>sim_006_rg1.000_variance0.010_sigma_x5_sigma_y1.csv</t>
  </si>
  <si>
    <t>sim_007_rg1.000_variance0.010_sigma_x5_sigma_y2.csv</t>
  </si>
  <si>
    <t>sim_008_rg1.000_variance0.010_sigma_x5_sigma_y5.csv</t>
  </si>
  <si>
    <t>sim_063_rg2.000_variance0.010_sigma_x1_sigma_y1.csv</t>
  </si>
  <si>
    <t>sim_064_rg2.000_variance0.010_sigma_x1_sigma_y2.csv</t>
  </si>
  <si>
    <t>sim_065_rg2.000_variance0.010_sigma_x1_sigma_y5.csv</t>
  </si>
  <si>
    <t>sim_066_rg2.000_variance0.010_sigma_x2_sigma_y1.csv</t>
  </si>
  <si>
    <t>sim_067_rg2.000_variance0.010_sigma_x2_sigma_y2.csv</t>
  </si>
  <si>
    <t>sim_068_rg2.000_variance0.010_sigma_x2_sigma_y5.csv</t>
  </si>
  <si>
    <t>sim_069_rg2.000_variance0.010_sigma_x5_sigma_y1.csv</t>
  </si>
  <si>
    <t>sim_070_rg2.000_variance0.010_sigma_x5_sigma_y2.csv</t>
  </si>
  <si>
    <t>sim_071_rg2.000_variance0.010_sigma_x5_sigma_y5.csv</t>
  </si>
  <si>
    <t>sim_126_rg4.000_variance0.010_sigma_x1_sigma_y1.csv</t>
  </si>
  <si>
    <t>sim_127_rg4.000_variance0.010_sigma_x1_sigma_y2.csv</t>
  </si>
  <si>
    <t>sim_128_rg4.000_variance0.010_sigma_x1_sigma_y5.csv</t>
  </si>
  <si>
    <t>sim_129_rg4.000_variance0.010_sigma_x2_sigma_y1.csv</t>
  </si>
  <si>
    <t>sim_130_rg4.000_variance0.010_sigma_x2_sigma_y2.csv</t>
  </si>
  <si>
    <t>sim_131_rg4.000_variance0.010_sigma_x2_sigma_y5.csv</t>
  </si>
  <si>
    <t>sim_132_rg4.000_variance0.010_sigma_x5_sigma_y1.csv</t>
  </si>
  <si>
    <t>sim_133_rg4.000_variance0.010_sigma_x5_sigma_y2.csv</t>
  </si>
  <si>
    <t>sim_134_rg4.000_variance0.010_sigma_x5_sigma_y5.csv</t>
  </si>
  <si>
    <t>sim_189_rg6.000_variance0.010_sigma_x1_sigma_y1.csv</t>
  </si>
  <si>
    <t>sim_190_rg6.000_variance0.010_sigma_x1_sigma_y2.csv</t>
  </si>
  <si>
    <t>sim_191_rg6.000_variance0.010_sigma_x1_sigma_y5.csv</t>
  </si>
  <si>
    <t>sim_192_rg6.000_variance0.010_sigma_x2_sigma_y1.csv</t>
  </si>
  <si>
    <t>sim_193_rg6.000_variance0.010_sigma_x2_sigma_y2.csv</t>
  </si>
  <si>
    <t>sim_194_rg6.000_variance0.010_sigma_x2_sigma_y5.csv</t>
  </si>
  <si>
    <t>sim_195_rg6.000_variance0.010_sigma_x5_sigma_y1.csv</t>
  </si>
  <si>
    <t>sim_196_rg6.000_variance0.010_sigma_x5_sigma_y2.csv</t>
  </si>
  <si>
    <t>sim_197_rg6.000_variance0.010_sigma_x5_sigma_y5.csv</t>
  </si>
  <si>
    <t>sim_252_rg8.000_variance0.010_sigma_x1_sigma_y1.csv</t>
  </si>
  <si>
    <t>sim_253_rg8.000_variance0.010_sigma_x1_sigma_y2.csv</t>
  </si>
  <si>
    <t>sim_254_rg8.000_variance0.010_sigma_x1_sigma_y5.csv</t>
  </si>
  <si>
    <t>sim_255_rg8.000_variance0.010_sigma_x2_sigma_y1.csv</t>
  </si>
  <si>
    <t>sim_256_rg8.000_variance0.010_sigma_x2_sigma_y2.csv</t>
  </si>
  <si>
    <t>sim_257_rg8.000_variance0.010_sigma_x2_sigma_y5.csv</t>
  </si>
  <si>
    <t>sim_258_rg8.000_variance0.010_sigma_x5_sigma_y1.csv</t>
  </si>
  <si>
    <t>sim_259_rg8.000_variance0.010_sigma_x5_sigma_y2.csv</t>
  </si>
  <si>
    <t>sim_260_rg8.000_variance0.010_sigma_x5_sigma_y5.csv</t>
  </si>
  <si>
    <t>sim_261_rg8.000_variance0.050_sigma_x1_sigma_y1.csv</t>
  </si>
  <si>
    <t>sim_262_rg8.000_variance0.050_sigma_x1_sigma_y2.csv</t>
  </si>
  <si>
    <t>sim_263_rg8.000_variance0.050_sigma_x1_sigma_y5.csv</t>
  </si>
  <si>
    <t>sim_264_rg8.000_variance0.050_sigma_x2_sigma_y1.csv</t>
  </si>
  <si>
    <t>sim_265_rg8.000_variance0.050_sigma_x2_sigma_y2.csv</t>
  </si>
  <si>
    <t>sim_266_rg8.000_variance0.050_sigma_x2_sigma_y5.csv</t>
  </si>
  <si>
    <t>sim_267_rg8.000_variance0.050_sigma_x5_sigma_y1.csv</t>
  </si>
  <si>
    <t>sim_268_rg8.000_variance0.050_sigma_x5_sigma_y2.csv</t>
  </si>
  <si>
    <t>sim_269_rg8.000_variance0.050_sigma_x5_sigma_y5.csv</t>
  </si>
  <si>
    <t>sim_135_rg4.000_variance0.050_sigma_x1_sigma_y1.csv</t>
  </si>
  <si>
    <t>sim_136_rg4.000_variance0.050_sigma_x1_sigma_y2.csv</t>
  </si>
  <si>
    <t>sim_137_rg4.000_variance0.050_sigma_x1_sigma_y5.csv</t>
  </si>
  <si>
    <t>sim_138_rg4.000_variance0.050_sigma_x2_sigma_y1.csv</t>
  </si>
  <si>
    <t>sim_139_rg4.000_variance0.050_sigma_x2_sigma_y2.csv</t>
  </si>
  <si>
    <t>sim_140_rg4.000_variance0.050_sigma_x2_sigma_y5.csv</t>
  </si>
  <si>
    <t>sim_141_rg4.000_variance0.050_sigma_x5_sigma_y1.csv</t>
  </si>
  <si>
    <t>sim_142_rg4.000_variance0.050_sigma_x5_sigma_y2.csv</t>
  </si>
  <si>
    <t>sim_143_rg4.000_variance0.050_sigma_x5_sigma_y5.csv</t>
  </si>
  <si>
    <t>sim_198_rg6.000_variance0.050_sigma_x1_sigma_y1.csv</t>
  </si>
  <si>
    <t>sim_199_rg6.000_variance0.050_sigma_x1_sigma_y2.csv</t>
  </si>
  <si>
    <t>sim_200_rg6.000_variance0.050_sigma_x1_sigma_y5.csv</t>
  </si>
  <si>
    <t>sim_201_rg6.000_variance0.050_sigma_x2_sigma_y1.csv</t>
  </si>
  <si>
    <t>sim_202_rg6.000_variance0.050_sigma_x2_sigma_y2.csv</t>
  </si>
  <si>
    <t>sim_203_rg6.000_variance0.050_sigma_x2_sigma_y5.csv</t>
  </si>
  <si>
    <t>sim_204_rg6.000_variance0.050_sigma_x5_sigma_y1.csv</t>
  </si>
  <si>
    <t>sim_205_rg6.000_variance0.050_sigma_x5_sigma_y2.csv</t>
  </si>
  <si>
    <t>sim_206_rg6.000_variance0.050_sigma_x5_sigma_y5.csv</t>
  </si>
  <si>
    <t>sim_009_rg1.000_variance0.050_sigma_x1_sigma_y1.csv</t>
  </si>
  <si>
    <t>sim_010_rg1.000_variance0.050_sigma_x1_sigma_y2.csv</t>
  </si>
  <si>
    <t>sim_011_rg1.000_variance0.050_sigma_x1_sigma_y5.csv</t>
  </si>
  <si>
    <t>sim_012_rg1.000_variance0.050_sigma_x2_sigma_y1.csv</t>
  </si>
  <si>
    <t>sim_013_rg1.000_variance0.050_sigma_x2_sigma_y2.csv</t>
  </si>
  <si>
    <t>sim_014_rg1.000_variance0.050_sigma_x2_sigma_y5.csv</t>
  </si>
  <si>
    <t>sim_015_rg1.000_variance0.050_sigma_x5_sigma_y1.csv</t>
  </si>
  <si>
    <t>sim_016_rg1.000_variance0.050_sigma_x5_sigma_y2.csv</t>
  </si>
  <si>
    <t>sim_017_rg1.000_variance0.050_sigma_x5_sigma_y5.csv</t>
  </si>
  <si>
    <t>sim_072_rg2.000_variance0.050_sigma_x1_sigma_y1.csv</t>
  </si>
  <si>
    <t>sim_073_rg2.000_variance0.050_sigma_x1_sigma_y2.csv</t>
  </si>
  <si>
    <t>sim_074_rg2.000_variance0.050_sigma_x1_sigma_y5.csv</t>
  </si>
  <si>
    <t>sim_075_rg2.000_variance0.050_sigma_x2_sigma_y1.csv</t>
  </si>
  <si>
    <t>sim_076_rg2.000_variance0.050_sigma_x2_sigma_y2.csv</t>
  </si>
  <si>
    <t>sim_077_rg2.000_variance0.050_sigma_x2_sigma_y5.csv</t>
  </si>
  <si>
    <t>sim_078_rg2.000_variance0.050_sigma_x5_sigma_y1.csv</t>
  </si>
  <si>
    <t>sim_079_rg2.000_variance0.050_sigma_x5_sigma_y2.csv</t>
  </si>
  <si>
    <t>sim_080_rg2.000_variance0.050_sigma_x5_sigma_y5.csv</t>
  </si>
  <si>
    <t>sim_081_rg2.000_variance0.100_sigma_x1_sigma_y1.csv</t>
  </si>
  <si>
    <t>sim_082_rg2.000_variance0.100_sigma_x1_sigma_y2.csv</t>
  </si>
  <si>
    <t>sim_083_rg2.000_variance0.100_sigma_x1_sigma_y5.csv</t>
  </si>
  <si>
    <t>sim_084_rg2.000_variance0.100_sigma_x2_sigma_y1.csv</t>
  </si>
  <si>
    <t>sim_085_rg2.000_variance0.100_sigma_x2_sigma_y2.csv</t>
  </si>
  <si>
    <t>sim_086_rg2.000_variance0.100_sigma_x2_sigma_y5.csv</t>
  </si>
  <si>
    <t>sim_087_rg2.000_variance0.100_sigma_x5_sigma_y1.csv</t>
  </si>
  <si>
    <t>sim_088_rg2.000_variance0.100_sigma_x5_sigma_y2.csv</t>
  </si>
  <si>
    <t>sim_089_rg2.000_variance0.100_sigma_x5_sigma_y5.csv</t>
  </si>
  <si>
    <t>sim_018_rg1.000_variance0.100_sigma_x1_sigma_y1.csv</t>
  </si>
  <si>
    <t>sim_019_rg1.000_variance0.100_sigma_x1_sigma_y2.csv</t>
  </si>
  <si>
    <t>sim_020_rg1.000_variance0.100_sigma_x1_sigma_y5.csv</t>
  </si>
  <si>
    <t>sim_021_rg1.000_variance0.100_sigma_x2_sigma_y1.csv</t>
  </si>
  <si>
    <t>sim_022_rg1.000_variance0.100_sigma_x2_sigma_y2.csv</t>
  </si>
  <si>
    <t>sim_023_rg1.000_variance0.100_sigma_x2_sigma_y5.csv</t>
  </si>
  <si>
    <t>sim_024_rg1.000_variance0.100_sigma_x5_sigma_y1.csv</t>
  </si>
  <si>
    <t>sim_025_rg1.000_variance0.100_sigma_x5_sigma_y2.csv</t>
  </si>
  <si>
    <t>sim_026_rg1.000_variance0.100_sigma_x5_sigma_y5.csv</t>
  </si>
  <si>
    <t>sim_207_rg6.000_variance0.100_sigma_x1_sigma_y1.csv</t>
  </si>
  <si>
    <t>sim_208_rg6.000_variance0.100_sigma_x1_sigma_y2.csv</t>
  </si>
  <si>
    <t>sim_209_rg6.000_variance0.100_sigma_x1_sigma_y5.csv</t>
  </si>
  <si>
    <t>sim_210_rg6.000_variance0.100_sigma_x2_sigma_y1.csv</t>
  </si>
  <si>
    <t>sim_211_rg6.000_variance0.100_sigma_x2_sigma_y2.csv</t>
  </si>
  <si>
    <t>sim_212_rg6.000_variance0.100_sigma_x2_sigma_y5.csv</t>
  </si>
  <si>
    <t>sim_213_rg6.000_variance0.100_sigma_x5_sigma_y1.csv</t>
  </si>
  <si>
    <t>sim_214_rg6.000_variance0.100_sigma_x5_sigma_y2.csv</t>
  </si>
  <si>
    <t>sim_215_rg6.000_variance0.100_sigma_x5_sigma_y5.csv</t>
  </si>
  <si>
    <t>sim_270_rg8.000_variance0.100_sigma_x1_sigma_y1.csv</t>
  </si>
  <si>
    <t>sim_271_rg8.000_variance0.100_sigma_x1_sigma_y2.csv</t>
  </si>
  <si>
    <t>sim_272_rg8.000_variance0.100_sigma_x1_sigma_y5.csv</t>
  </si>
  <si>
    <t>sim_273_rg8.000_variance0.100_sigma_x2_sigma_y1.csv</t>
  </si>
  <si>
    <t>sim_274_rg8.000_variance0.100_sigma_x2_sigma_y2.csv</t>
  </si>
  <si>
    <t>sim_275_rg8.000_variance0.100_sigma_x2_sigma_y5.csv</t>
  </si>
  <si>
    <t>sim_276_rg8.000_variance0.100_sigma_x5_sigma_y1.csv</t>
  </si>
  <si>
    <t>sim_277_rg8.000_variance0.100_sigma_x5_sigma_y2.csv</t>
  </si>
  <si>
    <t>sim_278_rg8.000_variance0.100_sigma_x5_sigma_y5.csv</t>
  </si>
  <si>
    <t>sim_144_rg4.000_variance0.100_sigma_x1_sigma_y1.csv</t>
  </si>
  <si>
    <t>sim_145_rg4.000_variance0.100_sigma_x1_sigma_y2.csv</t>
  </si>
  <si>
    <t>sim_146_rg4.000_variance0.100_sigma_x1_sigma_y5.csv</t>
  </si>
  <si>
    <t>sim_147_rg4.000_variance0.100_sigma_x2_sigma_y1.csv</t>
  </si>
  <si>
    <t>sim_148_rg4.000_variance0.100_sigma_x2_sigma_y2.csv</t>
  </si>
  <si>
    <t>sim_149_rg4.000_variance0.100_sigma_x2_sigma_y5.csv</t>
  </si>
  <si>
    <t>sim_150_rg4.000_variance0.100_sigma_x5_sigma_y1.csv</t>
  </si>
  <si>
    <t>sim_151_rg4.000_variance0.100_sigma_x5_sigma_y2.csv</t>
  </si>
  <si>
    <t>sim_152_rg4.000_variance0.100_sigma_x5_sigma_y5.csv</t>
  </si>
  <si>
    <t>sim_027_rg1.000_variance0.250_sigma_x1_sigma_y1.csv</t>
  </si>
  <si>
    <t>sim_028_rg1.000_variance0.250_sigma_x1_sigma_y2.csv</t>
  </si>
  <si>
    <t>sim_029_rg1.000_variance0.250_sigma_x1_sigma_y5.csv</t>
  </si>
  <si>
    <t>sim_030_rg1.000_variance0.250_sigma_x2_sigma_y1.csv</t>
  </si>
  <si>
    <t>sim_031_rg1.000_variance0.250_sigma_x2_sigma_y2.csv</t>
  </si>
  <si>
    <t>sim_032_rg1.000_variance0.250_sigma_x2_sigma_y5.csv</t>
  </si>
  <si>
    <t>sim_033_rg1.000_variance0.250_sigma_x5_sigma_y1.csv</t>
  </si>
  <si>
    <t>sim_034_rg1.000_variance0.250_sigma_x5_sigma_y2.csv</t>
  </si>
  <si>
    <t>sim_035_rg1.000_variance0.250_sigma_x5_sigma_y5.csv</t>
  </si>
  <si>
    <t>sim_279_rg8.000_variance0.250_sigma_x1_sigma_y1.csv</t>
  </si>
  <si>
    <t>sim_280_rg8.000_variance0.250_sigma_x1_sigma_y2.csv</t>
  </si>
  <si>
    <t>sim_281_rg8.000_variance0.250_sigma_x1_sigma_y5.csv</t>
  </si>
  <si>
    <t>sim_282_rg8.000_variance0.250_sigma_x2_sigma_y1.csv</t>
  </si>
  <si>
    <t>sim_283_rg8.000_variance0.250_sigma_x2_sigma_y2.csv</t>
  </si>
  <si>
    <t>sim_284_rg8.000_variance0.250_sigma_x2_sigma_y5.csv</t>
  </si>
  <si>
    <t>sim_285_rg8.000_variance0.250_sigma_x5_sigma_y1.csv</t>
  </si>
  <si>
    <t>sim_286_rg8.000_variance0.250_sigma_x5_sigma_y2.csv</t>
  </si>
  <si>
    <t>sim_287_rg8.000_variance0.250_sigma_x5_sigma_y5.csv</t>
  </si>
  <si>
    <t>sim_090_rg2.000_variance0.250_sigma_x1_sigma_y1.csv</t>
  </si>
  <si>
    <t>sim_091_rg2.000_variance0.250_sigma_x1_sigma_y2.csv</t>
  </si>
  <si>
    <t>sim_092_rg2.000_variance0.250_sigma_x1_sigma_y5.csv</t>
  </si>
  <si>
    <t>sim_093_rg2.000_variance0.250_sigma_x2_sigma_y1.csv</t>
  </si>
  <si>
    <t>sim_094_rg2.000_variance0.250_sigma_x2_sigma_y2.csv</t>
  </si>
  <si>
    <t>sim_095_rg2.000_variance0.250_sigma_x2_sigma_y5.csv</t>
  </si>
  <si>
    <t>sim_096_rg2.000_variance0.250_sigma_x5_sigma_y1.csv</t>
  </si>
  <si>
    <t>sim_097_rg2.000_variance0.250_sigma_x5_sigma_y2.csv</t>
  </si>
  <si>
    <t>sim_098_rg2.000_variance0.250_sigma_x5_sigma_y5.csv</t>
  </si>
  <si>
    <t>sim_153_rg4.000_variance0.250_sigma_x1_sigma_y1.csv</t>
  </si>
  <si>
    <t>sim_154_rg4.000_variance0.250_sigma_x1_sigma_y2.csv</t>
  </si>
  <si>
    <t>sim_155_rg4.000_variance0.250_sigma_x1_sigma_y5.csv</t>
  </si>
  <si>
    <t>sim_156_rg4.000_variance0.250_sigma_x2_sigma_y1.csv</t>
  </si>
  <si>
    <t>sim_157_rg4.000_variance0.250_sigma_x2_sigma_y2.csv</t>
  </si>
  <si>
    <t>sim_158_rg4.000_variance0.250_sigma_x2_sigma_y5.csv</t>
  </si>
  <si>
    <t>sim_159_rg4.000_variance0.250_sigma_x5_sigma_y1.csv</t>
  </si>
  <si>
    <t>sim_160_rg4.000_variance0.250_sigma_x5_sigma_y2.csv</t>
  </si>
  <si>
    <t>sim_161_rg4.000_variance0.250_sigma_x5_sigma_y5.csv</t>
  </si>
  <si>
    <t>sim_216_rg6.000_variance0.250_sigma_x1_sigma_y1.csv</t>
  </si>
  <si>
    <t>sim_217_rg6.000_variance0.250_sigma_x1_sigma_y2.csv</t>
  </si>
  <si>
    <t>sim_218_rg6.000_variance0.250_sigma_x1_sigma_y5.csv</t>
  </si>
  <si>
    <t>sim_219_rg6.000_variance0.250_sigma_x2_sigma_y1.csv</t>
  </si>
  <si>
    <t>sim_220_rg6.000_variance0.250_sigma_x2_sigma_y2.csv</t>
  </si>
  <si>
    <t>sim_221_rg6.000_variance0.250_sigma_x2_sigma_y5.csv</t>
  </si>
  <si>
    <t>sim_222_rg6.000_variance0.250_sigma_x5_sigma_y1.csv</t>
  </si>
  <si>
    <t>sim_223_rg6.000_variance0.250_sigma_x5_sigma_y2.csv</t>
  </si>
  <si>
    <t>sim_224_rg6.000_variance0.250_sigma_x5_sigma_y5.csv</t>
  </si>
  <si>
    <t>sim_036_rg1.000_variance0.500_sigma_x1_sigma_y1.csv</t>
  </si>
  <si>
    <t>sim_037_rg1.000_variance0.500_sigma_x1_sigma_y2.csv</t>
  </si>
  <si>
    <t>sim_038_rg1.000_variance0.500_sigma_x1_sigma_y5.csv</t>
  </si>
  <si>
    <t>sim_039_rg1.000_variance0.500_sigma_x2_sigma_y1.csv</t>
  </si>
  <si>
    <t>sim_040_rg1.000_variance0.500_sigma_x2_sigma_y2.csv</t>
  </si>
  <si>
    <t>sim_041_rg1.000_variance0.500_sigma_x2_sigma_y5.csv</t>
  </si>
  <si>
    <t>sim_042_rg1.000_variance0.500_sigma_x5_sigma_y1.csv</t>
  </si>
  <si>
    <t>sim_043_rg1.000_variance0.500_sigma_x5_sigma_y2.csv</t>
  </si>
  <si>
    <t>sim_044_rg1.000_variance0.500_sigma_x5_sigma_y5.csv</t>
  </si>
  <si>
    <t>sim_099_rg2.000_variance0.500_sigma_x1_sigma_y1.csv</t>
  </si>
  <si>
    <t>sim_100_rg2.000_variance0.500_sigma_x1_sigma_y2.csv</t>
  </si>
  <si>
    <t>sim_101_rg2.000_variance0.500_sigma_x1_sigma_y5.csv</t>
  </si>
  <si>
    <t>sim_102_rg2.000_variance0.500_sigma_x2_sigma_y1.csv</t>
  </si>
  <si>
    <t>sim_103_rg2.000_variance0.500_sigma_x2_sigma_y2.csv</t>
  </si>
  <si>
    <t>sim_104_rg2.000_variance0.500_sigma_x2_sigma_y5.csv</t>
  </si>
  <si>
    <t>sim_105_rg2.000_variance0.500_sigma_x5_sigma_y1.csv</t>
  </si>
  <si>
    <t>sim_106_rg2.000_variance0.500_sigma_x5_sigma_y2.csv</t>
  </si>
  <si>
    <t>sim_107_rg2.000_variance0.500_sigma_x5_sigma_y5.csv</t>
  </si>
  <si>
    <t>sim_288_rg8.000_variance0.500_sigma_x1_sigma_y1.csv</t>
  </si>
  <si>
    <t>sim_289_rg8.000_variance0.500_sigma_x1_sigma_y2.csv</t>
  </si>
  <si>
    <t>sim_290_rg8.000_variance0.500_sigma_x1_sigma_y5.csv</t>
  </si>
  <si>
    <t>sim_291_rg8.000_variance0.500_sigma_x2_sigma_y1.csv</t>
  </si>
  <si>
    <t>sim_292_rg8.000_variance0.500_sigma_x2_sigma_y2.csv</t>
  </si>
  <si>
    <t>sim_293_rg8.000_variance0.500_sigma_x2_sigma_y5.csv</t>
  </si>
  <si>
    <t>sim_294_rg8.000_variance0.500_sigma_x5_sigma_y1.csv</t>
  </si>
  <si>
    <t>sim_295_rg8.000_variance0.500_sigma_x5_sigma_y2.csv</t>
  </si>
  <si>
    <t>sim_296_rg8.000_variance0.500_sigma_x5_sigma_y5.csv</t>
  </si>
  <si>
    <t>sim_162_rg4.000_variance0.500_sigma_x1_sigma_y1.csv</t>
  </si>
  <si>
    <t>sim_163_rg4.000_variance0.500_sigma_x1_sigma_y2.csv</t>
  </si>
  <si>
    <t>sim_164_rg4.000_variance0.500_sigma_x1_sigma_y5.csv</t>
  </si>
  <si>
    <t>sim_165_rg4.000_variance0.500_sigma_x2_sigma_y1.csv</t>
  </si>
  <si>
    <t>sim_166_rg4.000_variance0.500_sigma_x2_sigma_y2.csv</t>
  </si>
  <si>
    <t>sim_167_rg4.000_variance0.500_sigma_x2_sigma_y5.csv</t>
  </si>
  <si>
    <t>sim_168_rg4.000_variance0.500_sigma_x5_sigma_y1.csv</t>
  </si>
  <si>
    <t>sim_169_rg4.000_variance0.500_sigma_x5_sigma_y2.csv</t>
  </si>
  <si>
    <t>sim_170_rg4.000_variance0.500_sigma_x5_sigma_y5.csv</t>
  </si>
  <si>
    <t>sim_225_rg6.000_variance0.500_sigma_x1_sigma_y1.csv</t>
  </si>
  <si>
    <t>sim_226_rg6.000_variance0.500_sigma_x1_sigma_y2.csv</t>
  </si>
  <si>
    <t>sim_227_rg6.000_variance0.500_sigma_x1_sigma_y5.csv</t>
  </si>
  <si>
    <t>sim_228_rg6.000_variance0.500_sigma_x2_sigma_y1.csv</t>
  </si>
  <si>
    <t>sim_229_rg6.000_variance0.500_sigma_x2_sigma_y2.csv</t>
  </si>
  <si>
    <t>sim_230_rg6.000_variance0.500_sigma_x2_sigma_y5.csv</t>
  </si>
  <si>
    <t>sim_231_rg6.000_variance0.500_sigma_x5_sigma_y1.csv</t>
  </si>
  <si>
    <t>sim_232_rg6.000_variance0.500_sigma_x5_sigma_y2.csv</t>
  </si>
  <si>
    <t>sim_233_rg6.000_variance0.500_sigma_x5_sigma_y5.csv</t>
  </si>
  <si>
    <t>sim_045_rg1.000_variance0.750_sigma_x1_sigma_y1.csv</t>
  </si>
  <si>
    <t>sim_046_rg1.000_variance0.750_sigma_x1_sigma_y2.csv</t>
  </si>
  <si>
    <t>sim_047_rg1.000_variance0.750_sigma_x1_sigma_y5.csv</t>
  </si>
  <si>
    <t>sim_048_rg1.000_variance0.750_sigma_x2_sigma_y1.csv</t>
  </si>
  <si>
    <t>sim_049_rg1.000_variance0.750_sigma_x2_sigma_y2.csv</t>
  </si>
  <si>
    <t>sim_050_rg1.000_variance0.750_sigma_x2_sigma_y5.csv</t>
  </si>
  <si>
    <t>sim_051_rg1.000_variance0.750_sigma_x5_sigma_y1.csv</t>
  </si>
  <si>
    <t>sim_052_rg1.000_variance0.750_sigma_x5_sigma_y2.csv</t>
  </si>
  <si>
    <t>sim_053_rg1.000_variance0.750_sigma_x5_sigma_y5.csv</t>
  </si>
  <si>
    <t>sim_054_rg1.000_variance1_sigma_x1_sigma_y1.csv</t>
  </si>
  <si>
    <t>sim_055_rg1.000_variance1_sigma_x1_sigma_y2.csv</t>
  </si>
  <si>
    <t>sim_056_rg1.000_variance1_sigma_x1_sigma_y5.csv</t>
  </si>
  <si>
    <t>sim_057_rg1.000_variance1_sigma_x2_sigma_y1.csv</t>
  </si>
  <si>
    <t>sim_058_rg1.000_variance1_sigma_x2_sigma_y2.csv</t>
  </si>
  <si>
    <t>sim_059_rg1.000_variance1_sigma_x2_sigma_y5.csv</t>
  </si>
  <si>
    <t>sim_060_rg1.000_variance1_sigma_x5_sigma_y1.csv</t>
  </si>
  <si>
    <t>sim_061_rg1.000_variance1_sigma_x5_sigma_y2.csv</t>
  </si>
  <si>
    <t>sim_062_rg1.000_variance1_sigma_x5_sigma_y5.csv</t>
  </si>
  <si>
    <t>sim_108_rg2.000_variance0.750_sigma_x1_sigma_y1.csv</t>
  </si>
  <si>
    <t>sim_109_rg2.000_variance0.750_sigma_x1_sigma_y2.csv</t>
  </si>
  <si>
    <t>sim_110_rg2.000_variance0.750_sigma_x1_sigma_y5.csv</t>
  </si>
  <si>
    <t>sim_111_rg2.000_variance0.750_sigma_x2_sigma_y1.csv</t>
  </si>
  <si>
    <t>sim_112_rg2.000_variance0.750_sigma_x2_sigma_y2.csv</t>
  </si>
  <si>
    <t>sim_113_rg2.000_variance0.750_sigma_x2_sigma_y5.csv</t>
  </si>
  <si>
    <t>sim_114_rg2.000_variance0.750_sigma_x5_sigma_y1.csv</t>
  </si>
  <si>
    <t>sim_115_rg2.000_variance0.750_sigma_x5_sigma_y2.csv</t>
  </si>
  <si>
    <t>sim_116_rg2.000_variance0.750_sigma_x5_sigma_y5.csv</t>
  </si>
  <si>
    <t>sim_297_rg8.000_variance0.750_sigma_x1_sigma_y1.csv</t>
  </si>
  <si>
    <t>sim_298_rg8.000_variance0.750_sigma_x1_sigma_y2.csv</t>
  </si>
  <si>
    <t>sim_299_rg8.000_variance0.750_sigma_x1_sigma_y5.csv</t>
  </si>
  <si>
    <t>sim_300_rg8.000_variance0.750_sigma_x2_sigma_y1.csv</t>
  </si>
  <si>
    <t>sim_301_rg8.000_variance0.750_sigma_x2_sigma_y2.csv</t>
  </si>
  <si>
    <t>sim_302_rg8.000_variance0.750_sigma_x2_sigma_y5.csv</t>
  </si>
  <si>
    <t>sim_303_rg8.000_variance0.750_sigma_x5_sigma_y1.csv</t>
  </si>
  <si>
    <t>sim_304_rg8.000_variance0.750_sigma_x5_sigma_y2.csv</t>
  </si>
  <si>
    <t>sim_305_rg8.000_variance0.750_sigma_x5_sigma_y5.csv</t>
  </si>
  <si>
    <t>sim_234_rg6.000_variance0.750_sigma_x1_sigma_y1.csv</t>
  </si>
  <si>
    <t>sim_235_rg6.000_variance0.750_sigma_x1_sigma_y2.csv</t>
  </si>
  <si>
    <t>sim_236_rg6.000_variance0.750_sigma_x1_sigma_y5.csv</t>
  </si>
  <si>
    <t>sim_237_rg6.000_variance0.750_sigma_x2_sigma_y1.csv</t>
  </si>
  <si>
    <t>sim_238_rg6.000_variance0.750_sigma_x2_sigma_y2.csv</t>
  </si>
  <si>
    <t>sim_239_rg6.000_variance0.750_sigma_x2_sigma_y5.csv</t>
  </si>
  <si>
    <t>sim_240_rg6.000_variance0.750_sigma_x5_sigma_y1.csv</t>
  </si>
  <si>
    <t>sim_241_rg6.000_variance0.750_sigma_x5_sigma_y2.csv</t>
  </si>
  <si>
    <t>sim_242_rg6.000_variance0.750_sigma_x5_sigma_y5.csv</t>
  </si>
  <si>
    <t>sim_171_rg4.000_variance0.750_sigma_x1_sigma_y1.csv</t>
  </si>
  <si>
    <t>sim_172_rg4.000_variance0.750_sigma_x1_sigma_y2.csv</t>
  </si>
  <si>
    <t>sim_173_rg4.000_variance0.750_sigma_x1_sigma_y5.csv</t>
  </si>
  <si>
    <t>sim_174_rg4.000_variance0.750_sigma_x2_sigma_y1.csv</t>
  </si>
  <si>
    <t>sim_175_rg4.000_variance0.750_sigma_x2_sigma_y2.csv</t>
  </si>
  <si>
    <t>sim_176_rg4.000_variance0.750_sigma_x2_sigma_y5.csv</t>
  </si>
  <si>
    <t>sim_177_rg4.000_variance0.750_sigma_x5_sigma_y1.csv</t>
  </si>
  <si>
    <t>sim_178_rg4.000_variance0.750_sigma_x5_sigma_y2.csv</t>
  </si>
  <si>
    <t>sim_179_rg4.000_variance0.750_sigma_x5_sigma_y5.csv</t>
  </si>
  <si>
    <t>sim_117_rg2.000_variance1_sigma_x1_sigma_y1.csv</t>
  </si>
  <si>
    <t>sim_118_rg2.000_variance1_sigma_x1_sigma_y2.csv</t>
  </si>
  <si>
    <t>sim_119_rg2.000_variance1_sigma_x1_sigma_y5.csv</t>
  </si>
  <si>
    <t>sim_120_rg2.000_variance1_sigma_x2_sigma_y1.csv</t>
  </si>
  <si>
    <t>sim_121_rg2.000_variance1_sigma_x2_sigma_y2.csv</t>
  </si>
  <si>
    <t>sim_122_rg2.000_variance1_sigma_x2_sigma_y5.csv</t>
  </si>
  <si>
    <t>sim_123_rg2.000_variance1_sigma_x5_sigma_y1.csv</t>
  </si>
  <si>
    <t>sim_124_rg2.000_variance1_sigma_x5_sigma_y2.csv</t>
  </si>
  <si>
    <t>sim_125_rg2.000_variance1_sigma_x5_sigma_y5.csv</t>
  </si>
  <si>
    <t>sim_243_rg6.000_variance1_sigma_x1_sigma_y1.csv</t>
  </si>
  <si>
    <t>sim_244_rg6.000_variance1_sigma_x1_sigma_y2.csv</t>
  </si>
  <si>
    <t>sim_245_rg6.000_variance1_sigma_x1_sigma_y5.csv</t>
  </si>
  <si>
    <t>sim_246_rg6.000_variance1_sigma_x2_sigma_y1.csv</t>
  </si>
  <si>
    <t>sim_247_rg6.000_variance1_sigma_x2_sigma_y2.csv</t>
  </si>
  <si>
    <t>sim_248_rg6.000_variance1_sigma_x2_sigma_y5.csv</t>
  </si>
  <si>
    <t>sim_249_rg6.000_variance1_sigma_x5_sigma_y1.csv</t>
  </si>
  <si>
    <t>sim_250_rg6.000_variance1_sigma_x5_sigma_y2.csv</t>
  </si>
  <si>
    <t>sim_251_rg6.000_variance1_sigma_x5_sigma_y5.csv</t>
  </si>
  <si>
    <t>sim_306_rg8.000_variance1_sigma_x1_sigma_y1.csv</t>
  </si>
  <si>
    <t>sim_307_rg8.000_variance1_sigma_x1_sigma_y2.csv</t>
  </si>
  <si>
    <t>sim_308_rg8.000_variance1_sigma_x1_sigma_y5.csv</t>
  </si>
  <si>
    <t>sim_309_rg8.000_variance1_sigma_x2_sigma_y1.csv</t>
  </si>
  <si>
    <t>sim_310_rg8.000_variance1_sigma_x2_sigma_y2.csv</t>
  </si>
  <si>
    <t>sim_311_rg8.000_variance1_sigma_x2_sigma_y5.csv</t>
  </si>
  <si>
    <t>sim_312_rg8.000_variance1_sigma_x5_sigma_y1.csv</t>
  </si>
  <si>
    <t>sim_313_rg8.000_variance1_sigma_x5_sigma_y2.csv</t>
  </si>
  <si>
    <t>sim_314_rg8.000_variance1_sigma_x5_sigma_y5.csv</t>
  </si>
  <si>
    <t>sim_180_rg4.000_variance1_sigma_x1_sigma_y1.csv</t>
  </si>
  <si>
    <t>sim_181_rg4.000_variance1_sigma_x1_sigma_y2.csv</t>
  </si>
  <si>
    <t>sim_182_rg4.000_variance1_sigma_x1_sigma_y5.csv</t>
  </si>
  <si>
    <t>sim_183_rg4.000_variance1_sigma_x2_sigma_y1.csv</t>
  </si>
  <si>
    <t>sim_184_rg4.000_variance1_sigma_x2_sigma_y2.csv</t>
  </si>
  <si>
    <t>sim_185_rg4.000_variance1_sigma_x2_sigma_y5.csv</t>
  </si>
  <si>
    <t>sim_186_rg4.000_variance1_sigma_x5_sigma_y1.csv</t>
  </si>
  <si>
    <t>sim_187_rg4.000_variance1_sigma_x5_sigma_y2.csv</t>
  </si>
  <si>
    <t>sim_188_rg4.000_variance1_sigma_x5_sigma_y5.csv</t>
  </si>
  <si>
    <t xml:space="preserve">empiricmean </t>
  </si>
  <si>
    <t>empirical_mean</t>
  </si>
  <si>
    <t>sim_004_rg1_variance0.200_sigma_x1_sigma_y1.csv</t>
  </si>
  <si>
    <t>sim_005_rg1_variance0.200_sigma_x5_sigma_y1.csv</t>
  </si>
  <si>
    <t>sim_002_rg1_variance0.100_sigma_x1_sigma_y1.csv</t>
  </si>
  <si>
    <t>sim_003_rg1_variance0.100_sigma_x5_sigma_y1.csv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</si>
</sst>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%"/>
    <numFmt numFmtId="165" formatCode="0.000"/>
    <numFmt numFmtId="166" formatCode="0.000%"/>
    <numFmt numFmtId="167" formatCode="0.00000"/>
    <numFmt numFmtId="168" formatCode="0.0000"/>
  </numFmts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11" fontId="0" fillId="0" borderId="0" xfId="0" applyNumberFormat="1"/>
    <xf numFmtId="164" fontId="0" fillId="0" borderId="0" xfId="1" applyNumberFormat="1" applyFont="1"/>
    <xf numFmtId="17" fontId="0" fillId="0" borderId="0" xfId="0" applyNumberFormat="1"/>
    <xf numFmtId="165" fontId="0" fillId="0" borderId="0" xfId="0" applyNumberFormat="1"/>
    <xf numFmtId="0" fontId="6" fillId="2" borderId="0" xfId="7"/>
    <xf numFmtId="0" fontId="9" fillId="5" borderId="4" xfId="10"/>
    <xf numFmtId="9" fontId="0" fillId="0" borderId="0" xfId="1" applyFon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fitting_results_3" connectionId="4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fitting_results_2" connectionId="3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fitting_results_1" connectionId="2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fitting_results" connectionId="1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fitting_results_4" connectionId="5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Relationship Id="rId5" Type="http://schemas.openxmlformats.org/officeDocument/2006/relationships/queryTable" Target="../queryTables/queryTable5.xml"/><Relationship Id="rId4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39"/>
  <sheetViews>
    <sheetView tabSelected="1" topLeftCell="A82" workbookViewId="0">
      <selection activeCell="A1237" sqref="A1237"/>
    </sheetView>
  </sheetViews>
  <sheetFormatPr defaultRowHeight="15" x14ac:dyDescent="0.25"/>
  <cols>
    <col min="1" max="1" width="7.7109375" customWidth="1"/>
    <col min="2" max="2" width="12.7109375" bestFit="1" customWidth="1"/>
    <col min="3" max="3" width="15.42578125" bestFit="1" customWidth="1"/>
    <col min="4" max="4" width="17.7109375" customWidth="1"/>
    <col min="5" max="5" width="16.7109375" customWidth="1"/>
    <col min="6" max="6" width="11.140625" hidden="1" customWidth="1"/>
    <col min="7" max="7" width="7.5703125" hidden="1" customWidth="1"/>
    <col min="8" max="8" width="6.85546875" hidden="1" customWidth="1"/>
    <col min="9" max="9" width="7" hidden="1" customWidth="1"/>
    <col min="10" max="11" width="14" hidden="1" customWidth="1"/>
    <col min="12" max="13" width="24.85546875" hidden="1" customWidth="1"/>
    <col min="14" max="14" width="8.42578125" hidden="1" customWidth="1"/>
    <col min="15" max="15" width="11.42578125" hidden="1" customWidth="1"/>
    <col min="16" max="17" width="47.7109375" hidden="1" customWidth="1"/>
    <col min="18" max="18" width="9" customWidth="1"/>
    <col min="19" max="19" width="10.7109375" customWidth="1"/>
    <col min="20" max="20" width="8.28515625" customWidth="1"/>
    <col min="21" max="21" width="9" customWidth="1"/>
    <col min="22" max="22" width="12" customWidth="1"/>
    <col min="23" max="23" width="9" customWidth="1"/>
    <col min="24" max="27" width="12" customWidth="1"/>
    <col min="28" max="28" width="12.140625" style="9" customWidth="1"/>
    <col min="29" max="29" width="9.28515625" style="9" customWidth="1"/>
    <col min="30" max="30" width="12.28515625" bestFit="1" customWidth="1"/>
    <col min="31" max="31" width="14" bestFit="1" customWidth="1"/>
    <col min="32" max="32" width="9.42578125" bestFit="1" customWidth="1"/>
    <col min="33" max="33" width="24.85546875" bestFit="1" customWidth="1"/>
    <col min="34" max="34" width="8.42578125" customWidth="1"/>
    <col min="35" max="35" width="11.42578125" bestFit="1" customWidth="1"/>
    <col min="36" max="36" width="11.85546875" customWidth="1"/>
    <col min="37" max="37" width="22.140625" customWidth="1"/>
    <col min="38" max="38" width="12.7109375" bestFit="1" customWidth="1"/>
    <col min="39" max="40" width="12" bestFit="1" customWidth="1"/>
    <col min="41" max="41" width="12.7109375" bestFit="1" customWidth="1"/>
    <col min="42" max="42" width="12" bestFit="1" customWidth="1"/>
    <col min="43" max="43" width="8.28515625" customWidth="1"/>
    <col min="44" max="44" width="12" bestFit="1" customWidth="1"/>
    <col min="45" max="45" width="5.7109375" customWidth="1"/>
    <col min="46" max="46" width="12" bestFit="1" customWidth="1"/>
    <col min="47" max="47" width="6.7109375" customWidth="1"/>
    <col min="48" max="48" width="12.140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34" x14ac:dyDescent="0.25">
      <c r="A17" t="s">
        <v>16</v>
      </c>
    </row>
    <row r="18" spans="1:34" x14ac:dyDescent="0.25">
      <c r="A18" t="s">
        <v>17</v>
      </c>
    </row>
    <row r="19" spans="1:34" x14ac:dyDescent="0.25">
      <c r="A19" t="s">
        <v>18</v>
      </c>
    </row>
    <row r="20" spans="1:34" x14ac:dyDescent="0.25">
      <c r="A20" t="s">
        <v>19</v>
      </c>
    </row>
    <row r="21" spans="1:34" x14ac:dyDescent="0.25">
      <c r="A21" t="s">
        <v>20</v>
      </c>
    </row>
    <row r="22" spans="1:34" x14ac:dyDescent="0.25">
      <c r="A22" t="s">
        <v>21</v>
      </c>
    </row>
    <row r="23" spans="1:34" x14ac:dyDescent="0.25">
      <c r="A23" t="s">
        <v>22</v>
      </c>
    </row>
    <row r="24" spans="1:34" x14ac:dyDescent="0.25">
      <c r="A24" t="s">
        <v>23</v>
      </c>
    </row>
    <row r="25" spans="1:34" x14ac:dyDescent="0.25">
      <c r="A25" t="s">
        <v>24</v>
      </c>
    </row>
    <row r="27" spans="1:34" x14ac:dyDescent="0.25">
      <c r="A27" t="s">
        <v>25</v>
      </c>
      <c r="B27" t="s">
        <v>26</v>
      </c>
      <c r="C27" t="s">
        <v>27</v>
      </c>
      <c r="D27" t="s">
        <v>28</v>
      </c>
      <c r="E27" t="s">
        <v>29</v>
      </c>
      <c r="F27" t="s">
        <v>30</v>
      </c>
      <c r="G27" t="s">
        <v>31</v>
      </c>
      <c r="H27" t="s">
        <v>32</v>
      </c>
      <c r="I27" t="s">
        <v>33</v>
      </c>
      <c r="J27" t="s">
        <v>34</v>
      </c>
      <c r="K27" t="s">
        <v>35</v>
      </c>
      <c r="L27" t="s">
        <v>36</v>
      </c>
      <c r="M27" t="s">
        <v>37</v>
      </c>
      <c r="N27" t="s">
        <v>38</v>
      </c>
      <c r="O27" t="s">
        <v>39</v>
      </c>
      <c r="P27" t="s">
        <v>40</v>
      </c>
      <c r="Q27" t="s">
        <v>41</v>
      </c>
      <c r="R27" t="s">
        <v>42</v>
      </c>
      <c r="S27" t="s">
        <v>43</v>
      </c>
      <c r="T27" t="s">
        <v>44</v>
      </c>
      <c r="U27" t="s">
        <v>45</v>
      </c>
      <c r="V27" t="s">
        <v>46</v>
      </c>
      <c r="W27" t="s">
        <v>47</v>
      </c>
      <c r="X27" t="s">
        <v>48</v>
      </c>
      <c r="Y27" t="s">
        <v>49</v>
      </c>
      <c r="Z27" t="s">
        <v>50</v>
      </c>
      <c r="AA27" t="s">
        <v>51</v>
      </c>
      <c r="AE27" t="s">
        <v>114</v>
      </c>
      <c r="AF27" t="s">
        <v>115</v>
      </c>
      <c r="AG27" t="s">
        <v>116</v>
      </c>
    </row>
    <row r="28" spans="1:34" x14ac:dyDescent="0.25">
      <c r="A28" t="b">
        <v>0</v>
      </c>
      <c r="B28">
        <v>1000</v>
      </c>
      <c r="C28" s="4">
        <v>9.7355066569377001E-3</v>
      </c>
      <c r="D28" t="s">
        <v>52</v>
      </c>
      <c r="E28" t="b">
        <v>1</v>
      </c>
      <c r="F28" t="s">
        <v>53</v>
      </c>
      <c r="G28">
        <v>7.4999999999999997E-2</v>
      </c>
      <c r="H28">
        <v>0.25</v>
      </c>
      <c r="I28">
        <v>1E-4</v>
      </c>
      <c r="J28" t="b">
        <v>1</v>
      </c>
      <c r="K28">
        <v>4</v>
      </c>
      <c r="L28">
        <v>1500</v>
      </c>
      <c r="M28">
        <v>0.01</v>
      </c>
      <c r="N28">
        <v>0.154</v>
      </c>
      <c r="O28" t="s">
        <v>54</v>
      </c>
      <c r="P28" t="s">
        <v>55</v>
      </c>
      <c r="Q28">
        <v>-1.56012524650767E-4</v>
      </c>
      <c r="R28">
        <v>3.0250391219971499E-4</v>
      </c>
      <c r="S28">
        <v>5.3237520175207498E-4</v>
      </c>
      <c r="T28">
        <v>-2.8517908387804599E-3</v>
      </c>
      <c r="U28">
        <v>4.0000833815162098</v>
      </c>
      <c r="V28" s="1">
        <v>9.9999999999994494E-15</v>
      </c>
      <c r="W28">
        <v>0.12902859607579401</v>
      </c>
      <c r="X28">
        <v>2.4999999999999898</v>
      </c>
      <c r="Y28">
        <v>5.93817473499917</v>
      </c>
      <c r="Z28">
        <v>0.49999999938752399</v>
      </c>
      <c r="AA28">
        <v>10.7419704183222</v>
      </c>
      <c r="AB28" s="9">
        <f t="shared" ref="AB28:AB47" si="0">T28/S28/K28^2</f>
        <v>-0.33479569829171529</v>
      </c>
      <c r="AC28" s="9">
        <f t="shared" ref="AC28:AC60" si="1">(1+10*C28/K28^2)/(-3-3*C28/K28^2)</f>
        <v>-0.3351576308027493</v>
      </c>
      <c r="AD28" s="2">
        <f t="shared" ref="AD28:AD60" si="2">ABS(AC28/AB28-1)</f>
        <v>1.0810548429407429E-3</v>
      </c>
      <c r="AE28" s="8">
        <f t="shared" ref="AE28:AE60" si="3">-(1+3*AB28)/(10+3*AB28)</f>
        <v>4.8769271437263892E-4</v>
      </c>
      <c r="AF28" s="2">
        <f t="shared" ref="AF28:AF60" si="4">(AE28-C28/K28^2)</f>
        <v>-1.2077645168596734E-4</v>
      </c>
      <c r="AG28" s="8">
        <f t="shared" ref="AG28:AG60" si="5">C28/K28^2</f>
        <v>6.0846916605860626E-4</v>
      </c>
      <c r="AH28" s="7">
        <f>AF28/AG28</f>
        <v>-0.19849231222068933</v>
      </c>
    </row>
    <row r="29" spans="1:34" x14ac:dyDescent="0.25">
      <c r="A29" t="b">
        <v>0</v>
      </c>
      <c r="B29">
        <v>1000</v>
      </c>
      <c r="C29" s="4">
        <v>1.9471013313871799E-2</v>
      </c>
      <c r="D29" t="s">
        <v>52</v>
      </c>
      <c r="E29" t="b">
        <v>1</v>
      </c>
      <c r="F29" t="s">
        <v>53</v>
      </c>
      <c r="G29">
        <v>7.4999999999999997E-2</v>
      </c>
      <c r="H29">
        <v>0.25</v>
      </c>
      <c r="I29">
        <v>1E-4</v>
      </c>
      <c r="J29" t="b">
        <v>1</v>
      </c>
      <c r="K29">
        <v>1</v>
      </c>
      <c r="L29">
        <v>1500</v>
      </c>
      <c r="M29">
        <v>0.02</v>
      </c>
      <c r="N29">
        <v>0.154</v>
      </c>
      <c r="O29" t="s">
        <v>56</v>
      </c>
      <c r="P29" t="s">
        <v>57</v>
      </c>
      <c r="Q29" s="1">
        <v>-1.1461510815914599E-5</v>
      </c>
      <c r="R29" s="1">
        <v>3.5205237655344398E-6</v>
      </c>
      <c r="S29" s="1">
        <v>3.4004072142488897E-5</v>
      </c>
      <c r="T29" s="1">
        <v>-1.3363518619142999E-5</v>
      </c>
      <c r="U29">
        <v>1.0094225091347</v>
      </c>
      <c r="V29" s="1">
        <v>-1.2194500435420201E-15</v>
      </c>
      <c r="W29">
        <v>1.6541946148785999E-2</v>
      </c>
      <c r="X29">
        <v>1.81514420704594</v>
      </c>
      <c r="Y29">
        <v>1.27949666045246</v>
      </c>
      <c r="Z29">
        <v>1.2863793316497899E-2</v>
      </c>
      <c r="AA29">
        <v>0.99927549316401598</v>
      </c>
      <c r="AB29" s="9">
        <f t="shared" si="0"/>
        <v>-0.39299759638037485</v>
      </c>
      <c r="AC29" s="9">
        <f t="shared" si="1"/>
        <v>-0.39063073480798555</v>
      </c>
      <c r="AD29" s="2">
        <f t="shared" si="2"/>
        <v>6.0225853648694372E-3</v>
      </c>
      <c r="AE29" s="8">
        <f t="shared" si="3"/>
        <v>2.0291649792642728E-2</v>
      </c>
      <c r="AF29" s="2">
        <f t="shared" si="4"/>
        <v>8.2063647877092874E-4</v>
      </c>
      <c r="AG29" s="8">
        <f t="shared" si="5"/>
        <v>1.9471013313871799E-2</v>
      </c>
      <c r="AH29" s="7">
        <f t="shared" ref="AH29:AH60" si="6">AF29/AG29</f>
        <v>4.2146572730566621E-2</v>
      </c>
    </row>
    <row r="30" spans="1:34" x14ac:dyDescent="0.25">
      <c r="A30" t="b">
        <v>0</v>
      </c>
      <c r="B30">
        <v>1000</v>
      </c>
      <c r="C30" s="4">
        <v>0.11627793278748901</v>
      </c>
      <c r="D30" t="s">
        <v>52</v>
      </c>
      <c r="E30" t="b">
        <v>1</v>
      </c>
      <c r="F30" t="s">
        <v>53</v>
      </c>
      <c r="G30">
        <v>7.4999999999999997E-2</v>
      </c>
      <c r="H30">
        <v>0.25</v>
      </c>
      <c r="I30">
        <v>1E-4</v>
      </c>
      <c r="J30" t="b">
        <v>1</v>
      </c>
      <c r="K30">
        <v>1</v>
      </c>
      <c r="L30">
        <v>1500</v>
      </c>
      <c r="M30">
        <v>0.12</v>
      </c>
      <c r="N30">
        <v>0.154</v>
      </c>
      <c r="O30" t="s">
        <v>66</v>
      </c>
      <c r="P30" t="s">
        <v>67</v>
      </c>
      <c r="Q30" s="1">
        <v>-1.2511579963581099E-5</v>
      </c>
      <c r="R30" s="1">
        <v>2.46010596220129E-6</v>
      </c>
      <c r="S30" s="1">
        <v>3.72626061649757E-5</v>
      </c>
      <c r="T30" s="1">
        <v>-2.4659248843142E-5</v>
      </c>
      <c r="U30">
        <v>1.0555733380535299</v>
      </c>
      <c r="V30" s="1">
        <v>-1.0012938802616301E-15</v>
      </c>
      <c r="W30">
        <v>1.1646878785543701E-2</v>
      </c>
      <c r="X30">
        <v>1.84826137211198</v>
      </c>
      <c r="Y30">
        <v>0.82757986062504796</v>
      </c>
      <c r="Z30">
        <v>1.05251089095272E-2</v>
      </c>
      <c r="AA30">
        <v>0.665322690922033</v>
      </c>
      <c r="AB30" s="9">
        <f t="shared" si="0"/>
        <v>-0.66176930121221655</v>
      </c>
      <c r="AC30" s="9">
        <f t="shared" si="1"/>
        <v>-0.64583059599209103</v>
      </c>
      <c r="AD30" s="2">
        <f t="shared" si="2"/>
        <v>2.4084987307403494E-2</v>
      </c>
      <c r="AE30" s="8">
        <f t="shared" si="3"/>
        <v>0.12293771136681982</v>
      </c>
      <c r="AF30" s="2">
        <f t="shared" si="4"/>
        <v>6.6597785793308106E-3</v>
      </c>
      <c r="AG30" s="8">
        <f t="shared" si="5"/>
        <v>0.11627793278748901</v>
      </c>
      <c r="AH30" s="7">
        <f t="shared" si="6"/>
        <v>5.7274655815410004E-2</v>
      </c>
    </row>
    <row r="31" spans="1:34" x14ac:dyDescent="0.25">
      <c r="A31" t="b">
        <v>0</v>
      </c>
      <c r="B31">
        <v>1000</v>
      </c>
      <c r="C31" s="4">
        <v>0.21147045264733499</v>
      </c>
      <c r="D31" t="s">
        <v>52</v>
      </c>
      <c r="E31" t="b">
        <v>1</v>
      </c>
      <c r="F31" t="s">
        <v>53</v>
      </c>
      <c r="G31">
        <v>7.4999999999999997E-2</v>
      </c>
      <c r="H31">
        <v>0.25</v>
      </c>
      <c r="I31">
        <v>1E-4</v>
      </c>
      <c r="J31" t="b">
        <v>1</v>
      </c>
      <c r="K31">
        <v>1</v>
      </c>
      <c r="L31">
        <v>1500</v>
      </c>
      <c r="M31">
        <v>0.24</v>
      </c>
      <c r="N31">
        <v>0.154</v>
      </c>
      <c r="O31" t="s">
        <v>78</v>
      </c>
      <c r="P31" t="s">
        <v>79</v>
      </c>
      <c r="Q31" s="1">
        <v>-1.40179593716936E-5</v>
      </c>
      <c r="R31" s="1">
        <v>1.3104194568205399E-6</v>
      </c>
      <c r="S31" s="1">
        <v>4.1902346533418598E-5</v>
      </c>
      <c r="T31" s="1">
        <v>-3.9777895364370403E-5</v>
      </c>
      <c r="U31">
        <v>1.1181789920188101</v>
      </c>
      <c r="V31" s="1">
        <v>-6.8267014654439202E-16</v>
      </c>
      <c r="W31">
        <v>6.1486152185477299E-3</v>
      </c>
      <c r="X31">
        <v>1.8964948654910301</v>
      </c>
      <c r="Y31">
        <v>0.40522608398742899</v>
      </c>
      <c r="Z31">
        <v>7.1258951658861001E-3</v>
      </c>
      <c r="AA31">
        <v>0.33435963324363299</v>
      </c>
      <c r="AB31" s="9">
        <f t="shared" si="0"/>
        <v>-0.94929994750165436</v>
      </c>
      <c r="AC31" s="9">
        <f t="shared" si="1"/>
        <v>-0.85700385006419844</v>
      </c>
      <c r="AD31" s="2">
        <f t="shared" si="2"/>
        <v>9.7225431941041052E-2</v>
      </c>
      <c r="AE31" s="8">
        <f t="shared" si="3"/>
        <v>0.25837163935245766</v>
      </c>
      <c r="AF31" s="2">
        <f t="shared" si="4"/>
        <v>4.6901186705122666E-2</v>
      </c>
      <c r="AG31" s="8">
        <f t="shared" si="5"/>
        <v>0.21147045264733499</v>
      </c>
      <c r="AH31" s="7">
        <f t="shared" si="6"/>
        <v>0.22178600422886893</v>
      </c>
    </row>
    <row r="32" spans="1:34" x14ac:dyDescent="0.25">
      <c r="A32" t="b">
        <v>0</v>
      </c>
      <c r="B32">
        <v>1000</v>
      </c>
      <c r="C32" s="4">
        <v>0.251645321963609</v>
      </c>
      <c r="D32" t="s">
        <v>52</v>
      </c>
      <c r="E32" t="b">
        <v>1</v>
      </c>
      <c r="F32" t="s">
        <v>53</v>
      </c>
      <c r="G32">
        <v>7.4999999999999997E-2</v>
      </c>
      <c r="H32">
        <v>0.25</v>
      </c>
      <c r="I32">
        <v>1E-4</v>
      </c>
      <c r="J32" t="b">
        <v>1</v>
      </c>
      <c r="K32">
        <v>1</v>
      </c>
      <c r="L32">
        <v>1500</v>
      </c>
      <c r="M32">
        <v>0.3</v>
      </c>
      <c r="N32">
        <v>0.154</v>
      </c>
      <c r="O32" t="s">
        <v>86</v>
      </c>
      <c r="P32" t="s">
        <v>87</v>
      </c>
      <c r="Q32" s="1">
        <v>-1.484510721698E-5</v>
      </c>
      <c r="R32" s="1">
        <v>8.1404795479686303E-7</v>
      </c>
      <c r="S32" s="1">
        <v>4.44398320529836E-5</v>
      </c>
      <c r="T32" s="1">
        <v>-4.8116055002793401E-5</v>
      </c>
      <c r="U32">
        <v>1.1509926918783999</v>
      </c>
      <c r="V32" s="1">
        <v>-4.8899591484131501E-16</v>
      </c>
      <c r="W32">
        <v>3.9133458913072697E-3</v>
      </c>
      <c r="X32">
        <v>1.9257595434438399</v>
      </c>
      <c r="Y32">
        <v>0.24024887183294699</v>
      </c>
      <c r="Z32">
        <v>5.0659658107435898E-3</v>
      </c>
      <c r="AA32">
        <v>0.202690804125533</v>
      </c>
      <c r="AB32" s="9">
        <f t="shared" si="0"/>
        <v>-1.0827236013274488</v>
      </c>
      <c r="AC32" s="9">
        <f t="shared" si="1"/>
        <v>-0.93648819888779145</v>
      </c>
      <c r="AD32" s="2">
        <f t="shared" si="2"/>
        <v>0.13506254251811711</v>
      </c>
      <c r="AE32" s="8">
        <f t="shared" si="3"/>
        <v>0.33297210855220638</v>
      </c>
      <c r="AF32" s="2">
        <f t="shared" si="4"/>
        <v>8.1326786588597377E-2</v>
      </c>
      <c r="AG32" s="8">
        <f t="shared" si="5"/>
        <v>0.251645321963609</v>
      </c>
      <c r="AH32" s="7">
        <f t="shared" si="6"/>
        <v>0.32318020440037515</v>
      </c>
    </row>
    <row r="33" spans="1:34" x14ac:dyDescent="0.25">
      <c r="A33" t="b">
        <v>0</v>
      </c>
      <c r="B33">
        <v>1000</v>
      </c>
      <c r="C33" s="4">
        <v>1.9471013313874599E-2</v>
      </c>
      <c r="D33" t="s">
        <v>52</v>
      </c>
      <c r="E33" t="b">
        <v>1</v>
      </c>
      <c r="F33" t="s">
        <v>53</v>
      </c>
      <c r="G33">
        <v>7.4999999999999997E-2</v>
      </c>
      <c r="H33">
        <v>0.25</v>
      </c>
      <c r="I33">
        <v>1E-4</v>
      </c>
      <c r="J33" t="b">
        <v>1</v>
      </c>
      <c r="K33">
        <v>2</v>
      </c>
      <c r="L33">
        <v>1500</v>
      </c>
      <c r="M33">
        <v>0.02</v>
      </c>
      <c r="N33">
        <v>0.154</v>
      </c>
      <c r="O33" t="s">
        <v>60</v>
      </c>
      <c r="P33" t="s">
        <v>61</v>
      </c>
      <c r="Q33" s="1">
        <v>-4.4544502036509897E-5</v>
      </c>
      <c r="R33" s="1">
        <v>7.7752472696668299E-9</v>
      </c>
      <c r="S33">
        <v>1.33787151528943E-4</v>
      </c>
      <c r="T33">
        <v>-1.86129870776605E-4</v>
      </c>
      <c r="U33">
        <v>2.0042713285705802</v>
      </c>
      <c r="V33" s="1">
        <v>9.6172807355063404E-16</v>
      </c>
      <c r="W33" s="1">
        <v>1.3927272660467499E-5</v>
      </c>
      <c r="X33">
        <v>2.0373667509817901</v>
      </c>
      <c r="Y33">
        <v>7.94128113100368E-4</v>
      </c>
      <c r="Z33">
        <v>4.7820235862029801E-3</v>
      </c>
      <c r="AA33">
        <v>7.2297459235997296E-4</v>
      </c>
      <c r="AB33" s="9">
        <f t="shared" si="0"/>
        <v>-0.3478096899617793</v>
      </c>
      <c r="AC33" s="9">
        <f t="shared" si="1"/>
        <v>-0.34786585259970937</v>
      </c>
      <c r="AD33" s="2">
        <f t="shared" si="2"/>
        <v>1.6147519620934858E-4</v>
      </c>
      <c r="AE33" s="8">
        <f t="shared" si="3"/>
        <v>4.8488501039294423E-3</v>
      </c>
      <c r="AF33" s="2">
        <f t="shared" si="4"/>
        <v>-1.8903224539207342E-5</v>
      </c>
      <c r="AG33" s="8">
        <f t="shared" si="5"/>
        <v>4.8677533284686497E-3</v>
      </c>
      <c r="AH33" s="7">
        <f t="shared" si="6"/>
        <v>-3.8833571184992898E-3</v>
      </c>
    </row>
    <row r="34" spans="1:34" x14ac:dyDescent="0.25">
      <c r="A34" t="b">
        <v>0</v>
      </c>
      <c r="B34">
        <v>1000</v>
      </c>
      <c r="C34" s="4">
        <v>0.116826079883233</v>
      </c>
      <c r="D34" t="s">
        <v>52</v>
      </c>
      <c r="E34" t="b">
        <v>1</v>
      </c>
      <c r="F34" t="s">
        <v>53</v>
      </c>
      <c r="G34">
        <v>7.4999999999999997E-2</v>
      </c>
      <c r="H34">
        <v>0.25</v>
      </c>
      <c r="I34">
        <v>1E-4</v>
      </c>
      <c r="J34" t="b">
        <v>1</v>
      </c>
      <c r="K34">
        <v>2</v>
      </c>
      <c r="L34">
        <v>1500</v>
      </c>
      <c r="M34">
        <v>0.12</v>
      </c>
      <c r="N34">
        <v>0.154</v>
      </c>
      <c r="O34" t="s">
        <v>70</v>
      </c>
      <c r="P34" t="s">
        <v>71</v>
      </c>
      <c r="Q34" s="1">
        <v>-4.5014750749155002E-5</v>
      </c>
      <c r="R34" s="1">
        <v>4.0971901229992602E-8</v>
      </c>
      <c r="S34">
        <v>1.3700862528811199E-4</v>
      </c>
      <c r="T34">
        <v>-2.2783725405268901E-4</v>
      </c>
      <c r="U34">
        <v>2.0258497457113802</v>
      </c>
      <c r="V34" s="1">
        <v>3.52350620004432E-15</v>
      </c>
      <c r="W34" s="1">
        <v>9.3732124132212501E-5</v>
      </c>
      <c r="X34">
        <v>2.1609008067644799</v>
      </c>
      <c r="Y34">
        <v>3.7147076177302999E-3</v>
      </c>
      <c r="Z34">
        <v>6.8096208361914906E-2</v>
      </c>
      <c r="AA34">
        <v>4.1019530509509702E-3</v>
      </c>
      <c r="AB34" s="9">
        <f t="shared" si="0"/>
        <v>-0.41573523851796879</v>
      </c>
      <c r="AC34" s="9">
        <f t="shared" si="1"/>
        <v>-0.4184664511403503</v>
      </c>
      <c r="AD34" s="2">
        <f t="shared" si="2"/>
        <v>6.5695961499867561E-3</v>
      </c>
      <c r="AE34" s="8">
        <f t="shared" si="3"/>
        <v>2.8243062446148933E-2</v>
      </c>
      <c r="AF34" s="2">
        <f t="shared" si="4"/>
        <v>-9.6345752465931689E-4</v>
      </c>
      <c r="AG34" s="8">
        <f t="shared" si="5"/>
        <v>2.920651997080825E-2</v>
      </c>
      <c r="AH34" s="7">
        <f t="shared" si="6"/>
        <v>-3.2987754981500264E-2</v>
      </c>
    </row>
    <row r="35" spans="1:34" x14ac:dyDescent="0.25">
      <c r="A35" t="b">
        <v>0</v>
      </c>
      <c r="B35">
        <v>1000</v>
      </c>
      <c r="C35" s="4">
        <v>0.19471013313871999</v>
      </c>
      <c r="D35" t="s">
        <v>52</v>
      </c>
      <c r="E35" t="b">
        <v>1</v>
      </c>
      <c r="F35" t="s">
        <v>53</v>
      </c>
      <c r="G35">
        <v>7.4999999999999997E-2</v>
      </c>
      <c r="H35">
        <v>0.25</v>
      </c>
      <c r="I35">
        <v>1E-4</v>
      </c>
      <c r="J35" t="b">
        <v>1</v>
      </c>
      <c r="K35">
        <v>2</v>
      </c>
      <c r="L35">
        <v>1500</v>
      </c>
      <c r="M35">
        <v>0.2</v>
      </c>
      <c r="N35">
        <v>0.154</v>
      </c>
      <c r="O35" t="s">
        <v>74</v>
      </c>
      <c r="P35" t="s">
        <v>75</v>
      </c>
      <c r="Q35" s="1">
        <v>-4.6166106284880797E-5</v>
      </c>
      <c r="R35" s="1">
        <v>4.5826244102168398E-6</v>
      </c>
      <c r="S35">
        <v>1.3958361632283799E-4</v>
      </c>
      <c r="T35">
        <v>-2.6156175376158299E-4</v>
      </c>
      <c r="U35">
        <v>2.0429159807178801</v>
      </c>
      <c r="V35" s="1">
        <v>2.10296072298112E-15</v>
      </c>
      <c r="W35">
        <v>9.8550131424355002E-3</v>
      </c>
      <c r="X35">
        <v>2.1062224072563498</v>
      </c>
      <c r="Y35">
        <v>0.445179296100914</v>
      </c>
      <c r="Z35">
        <v>2.5865872895897499E-4</v>
      </c>
      <c r="AA35">
        <v>0.44102514122071701</v>
      </c>
      <c r="AB35" s="9">
        <f t="shared" si="0"/>
        <v>-0.46846786294142517</v>
      </c>
      <c r="AC35" s="9">
        <f t="shared" si="1"/>
        <v>-0.47258738924567367</v>
      </c>
      <c r="AD35" s="2">
        <f t="shared" si="2"/>
        <v>8.7936155927168524E-3</v>
      </c>
      <c r="AE35" s="8">
        <f t="shared" si="3"/>
        <v>4.7169589987625389E-2</v>
      </c>
      <c r="AF35" s="2">
        <f t="shared" si="4"/>
        <v>-1.5079432970546078E-3</v>
      </c>
      <c r="AG35" s="8">
        <f t="shared" si="5"/>
        <v>4.8677533284679997E-2</v>
      </c>
      <c r="AH35" s="7">
        <f t="shared" si="6"/>
        <v>-3.0978219217389847E-2</v>
      </c>
    </row>
    <row r="36" spans="1:34" x14ac:dyDescent="0.25">
      <c r="A36" t="b">
        <v>0</v>
      </c>
      <c r="B36">
        <v>1000</v>
      </c>
      <c r="C36" s="4">
        <v>0.233652159766467</v>
      </c>
      <c r="D36" t="s">
        <v>52</v>
      </c>
      <c r="E36" t="b">
        <v>1</v>
      </c>
      <c r="F36" t="s">
        <v>53</v>
      </c>
      <c r="G36">
        <v>7.4999999999999997E-2</v>
      </c>
      <c r="H36">
        <v>0.25</v>
      </c>
      <c r="I36">
        <v>1E-4</v>
      </c>
      <c r="J36" t="b">
        <v>1</v>
      </c>
      <c r="K36">
        <v>2</v>
      </c>
      <c r="L36">
        <v>1500</v>
      </c>
      <c r="M36">
        <v>0.24</v>
      </c>
      <c r="N36">
        <v>0.154</v>
      </c>
      <c r="O36" t="s">
        <v>82</v>
      </c>
      <c r="P36" t="s">
        <v>83</v>
      </c>
      <c r="Q36" s="1">
        <v>-4.6504733224319701E-5</v>
      </c>
      <c r="R36" s="1">
        <v>5.6126304066508201E-6</v>
      </c>
      <c r="S36">
        <v>1.4087037905418699E-4</v>
      </c>
      <c r="T36">
        <v>-2.7854268400640702E-4</v>
      </c>
      <c r="U36">
        <v>2.0513851253661599</v>
      </c>
      <c r="V36" s="1">
        <v>2.2015510061644098E-15</v>
      </c>
      <c r="W36">
        <v>1.21254475865496E-2</v>
      </c>
      <c r="X36">
        <v>2.1112795973684202</v>
      </c>
      <c r="Y36">
        <v>0.54865872675049399</v>
      </c>
      <c r="Z36">
        <v>2.5861581345155402E-4</v>
      </c>
      <c r="AA36">
        <v>0.53883128026211002</v>
      </c>
      <c r="AB36" s="9">
        <f t="shared" si="0"/>
        <v>-0.49432443831797884</v>
      </c>
      <c r="AC36" s="9">
        <f t="shared" si="1"/>
        <v>-0.49890113457141766</v>
      </c>
      <c r="AD36" s="2">
        <f t="shared" si="2"/>
        <v>9.2584867319362996E-3</v>
      </c>
      <c r="AE36" s="8">
        <f t="shared" si="3"/>
        <v>5.670679837154044E-2</v>
      </c>
      <c r="AF36" s="2">
        <f t="shared" si="4"/>
        <v>-1.7062415700763098E-3</v>
      </c>
      <c r="AG36" s="8">
        <f t="shared" si="5"/>
        <v>5.841303994161675E-2</v>
      </c>
      <c r="AH36" s="7">
        <f t="shared" si="6"/>
        <v>-2.920994305007377E-2</v>
      </c>
    </row>
    <row r="37" spans="1:34" x14ac:dyDescent="0.25">
      <c r="A37" t="b">
        <v>0</v>
      </c>
      <c r="B37">
        <v>1000</v>
      </c>
      <c r="C37" s="4">
        <v>0.29206519970808298</v>
      </c>
      <c r="D37" t="s">
        <v>52</v>
      </c>
      <c r="E37" t="b">
        <v>1</v>
      </c>
      <c r="F37" t="s">
        <v>53</v>
      </c>
      <c r="G37">
        <v>7.4999999999999997E-2</v>
      </c>
      <c r="H37">
        <v>0.25</v>
      </c>
      <c r="I37">
        <v>1E-4</v>
      </c>
      <c r="J37" t="b">
        <v>1</v>
      </c>
      <c r="K37" s="5">
        <v>2</v>
      </c>
      <c r="L37" s="5">
        <v>1500</v>
      </c>
      <c r="M37" s="5">
        <v>0.3</v>
      </c>
      <c r="N37">
        <v>0.154</v>
      </c>
      <c r="O37" t="s">
        <v>90</v>
      </c>
      <c r="P37" t="s">
        <v>91</v>
      </c>
      <c r="Q37" s="1">
        <v>-4.7010080076000801E-5</v>
      </c>
      <c r="R37" s="1">
        <v>7.3241595970283798E-6</v>
      </c>
      <c r="S37">
        <v>1.4279960365961301E-4</v>
      </c>
      <c r="T37">
        <v>-3.0416156446025198E-4</v>
      </c>
      <c r="U37">
        <v>2.0640103796337201</v>
      </c>
      <c r="V37" s="1">
        <v>2.3172243067232302E-15</v>
      </c>
      <c r="W37">
        <v>1.62067163450191E-2</v>
      </c>
      <c r="X37">
        <v>2.1170459142114701</v>
      </c>
      <c r="Y37">
        <v>0.70611816141814598</v>
      </c>
      <c r="Z37">
        <v>2.58365876397344E-4</v>
      </c>
      <c r="AA37">
        <v>0.69938145901927995</v>
      </c>
      <c r="AB37" s="9">
        <f t="shared" si="0"/>
        <v>-0.53249721404212103</v>
      </c>
      <c r="AC37" s="9">
        <f t="shared" si="1"/>
        <v>-0.53747645753001183</v>
      </c>
      <c r="AD37" s="2">
        <f t="shared" si="2"/>
        <v>9.3507409176734058E-3</v>
      </c>
      <c r="AE37" s="8">
        <f t="shared" si="3"/>
        <v>7.1108723333369692E-2</v>
      </c>
      <c r="AF37" s="2">
        <f t="shared" si="4"/>
        <v>-1.907576593651053E-3</v>
      </c>
      <c r="AG37" s="8">
        <f t="shared" si="5"/>
        <v>7.3016299927020745E-2</v>
      </c>
      <c r="AH37" s="7">
        <f t="shared" si="6"/>
        <v>-2.6125352771335465E-2</v>
      </c>
    </row>
    <row r="38" spans="1:34" x14ac:dyDescent="0.25">
      <c r="A38" t="b">
        <v>0</v>
      </c>
      <c r="B38">
        <v>1000</v>
      </c>
      <c r="C38" s="4">
        <v>9.7355066569367196E-2</v>
      </c>
      <c r="D38" t="s">
        <v>52</v>
      </c>
      <c r="E38" t="b">
        <v>1</v>
      </c>
      <c r="F38" t="s">
        <v>53</v>
      </c>
      <c r="G38">
        <v>7.4999999999999997E-2</v>
      </c>
      <c r="H38">
        <v>0.25</v>
      </c>
      <c r="I38">
        <v>1E-4</v>
      </c>
      <c r="J38" t="b">
        <v>1</v>
      </c>
      <c r="K38">
        <v>4</v>
      </c>
      <c r="L38">
        <v>1500</v>
      </c>
      <c r="M38">
        <v>0.1</v>
      </c>
      <c r="N38">
        <v>0.154</v>
      </c>
      <c r="O38" t="s">
        <v>64</v>
      </c>
      <c r="P38" t="s">
        <v>65</v>
      </c>
      <c r="Q38">
        <v>-1.56111604682777E-4</v>
      </c>
      <c r="R38">
        <v>3.2930692812257702E-4</v>
      </c>
      <c r="S38">
        <v>5.3510780450953803E-4</v>
      </c>
      <c r="T38">
        <v>-2.98053318601871E-3</v>
      </c>
      <c r="U38">
        <v>4.0064137008335896</v>
      </c>
      <c r="V38" s="1">
        <v>9.9999999999997002E-15</v>
      </c>
      <c r="W38">
        <v>0.13980787575707099</v>
      </c>
      <c r="X38">
        <v>2.4999999999999898</v>
      </c>
      <c r="Y38">
        <v>6.4704447434674801</v>
      </c>
      <c r="Z38">
        <v>0.49999999966022501</v>
      </c>
      <c r="AA38">
        <v>11.6822090635691</v>
      </c>
      <c r="AB38" s="9">
        <f t="shared" si="0"/>
        <v>-0.34812298111949697</v>
      </c>
      <c r="AC38" s="9">
        <f t="shared" si="1"/>
        <v>-0.35147700963917916</v>
      </c>
      <c r="AD38" s="2">
        <f t="shared" si="2"/>
        <v>9.6346081746636614E-3</v>
      </c>
      <c r="AE38" s="8">
        <f t="shared" si="3"/>
        <v>4.9543067459871257E-3</v>
      </c>
      <c r="AF38" s="2">
        <f t="shared" si="4"/>
        <v>-1.1303849145983241E-3</v>
      </c>
      <c r="AG38" s="8">
        <f t="shared" si="5"/>
        <v>6.0846916605854498E-3</v>
      </c>
      <c r="AH38" s="7">
        <f t="shared" si="6"/>
        <v>-0.18577521716023357</v>
      </c>
    </row>
    <row r="39" spans="1:34" x14ac:dyDescent="0.25">
      <c r="A39" t="b">
        <v>0</v>
      </c>
      <c r="B39">
        <v>1000</v>
      </c>
      <c r="C39" s="4">
        <v>0.19471013313871999</v>
      </c>
      <c r="D39" t="s">
        <v>52</v>
      </c>
      <c r="E39" t="b">
        <v>1</v>
      </c>
      <c r="F39" t="s">
        <v>53</v>
      </c>
      <c r="G39">
        <v>7.4999999999999997E-2</v>
      </c>
      <c r="H39">
        <v>0.25</v>
      </c>
      <c r="I39">
        <v>1E-4</v>
      </c>
      <c r="J39" t="b">
        <v>1</v>
      </c>
      <c r="K39">
        <v>4</v>
      </c>
      <c r="L39">
        <v>1500</v>
      </c>
      <c r="M39">
        <v>0.2</v>
      </c>
      <c r="N39">
        <v>0.154</v>
      </c>
      <c r="O39" t="s">
        <v>76</v>
      </c>
      <c r="P39" t="s">
        <v>77</v>
      </c>
      <c r="Q39">
        <v>-1.5622264399268399E-4</v>
      </c>
      <c r="R39">
        <v>3.59655241692646E-4</v>
      </c>
      <c r="S39">
        <v>5.3813476915774098E-4</v>
      </c>
      <c r="T39">
        <v>-3.12293483411264E-3</v>
      </c>
      <c r="U39">
        <v>4.0134295065502599</v>
      </c>
      <c r="V39" s="1">
        <v>9.9999999999998706E-15</v>
      </c>
      <c r="W39">
        <v>0.15456590281719201</v>
      </c>
      <c r="X39">
        <v>2.4999999999999898</v>
      </c>
      <c r="Y39">
        <v>7.0302058009995196</v>
      </c>
      <c r="Z39">
        <v>0.49999999983284898</v>
      </c>
      <c r="AA39">
        <v>12.762314421526099</v>
      </c>
      <c r="AB39" s="9">
        <f t="shared" si="0"/>
        <v>-0.36270361686075475</v>
      </c>
      <c r="AC39" s="9">
        <f t="shared" si="1"/>
        <v>-0.36940254325521221</v>
      </c>
      <c r="AD39" s="2">
        <f t="shared" si="2"/>
        <v>1.8469422644409983E-2</v>
      </c>
      <c r="AE39" s="8">
        <f t="shared" si="3"/>
        <v>9.8868880778236676E-3</v>
      </c>
      <c r="AF39" s="2">
        <f t="shared" si="4"/>
        <v>-2.2824952433463316E-3</v>
      </c>
      <c r="AG39" s="8">
        <f t="shared" si="5"/>
        <v>1.2169383321169999E-2</v>
      </c>
      <c r="AH39" s="7">
        <f t="shared" si="6"/>
        <v>-0.18756046901535894</v>
      </c>
    </row>
    <row r="40" spans="1:34" x14ac:dyDescent="0.25">
      <c r="A40" t="b">
        <v>0</v>
      </c>
      <c r="B40">
        <v>1000</v>
      </c>
      <c r="C40" s="4">
        <v>1.9471013313872E-2</v>
      </c>
      <c r="D40" t="s">
        <v>52</v>
      </c>
      <c r="E40" t="b">
        <v>1</v>
      </c>
      <c r="F40" t="s">
        <v>53</v>
      </c>
      <c r="G40">
        <v>7.4999999999999997E-2</v>
      </c>
      <c r="H40">
        <v>0.25</v>
      </c>
      <c r="I40">
        <v>1E-4</v>
      </c>
      <c r="J40" t="b">
        <v>1</v>
      </c>
      <c r="K40">
        <v>5</v>
      </c>
      <c r="L40">
        <v>1500</v>
      </c>
      <c r="M40">
        <v>0.02</v>
      </c>
      <c r="N40">
        <v>0.154</v>
      </c>
      <c r="O40" t="s">
        <v>58</v>
      </c>
      <c r="P40" t="s">
        <v>59</v>
      </c>
      <c r="Q40">
        <v>-2.2828530631788301E-4</v>
      </c>
      <c r="R40">
        <v>1.04973021100524E-3</v>
      </c>
      <c r="S40">
        <v>8.3159791341096698E-4</v>
      </c>
      <c r="T40">
        <v>-6.9611607780967599E-3</v>
      </c>
      <c r="U40">
        <v>4.9994546892701104</v>
      </c>
      <c r="V40" s="1">
        <v>9.9999999999999905E-15</v>
      </c>
      <c r="W40">
        <v>0.30863006358432499</v>
      </c>
      <c r="X40">
        <v>2.4999999999999898</v>
      </c>
      <c r="Y40">
        <v>14.025568235097699</v>
      </c>
      <c r="Z40">
        <v>0.49999999999971401</v>
      </c>
      <c r="AA40">
        <v>25.496053186674001</v>
      </c>
      <c r="AB40" s="9">
        <f t="shared" si="0"/>
        <v>-0.33483300839676966</v>
      </c>
      <c r="AC40" s="9">
        <f t="shared" si="1"/>
        <v>-0.33566803656948618</v>
      </c>
      <c r="AD40" s="2">
        <f t="shared" si="2"/>
        <v>2.4938645586789487E-3</v>
      </c>
      <c r="AE40" s="8">
        <f t="shared" si="3"/>
        <v>5.0014170449291318E-4</v>
      </c>
      <c r="AF40" s="2">
        <f t="shared" si="4"/>
        <v>-2.7869882806196684E-4</v>
      </c>
      <c r="AG40" s="8">
        <f t="shared" si="5"/>
        <v>7.7884053255488001E-4</v>
      </c>
      <c r="AH40" s="7">
        <f t="shared" si="6"/>
        <v>-0.35783811500890095</v>
      </c>
    </row>
    <row r="41" spans="1:34" x14ac:dyDescent="0.25">
      <c r="A41" t="b">
        <v>0</v>
      </c>
      <c r="B41">
        <v>1000</v>
      </c>
      <c r="C41" s="4">
        <v>0.116826079883232</v>
      </c>
      <c r="D41" t="s">
        <v>52</v>
      </c>
      <c r="E41" t="b">
        <v>1</v>
      </c>
      <c r="F41" t="s">
        <v>53</v>
      </c>
      <c r="G41">
        <v>7.4999999999999997E-2</v>
      </c>
      <c r="H41">
        <v>0.25</v>
      </c>
      <c r="I41">
        <v>1E-4</v>
      </c>
      <c r="J41" t="b">
        <v>1</v>
      </c>
      <c r="K41">
        <v>5</v>
      </c>
      <c r="L41">
        <v>1500</v>
      </c>
      <c r="M41">
        <v>0.12</v>
      </c>
      <c r="N41">
        <v>0.154</v>
      </c>
      <c r="O41" t="s">
        <v>68</v>
      </c>
      <c r="P41" t="s">
        <v>69</v>
      </c>
      <c r="Q41">
        <v>-2.27971262021323E-4</v>
      </c>
      <c r="R41">
        <v>1.0925813341341E-3</v>
      </c>
      <c r="S41">
        <v>8.34360322937872E-4</v>
      </c>
      <c r="T41">
        <v>-7.1586618493453703E-3</v>
      </c>
      <c r="U41">
        <v>5.0027892480654002</v>
      </c>
      <c r="V41" s="1">
        <v>9.9999999999999905E-15</v>
      </c>
      <c r="W41">
        <v>0.322688656837886</v>
      </c>
      <c r="X41">
        <v>2.4999999999999898</v>
      </c>
      <c r="Y41">
        <v>14.6044222553338</v>
      </c>
      <c r="Z41">
        <v>0.499999999999792</v>
      </c>
      <c r="AA41">
        <v>26.578820594554699</v>
      </c>
      <c r="AB41" s="9">
        <f t="shared" si="0"/>
        <v>-0.34319282221565645</v>
      </c>
      <c r="AC41" s="9">
        <f t="shared" si="1"/>
        <v>-0.34728725563764884</v>
      </c>
      <c r="AD41" s="2">
        <f t="shared" si="2"/>
        <v>1.1930416829695645E-2</v>
      </c>
      <c r="AE41" s="8">
        <f t="shared" si="3"/>
        <v>3.2973329666831533E-3</v>
      </c>
      <c r="AF41" s="2">
        <f t="shared" si="4"/>
        <v>-1.3757102286461264E-3</v>
      </c>
      <c r="AG41" s="8">
        <f t="shared" si="5"/>
        <v>4.6730431953292796E-3</v>
      </c>
      <c r="AH41" s="7">
        <f t="shared" si="6"/>
        <v>-0.29439279098065108</v>
      </c>
    </row>
    <row r="42" spans="1:34" x14ac:dyDescent="0.25">
      <c r="A42" t="b">
        <v>0</v>
      </c>
      <c r="B42">
        <v>1000</v>
      </c>
      <c r="C42" s="4">
        <v>0.233652159766464</v>
      </c>
      <c r="D42" t="s">
        <v>52</v>
      </c>
      <c r="E42" t="b">
        <v>1</v>
      </c>
      <c r="F42" t="s">
        <v>53</v>
      </c>
      <c r="G42">
        <v>7.4999999999999997E-2</v>
      </c>
      <c r="H42">
        <v>0.25</v>
      </c>
      <c r="I42">
        <v>1E-4</v>
      </c>
      <c r="J42" t="b">
        <v>1</v>
      </c>
      <c r="K42">
        <v>5</v>
      </c>
      <c r="L42">
        <v>1500</v>
      </c>
      <c r="M42">
        <v>0.24</v>
      </c>
      <c r="N42">
        <v>0.154</v>
      </c>
      <c r="O42" t="s">
        <v>80</v>
      </c>
      <c r="P42" t="s">
        <v>81</v>
      </c>
      <c r="Q42">
        <v>-2.27599677102413E-4</v>
      </c>
      <c r="R42">
        <v>1.1255401502623999E-3</v>
      </c>
      <c r="S42">
        <v>8.3765827385093295E-4</v>
      </c>
      <c r="T42">
        <v>-7.3939085366256097E-3</v>
      </c>
      <c r="U42">
        <v>5.0067939623165802</v>
      </c>
      <c r="V42" s="1">
        <v>9.9999999999999905E-15</v>
      </c>
      <c r="W42">
        <v>0.33559706618393398</v>
      </c>
      <c r="X42">
        <v>2.4999999999999898</v>
      </c>
      <c r="Y42">
        <v>15.0457861224696</v>
      </c>
      <c r="Z42">
        <v>0.499999999999859</v>
      </c>
      <c r="AA42">
        <v>27.438537103790601</v>
      </c>
      <c r="AB42" s="9">
        <f t="shared" si="0"/>
        <v>-0.35307517480291284</v>
      </c>
      <c r="AC42" s="9">
        <f t="shared" si="1"/>
        <v>-0.36111197095825176</v>
      </c>
      <c r="AD42" s="2">
        <f t="shared" si="2"/>
        <v>2.2762280468529239E-2</v>
      </c>
      <c r="AE42" s="8">
        <f t="shared" si="3"/>
        <v>6.6242051592316758E-3</v>
      </c>
      <c r="AF42" s="2">
        <f t="shared" si="4"/>
        <v>-2.7218812314268835E-3</v>
      </c>
      <c r="AG42" s="8">
        <f t="shared" si="5"/>
        <v>9.3460863906585593E-3</v>
      </c>
      <c r="AH42" s="7">
        <f t="shared" si="6"/>
        <v>-0.29123219256216287</v>
      </c>
    </row>
    <row r="43" spans="1:34" x14ac:dyDescent="0.25">
      <c r="A43" t="b">
        <v>0</v>
      </c>
      <c r="B43">
        <v>1000</v>
      </c>
      <c r="C43" s="4">
        <v>0.29206519970808298</v>
      </c>
      <c r="D43" t="s">
        <v>52</v>
      </c>
      <c r="E43" t="b">
        <v>1</v>
      </c>
      <c r="F43" t="s">
        <v>53</v>
      </c>
      <c r="G43">
        <v>7.4999999999999997E-2</v>
      </c>
      <c r="H43">
        <v>0.25</v>
      </c>
      <c r="I43">
        <v>1E-4</v>
      </c>
      <c r="J43" t="b">
        <v>1</v>
      </c>
      <c r="K43" s="5">
        <v>5</v>
      </c>
      <c r="L43" s="5">
        <v>1500</v>
      </c>
      <c r="M43" s="5">
        <v>0.3</v>
      </c>
      <c r="N43">
        <v>0.154</v>
      </c>
      <c r="O43" t="s">
        <v>88</v>
      </c>
      <c r="P43" t="s">
        <v>89</v>
      </c>
      <c r="Q43">
        <v>-2.2741601717686001E-4</v>
      </c>
      <c r="R43">
        <v>1.1526545205477301E-3</v>
      </c>
      <c r="S43">
        <v>8.39300385162113E-4</v>
      </c>
      <c r="T43">
        <v>-7.5108212756081396E-3</v>
      </c>
      <c r="U43">
        <v>5.0087976074971303</v>
      </c>
      <c r="V43" s="1">
        <v>9.9999999999999905E-15</v>
      </c>
      <c r="W43">
        <v>0.34031658019692401</v>
      </c>
      <c r="X43">
        <v>2.4999999999999898</v>
      </c>
      <c r="Y43">
        <v>15.4730244574554</v>
      </c>
      <c r="Z43">
        <v>0.49999999999988298</v>
      </c>
      <c r="AA43">
        <v>28.099279284377001</v>
      </c>
      <c r="AB43" s="9">
        <f t="shared" si="0"/>
        <v>-0.35795628875625524</v>
      </c>
      <c r="AC43" s="9">
        <f t="shared" si="1"/>
        <v>-0.36797643551600373</v>
      </c>
      <c r="AD43" s="2">
        <f t="shared" si="2"/>
        <v>2.7992654618708368E-2</v>
      </c>
      <c r="AE43" s="8">
        <f t="shared" si="3"/>
        <v>8.275574844472125E-3</v>
      </c>
      <c r="AF43" s="2">
        <f t="shared" si="4"/>
        <v>-3.4070331438511934E-3</v>
      </c>
      <c r="AG43" s="8">
        <f t="shared" si="5"/>
        <v>1.1682607988323318E-2</v>
      </c>
      <c r="AH43" s="7">
        <f t="shared" si="6"/>
        <v>-0.29163292539272895</v>
      </c>
    </row>
    <row r="44" spans="1:34" x14ac:dyDescent="0.25">
      <c r="A44" t="b">
        <v>0</v>
      </c>
      <c r="B44">
        <v>1000</v>
      </c>
      <c r="C44" s="4">
        <v>1.9471013313875501E-2</v>
      </c>
      <c r="D44" t="s">
        <v>52</v>
      </c>
      <c r="E44" t="b">
        <v>1</v>
      </c>
      <c r="F44" t="s">
        <v>53</v>
      </c>
      <c r="G44">
        <v>7.4999999999999997E-2</v>
      </c>
      <c r="H44">
        <v>0.25</v>
      </c>
      <c r="I44">
        <v>1E-4</v>
      </c>
      <c r="J44" t="b">
        <v>1</v>
      </c>
      <c r="K44">
        <v>8</v>
      </c>
      <c r="L44">
        <v>1500</v>
      </c>
      <c r="M44">
        <v>0.02</v>
      </c>
      <c r="N44">
        <v>0.154</v>
      </c>
      <c r="O44" t="s">
        <v>62</v>
      </c>
      <c r="P44" t="s">
        <v>63</v>
      </c>
      <c r="Q44">
        <v>-4.1409424558153199E-4</v>
      </c>
      <c r="R44">
        <v>8.6741855425300392E-3</v>
      </c>
      <c r="S44">
        <v>2.1245320878027899E-3</v>
      </c>
      <c r="T44">
        <v>-4.5284364639122901E-2</v>
      </c>
      <c r="U44">
        <v>7.9942200472269898</v>
      </c>
      <c r="V44" s="1">
        <v>9.9999999999999905E-15</v>
      </c>
      <c r="W44">
        <v>1.40430861519239</v>
      </c>
      <c r="X44">
        <v>2.4999999999999898</v>
      </c>
      <c r="Y44">
        <v>64.052921024898296</v>
      </c>
      <c r="Z44">
        <v>0.499999999999999</v>
      </c>
      <c r="AA44">
        <v>116.09751595012401</v>
      </c>
      <c r="AB44" s="9">
        <f t="shared" si="0"/>
        <v>-0.33304660426102045</v>
      </c>
      <c r="AC44" s="9">
        <f t="shared" si="1"/>
        <v>-0.33424575949082969</v>
      </c>
      <c r="AD44" s="2">
        <f t="shared" si="2"/>
        <v>3.6005628475630491E-3</v>
      </c>
      <c r="AE44" s="8">
        <f t="shared" si="3"/>
        <v>-9.5567223470523758E-5</v>
      </c>
      <c r="AF44" s="2">
        <f t="shared" si="4"/>
        <v>-3.9980180649982849E-4</v>
      </c>
      <c r="AG44" s="8">
        <f t="shared" si="5"/>
        <v>3.042345830293047E-4</v>
      </c>
      <c r="AH44" s="7">
        <f t="shared" si="6"/>
        <v>-1.3141234718254187</v>
      </c>
    </row>
    <row r="45" spans="1:34" x14ac:dyDescent="0.25">
      <c r="A45" t="b">
        <v>0</v>
      </c>
      <c r="B45">
        <v>1000</v>
      </c>
      <c r="C45" s="4">
        <v>0.116826079883239</v>
      </c>
      <c r="D45" t="s">
        <v>52</v>
      </c>
      <c r="E45" t="b">
        <v>1</v>
      </c>
      <c r="F45" t="s">
        <v>53</v>
      </c>
      <c r="G45">
        <v>7.4999999999999997E-2</v>
      </c>
      <c r="H45">
        <v>0.25</v>
      </c>
      <c r="I45">
        <v>1E-4</v>
      </c>
      <c r="J45" t="b">
        <v>1</v>
      </c>
      <c r="K45">
        <v>8</v>
      </c>
      <c r="L45">
        <v>1500</v>
      </c>
      <c r="M45">
        <v>0.12</v>
      </c>
      <c r="N45">
        <v>0.154</v>
      </c>
      <c r="O45" t="s">
        <v>72</v>
      </c>
      <c r="P45" t="s">
        <v>73</v>
      </c>
      <c r="Q45">
        <v>-4.1280803886358799E-4</v>
      </c>
      <c r="R45">
        <v>8.5657299876066503E-3</v>
      </c>
      <c r="S45">
        <v>2.1248153767156799E-3</v>
      </c>
      <c r="T45">
        <v>-4.5508541973023002E-2</v>
      </c>
      <c r="U45">
        <v>7.9901070548882398</v>
      </c>
      <c r="V45" s="1">
        <v>9.9999999999999905E-15</v>
      </c>
      <c r="W45">
        <v>1.3921223418370301</v>
      </c>
      <c r="X45">
        <v>2.4999999999999898</v>
      </c>
      <c r="Y45">
        <v>63.519856184272001</v>
      </c>
      <c r="Z45">
        <v>0.499999999999999</v>
      </c>
      <c r="AA45">
        <v>114.98617471934401</v>
      </c>
      <c r="AB45" s="9">
        <f t="shared" si="0"/>
        <v>-0.33465070712523948</v>
      </c>
      <c r="AC45" s="9">
        <f t="shared" si="1"/>
        <v>-0.33879957770439839</v>
      </c>
      <c r="AD45" s="2">
        <f t="shared" si="2"/>
        <v>1.2397614858785433E-2</v>
      </c>
      <c r="AE45" s="8">
        <f t="shared" si="3"/>
        <v>4.3931751242776818E-4</v>
      </c>
      <c r="AF45" s="2">
        <f t="shared" si="4"/>
        <v>-1.3860899857478411E-3</v>
      </c>
      <c r="AG45" s="8">
        <f t="shared" si="5"/>
        <v>1.8254074981756093E-3</v>
      </c>
      <c r="AH45" s="7">
        <f t="shared" si="6"/>
        <v>-0.75933181338038713</v>
      </c>
    </row>
    <row r="46" spans="1:34" x14ac:dyDescent="0.25">
      <c r="A46" t="b">
        <v>0</v>
      </c>
      <c r="B46">
        <v>1000</v>
      </c>
      <c r="C46" s="4">
        <v>0.23365215976647799</v>
      </c>
      <c r="D46" t="s">
        <v>52</v>
      </c>
      <c r="E46" t="b">
        <v>1</v>
      </c>
      <c r="F46" t="s">
        <v>53</v>
      </c>
      <c r="G46">
        <v>7.4999999999999997E-2</v>
      </c>
      <c r="H46">
        <v>0.25</v>
      </c>
      <c r="I46">
        <v>1E-4</v>
      </c>
      <c r="J46" t="b">
        <v>1</v>
      </c>
      <c r="K46">
        <v>8</v>
      </c>
      <c r="L46">
        <v>1500</v>
      </c>
      <c r="M46">
        <v>0.24</v>
      </c>
      <c r="N46">
        <v>0.154</v>
      </c>
      <c r="O46" t="s">
        <v>84</v>
      </c>
      <c r="P46" t="s">
        <v>85</v>
      </c>
      <c r="Q46">
        <v>-4.1127671350983799E-4</v>
      </c>
      <c r="R46">
        <v>8.7276986889197293E-3</v>
      </c>
      <c r="S46">
        <v>2.12514562990818E-3</v>
      </c>
      <c r="T46">
        <v>-4.5775069659519399E-2</v>
      </c>
      <c r="U46">
        <v>7.9852082666684296</v>
      </c>
      <c r="V46" s="1">
        <v>9.9999999999999905E-15</v>
      </c>
      <c r="W46">
        <v>1.4280392946439999</v>
      </c>
      <c r="X46">
        <v>2.4999999999999898</v>
      </c>
      <c r="Y46">
        <v>64.831398471681993</v>
      </c>
      <c r="Z46">
        <v>0.499999999999999</v>
      </c>
      <c r="AA46">
        <v>117.641116937067</v>
      </c>
      <c r="AB46" s="9">
        <f t="shared" si="0"/>
        <v>-0.3365583296335759</v>
      </c>
      <c r="AC46" s="9">
        <f t="shared" si="1"/>
        <v>-0.34424593842008705</v>
      </c>
      <c r="AD46" s="2">
        <f t="shared" si="2"/>
        <v>2.284183188953004E-2</v>
      </c>
      <c r="AE46" s="8">
        <f t="shared" si="3"/>
        <v>1.0761556327255316E-3</v>
      </c>
      <c r="AF46" s="2">
        <f t="shared" si="4"/>
        <v>-2.5746593636256868E-3</v>
      </c>
      <c r="AG46" s="8">
        <f t="shared" si="5"/>
        <v>3.6508149963512186E-3</v>
      </c>
      <c r="AH46" s="7">
        <f t="shared" si="6"/>
        <v>-0.70522865886080566</v>
      </c>
    </row>
    <row r="47" spans="1:34" x14ac:dyDescent="0.25">
      <c r="A47" t="b">
        <v>0</v>
      </c>
      <c r="B47">
        <v>1000</v>
      </c>
      <c r="C47" s="4">
        <v>0.29206519970809097</v>
      </c>
      <c r="D47" t="s">
        <v>52</v>
      </c>
      <c r="E47" t="b">
        <v>1</v>
      </c>
      <c r="F47" t="s">
        <v>53</v>
      </c>
      <c r="G47">
        <v>7.4999999999999997E-2</v>
      </c>
      <c r="H47">
        <v>0.25</v>
      </c>
      <c r="I47">
        <v>1E-4</v>
      </c>
      <c r="J47" t="b">
        <v>1</v>
      </c>
      <c r="K47">
        <v>8</v>
      </c>
      <c r="L47">
        <v>1500</v>
      </c>
      <c r="M47">
        <v>0.3</v>
      </c>
      <c r="N47">
        <v>0.154</v>
      </c>
      <c r="O47" t="s">
        <v>92</v>
      </c>
      <c r="P47" t="s">
        <v>93</v>
      </c>
      <c r="Q47">
        <v>-4.1051597395132998E-4</v>
      </c>
      <c r="R47">
        <v>8.7345200740815108E-3</v>
      </c>
      <c r="S47">
        <v>2.1253068428825502E-3</v>
      </c>
      <c r="T47">
        <v>-4.5907325498080902E-2</v>
      </c>
      <c r="U47">
        <v>7.9827738425746997</v>
      </c>
      <c r="V47" s="1">
        <v>9.9999999999999905E-15</v>
      </c>
      <c r="W47">
        <v>1.4059683146775901</v>
      </c>
      <c r="X47">
        <v>2.4999999999999898</v>
      </c>
      <c r="Y47">
        <v>65.392256912847799</v>
      </c>
      <c r="Z47">
        <v>0.499999999999999</v>
      </c>
      <c r="AA47">
        <v>117.791393255869</v>
      </c>
      <c r="AB47" s="9">
        <f t="shared" si="0"/>
        <v>-0.33750512934623528</v>
      </c>
      <c r="AC47" s="9">
        <f t="shared" si="1"/>
        <v>-0.34696169627987389</v>
      </c>
      <c r="AD47" s="2">
        <f t="shared" si="2"/>
        <v>2.8019031746143952E-2</v>
      </c>
      <c r="AE47" s="8">
        <f t="shared" si="3"/>
        <v>1.3925351284662414E-3</v>
      </c>
      <c r="AF47" s="2">
        <f t="shared" si="4"/>
        <v>-3.17098361697268E-3</v>
      </c>
      <c r="AG47" s="8">
        <f t="shared" si="5"/>
        <v>4.5635187454389214E-3</v>
      </c>
      <c r="AH47" s="7">
        <f t="shared" si="6"/>
        <v>-0.69485495597930169</v>
      </c>
    </row>
    <row r="48" spans="1:34" x14ac:dyDescent="0.25">
      <c r="AC48" s="9" t="e">
        <f t="shared" si="1"/>
        <v>#DIV/0!</v>
      </c>
      <c r="AD48" s="2" t="e">
        <f t="shared" si="2"/>
        <v>#DIV/0!</v>
      </c>
      <c r="AE48" s="8">
        <f t="shared" si="3"/>
        <v>-0.1</v>
      </c>
      <c r="AF48" s="2" t="e">
        <f t="shared" si="4"/>
        <v>#DIV/0!</v>
      </c>
      <c r="AG48" s="8" t="e">
        <f t="shared" si="5"/>
        <v>#DIV/0!</v>
      </c>
      <c r="AH48" s="7" t="e">
        <f t="shared" si="6"/>
        <v>#DIV/0!</v>
      </c>
    </row>
    <row r="49" spans="1:36" x14ac:dyDescent="0.25">
      <c r="A49" s="3">
        <v>40634</v>
      </c>
      <c r="AC49" s="9" t="e">
        <f t="shared" si="1"/>
        <v>#DIV/0!</v>
      </c>
      <c r="AD49" s="2" t="e">
        <f t="shared" si="2"/>
        <v>#DIV/0!</v>
      </c>
      <c r="AE49" s="8">
        <f t="shared" si="3"/>
        <v>-0.1</v>
      </c>
      <c r="AF49" s="2" t="e">
        <f t="shared" si="4"/>
        <v>#DIV/0!</v>
      </c>
      <c r="AG49" s="8" t="e">
        <f t="shared" si="5"/>
        <v>#DIV/0!</v>
      </c>
      <c r="AH49" s="7" t="e">
        <f t="shared" si="6"/>
        <v>#DIV/0!</v>
      </c>
    </row>
    <row r="50" spans="1:36" x14ac:dyDescent="0.25">
      <c r="A50" t="s">
        <v>25</v>
      </c>
      <c r="B50" t="s">
        <v>26</v>
      </c>
      <c r="C50" t="s">
        <v>27</v>
      </c>
      <c r="D50" t="s">
        <v>28</v>
      </c>
      <c r="E50" t="s">
        <v>29</v>
      </c>
      <c r="F50" t="s">
        <v>30</v>
      </c>
      <c r="G50" t="s">
        <v>31</v>
      </c>
      <c r="H50" t="s">
        <v>32</v>
      </c>
      <c r="I50" t="s">
        <v>33</v>
      </c>
      <c r="J50" t="s">
        <v>34</v>
      </c>
      <c r="K50" t="s">
        <v>35</v>
      </c>
      <c r="L50" t="s">
        <v>36</v>
      </c>
      <c r="M50" t="s">
        <v>37</v>
      </c>
      <c r="N50" t="s">
        <v>38</v>
      </c>
      <c r="O50" t="s">
        <v>39</v>
      </c>
      <c r="P50" t="s">
        <v>40</v>
      </c>
      <c r="Q50" t="s">
        <v>41</v>
      </c>
      <c r="R50" t="s">
        <v>42</v>
      </c>
      <c r="S50" t="s">
        <v>43</v>
      </c>
      <c r="T50" t="s">
        <v>44</v>
      </c>
      <c r="U50" t="s">
        <v>45</v>
      </c>
      <c r="V50" t="s">
        <v>46</v>
      </c>
      <c r="W50" t="s">
        <v>47</v>
      </c>
      <c r="X50" t="s">
        <v>48</v>
      </c>
      <c r="Y50" t="s">
        <v>49</v>
      </c>
      <c r="Z50" t="s">
        <v>50</v>
      </c>
      <c r="AA50" t="s">
        <v>51</v>
      </c>
      <c r="AC50" s="9" t="e">
        <f t="shared" si="1"/>
        <v>#VALUE!</v>
      </c>
      <c r="AD50" s="2" t="e">
        <f t="shared" si="2"/>
        <v>#VALUE!</v>
      </c>
      <c r="AE50" s="8">
        <f t="shared" si="3"/>
        <v>-0.1</v>
      </c>
      <c r="AF50" s="2" t="e">
        <f t="shared" si="4"/>
        <v>#VALUE!</v>
      </c>
      <c r="AG50" s="8" t="e">
        <f t="shared" si="5"/>
        <v>#VALUE!</v>
      </c>
      <c r="AH50" s="7" t="e">
        <f t="shared" si="6"/>
        <v>#VALUE!</v>
      </c>
    </row>
    <row r="51" spans="1:36" x14ac:dyDescent="0.25">
      <c r="A51" t="b">
        <v>0</v>
      </c>
      <c r="B51">
        <v>1000</v>
      </c>
      <c r="C51">
        <v>1.9999999999589999E-4</v>
      </c>
      <c r="D51" t="s">
        <v>52</v>
      </c>
      <c r="E51" t="b">
        <v>1</v>
      </c>
      <c r="F51" t="s">
        <v>53</v>
      </c>
      <c r="G51">
        <v>7.4999999999999997E-2</v>
      </c>
      <c r="H51">
        <v>0.25</v>
      </c>
      <c r="I51">
        <v>1E-4</v>
      </c>
      <c r="J51" t="b">
        <v>1</v>
      </c>
      <c r="K51" s="6">
        <v>4.0999999999999996</v>
      </c>
      <c r="L51" s="6">
        <v>1500</v>
      </c>
      <c r="M51" s="6">
        <v>2.0000000000000001E-4</v>
      </c>
      <c r="N51" s="6">
        <v>0.154</v>
      </c>
      <c r="O51" t="s">
        <v>110</v>
      </c>
      <c r="P51" t="s">
        <v>111</v>
      </c>
      <c r="Q51">
        <v>-1.8419051048884199E-4</v>
      </c>
      <c r="R51" s="1">
        <v>3.2022731234793E-7</v>
      </c>
      <c r="S51">
        <v>5.5899265480798899E-4</v>
      </c>
      <c r="T51">
        <v>-3.1320476152736899E-3</v>
      </c>
      <c r="U51">
        <v>4.0993449725940199</v>
      </c>
      <c r="V51" s="1">
        <v>-1.0708569172192501E-15</v>
      </c>
      <c r="W51" s="1">
        <v>3.2420358933402902E-4</v>
      </c>
      <c r="X51">
        <v>4.0019332741260198</v>
      </c>
      <c r="Y51">
        <v>5.1937055060010499E-3</v>
      </c>
      <c r="Z51">
        <v>0.19155381591248799</v>
      </c>
      <c r="AA51">
        <v>2.7710193377234401E-2</v>
      </c>
      <c r="AB51" s="9">
        <f>T51/S51/K51^2</f>
        <v>-0.3333147564795203</v>
      </c>
      <c r="AC51" s="9">
        <f t="shared" si="1"/>
        <v>-0.33336902594853046</v>
      </c>
      <c r="AD51" s="2">
        <f t="shared" si="2"/>
        <v>1.6281748094004733E-4</v>
      </c>
      <c r="AE51" s="8">
        <f t="shared" si="3"/>
        <v>-6.1922462601863713E-6</v>
      </c>
      <c r="AF51" s="2">
        <f t="shared" si="4"/>
        <v>-1.8089926212351748E-5</v>
      </c>
      <c r="AG51" s="8">
        <f t="shared" si="5"/>
        <v>1.1897679952165378E-5</v>
      </c>
      <c r="AH51" s="7">
        <f t="shared" si="6"/>
        <v>-1.5204582981793338</v>
      </c>
    </row>
    <row r="52" spans="1:36" x14ac:dyDescent="0.25">
      <c r="A52" t="b">
        <v>0</v>
      </c>
      <c r="B52">
        <v>1000</v>
      </c>
      <c r="C52">
        <v>1.9999999999996E-2</v>
      </c>
      <c r="D52" t="s">
        <v>52</v>
      </c>
      <c r="E52" t="b">
        <v>1</v>
      </c>
      <c r="F52" t="s">
        <v>53</v>
      </c>
      <c r="G52">
        <v>7.4999999999999997E-2</v>
      </c>
      <c r="H52">
        <v>0.25</v>
      </c>
      <c r="I52">
        <v>1E-4</v>
      </c>
      <c r="J52" t="b">
        <v>1</v>
      </c>
      <c r="K52">
        <v>5.0999999999999996</v>
      </c>
      <c r="L52">
        <v>1500</v>
      </c>
      <c r="M52">
        <v>0.02</v>
      </c>
      <c r="N52">
        <v>0.154</v>
      </c>
      <c r="O52" t="s">
        <v>94</v>
      </c>
      <c r="P52" t="s">
        <v>95</v>
      </c>
      <c r="Q52" s="1">
        <v>-2.8513597906600503E-4</v>
      </c>
      <c r="R52" s="1">
        <v>1.3124227999739301E-6</v>
      </c>
      <c r="S52">
        <v>8.6514501532235905E-4</v>
      </c>
      <c r="T52">
        <v>-7.5332179026259801E-3</v>
      </c>
      <c r="U52">
        <v>5.0993332514464997</v>
      </c>
      <c r="V52" s="1">
        <v>-2.7756936920018999E-15</v>
      </c>
      <c r="W52" s="1">
        <v>8.6403391236979598E-4</v>
      </c>
      <c r="X52">
        <v>4.9985062713663302</v>
      </c>
      <c r="Y52">
        <v>1.6140908960551599E-2</v>
      </c>
      <c r="Z52">
        <v>0.30428345045610899</v>
      </c>
      <c r="AA52">
        <v>0.114439264123446</v>
      </c>
      <c r="AB52" s="9">
        <f>T52/S52/K52^2</f>
        <v>-0.33477365029118283</v>
      </c>
      <c r="AC52" s="9">
        <f t="shared" si="1"/>
        <v>-0.33563836598796215</v>
      </c>
      <c r="AD52" s="2">
        <f t="shared" si="2"/>
        <v>2.5829861341453153E-3</v>
      </c>
      <c r="AE52" s="8">
        <f t="shared" si="3"/>
        <v>4.8033626477236792E-4</v>
      </c>
      <c r="AF52" s="2">
        <f t="shared" si="4"/>
        <v>-2.8859876021786668E-4</v>
      </c>
      <c r="AG52" s="8">
        <f t="shared" si="5"/>
        <v>7.689350249902346E-4</v>
      </c>
      <c r="AH52" s="7">
        <f t="shared" si="6"/>
        <v>-0.37532268766341065</v>
      </c>
    </row>
    <row r="53" spans="1:36" x14ac:dyDescent="0.25">
      <c r="A53" t="b">
        <v>0</v>
      </c>
      <c r="B53">
        <v>1000</v>
      </c>
      <c r="C53">
        <v>2.0000000000001301E-2</v>
      </c>
      <c r="D53" t="s">
        <v>52</v>
      </c>
      <c r="E53" t="b">
        <v>1</v>
      </c>
      <c r="F53" t="s">
        <v>53</v>
      </c>
      <c r="G53">
        <v>7.4999999999999997E-2</v>
      </c>
      <c r="H53">
        <v>0.25</v>
      </c>
      <c r="I53">
        <v>1E-4</v>
      </c>
      <c r="J53" t="b">
        <v>1</v>
      </c>
      <c r="K53">
        <v>2.1</v>
      </c>
      <c r="L53">
        <v>1500</v>
      </c>
      <c r="M53">
        <v>0.02</v>
      </c>
      <c r="N53">
        <v>0.154</v>
      </c>
      <c r="O53" t="s">
        <v>96</v>
      </c>
      <c r="P53" t="s">
        <v>97</v>
      </c>
      <c r="Q53" s="1">
        <v>-4.9118641579301303E-5</v>
      </c>
      <c r="R53" s="1">
        <v>8.6736734404988692E-9</v>
      </c>
      <c r="S53">
        <v>1.4743985418791801E-4</v>
      </c>
      <c r="T53">
        <v>-2.2544180017381899E-4</v>
      </c>
      <c r="U53">
        <v>2.1041144192349099</v>
      </c>
      <c r="V53" s="1">
        <v>7.7931197877919996E-16</v>
      </c>
      <c r="W53" s="1">
        <v>1.7270858418738699E-5</v>
      </c>
      <c r="X53">
        <v>2.1388508519386198</v>
      </c>
      <c r="Y53">
        <v>8.0869672760407402E-4</v>
      </c>
      <c r="Z53">
        <v>2.6150631100877201E-3</v>
      </c>
      <c r="AA53">
        <v>8.0792700257659796E-4</v>
      </c>
      <c r="AB53" s="9">
        <f>T53/S53/K53^2</f>
        <v>-0.34672165060215326</v>
      </c>
      <c r="AC53" s="9">
        <f t="shared" si="1"/>
        <v>-0.34687735139202497</v>
      </c>
      <c r="AD53" s="2">
        <f t="shared" si="2"/>
        <v>4.4906566867486397E-4</v>
      </c>
      <c r="AE53" s="8">
        <f t="shared" si="3"/>
        <v>4.4827780411602217E-3</v>
      </c>
      <c r="AF53" s="2">
        <f t="shared" si="4"/>
        <v>-5.2369351130322761E-5</v>
      </c>
      <c r="AG53" s="8">
        <f t="shared" si="5"/>
        <v>4.5351473922905445E-3</v>
      </c>
      <c r="AH53" s="7">
        <f t="shared" si="6"/>
        <v>-1.1547441924235418E-2</v>
      </c>
    </row>
    <row r="54" spans="1:36" x14ac:dyDescent="0.25">
      <c r="A54" t="b">
        <v>0</v>
      </c>
      <c r="B54">
        <v>1000</v>
      </c>
      <c r="C54">
        <v>0.119999999999997</v>
      </c>
      <c r="D54" t="s">
        <v>52</v>
      </c>
      <c r="E54" t="b">
        <v>1</v>
      </c>
      <c r="F54" t="s">
        <v>53</v>
      </c>
      <c r="G54">
        <v>7.4999999999999997E-2</v>
      </c>
      <c r="H54">
        <v>0.25</v>
      </c>
      <c r="I54">
        <v>1E-4</v>
      </c>
      <c r="J54" t="b">
        <v>1</v>
      </c>
      <c r="K54">
        <v>5.0999999999999996</v>
      </c>
      <c r="L54">
        <v>1500</v>
      </c>
      <c r="M54">
        <v>0.12</v>
      </c>
      <c r="N54">
        <v>0.154</v>
      </c>
      <c r="O54" t="s">
        <v>98</v>
      </c>
      <c r="P54" t="s">
        <v>99</v>
      </c>
      <c r="Q54" s="1">
        <v>-2.8427686897246601E-4</v>
      </c>
      <c r="R54" s="1">
        <v>1.56470965374415E-6</v>
      </c>
      <c r="S54">
        <v>8.6795044961711604E-4</v>
      </c>
      <c r="T54">
        <v>-7.7419096901898002E-3</v>
      </c>
      <c r="U54">
        <v>5.1024304434363401</v>
      </c>
      <c r="V54" s="1">
        <v>7.4813784798444394E-15</v>
      </c>
      <c r="W54" s="1">
        <v>9.4876602798165603E-4</v>
      </c>
      <c r="X54">
        <v>4.9999757585140401</v>
      </c>
      <c r="Y54" s="1">
        <v>2.1424317168020599E-2</v>
      </c>
      <c r="Z54">
        <v>0.47551777537178502</v>
      </c>
      <c r="AA54" s="1">
        <v>0.13609366310278001</v>
      </c>
      <c r="AB54" s="9">
        <f t="shared" ref="AB54:AB60" si="7">T54/S54/K54^2</f>
        <v>-0.3429357933811496</v>
      </c>
      <c r="AC54" s="9">
        <f t="shared" si="1"/>
        <v>-0.34711060084194378</v>
      </c>
      <c r="AD54" s="2">
        <f t="shared" si="2"/>
        <v>1.2173729139303369E-2</v>
      </c>
      <c r="AE54" s="8">
        <f t="shared" si="3"/>
        <v>3.2110981632127045E-3</v>
      </c>
      <c r="AF54" s="2">
        <f t="shared" si="4"/>
        <v>-1.4025119867295101E-3</v>
      </c>
      <c r="AG54" s="8">
        <f t="shared" si="5"/>
        <v>4.6136101499422147E-3</v>
      </c>
      <c r="AH54" s="7">
        <f t="shared" si="6"/>
        <v>-0.30399447312362893</v>
      </c>
    </row>
    <row r="55" spans="1:36" x14ac:dyDescent="0.25">
      <c r="A55" t="b">
        <v>0</v>
      </c>
      <c r="B55">
        <v>1000</v>
      </c>
      <c r="C55">
        <v>0.12</v>
      </c>
      <c r="D55" t="s">
        <v>52</v>
      </c>
      <c r="E55" t="b">
        <v>1</v>
      </c>
      <c r="F55" t="s">
        <v>53</v>
      </c>
      <c r="G55">
        <v>7.4999999999999997E-2</v>
      </c>
      <c r="H55">
        <v>0.25</v>
      </c>
      <c r="I55">
        <v>1E-4</v>
      </c>
      <c r="J55" t="b">
        <v>1</v>
      </c>
      <c r="K55">
        <v>2.1</v>
      </c>
      <c r="L55">
        <v>1500</v>
      </c>
      <c r="M55">
        <v>0.12</v>
      </c>
      <c r="N55">
        <v>0.154</v>
      </c>
      <c r="O55" t="s">
        <v>100</v>
      </c>
      <c r="P55" t="s">
        <v>101</v>
      </c>
      <c r="Q55" s="1">
        <v>-5.0215767770369897E-5</v>
      </c>
      <c r="R55" s="1">
        <v>4.3160363776717603E-8</v>
      </c>
      <c r="S55">
        <v>1.5074761426318501E-4</v>
      </c>
      <c r="T55">
        <v>-2.72142062021329E-4</v>
      </c>
      <c r="U55">
        <v>2.12501216201971</v>
      </c>
      <c r="V55" s="1">
        <v>1.1858222619306E-15</v>
      </c>
      <c r="W55" s="1">
        <v>1.11582791316213E-4</v>
      </c>
      <c r="X55">
        <v>2.32354136644084</v>
      </c>
      <c r="Y55">
        <v>3.87756651686631E-3</v>
      </c>
      <c r="Z55">
        <v>3.6075224335163098E-3</v>
      </c>
      <c r="AA55">
        <v>4.6424656617912599E-3</v>
      </c>
      <c r="AB55" s="9">
        <f t="shared" si="7"/>
        <v>-0.40936115935930073</v>
      </c>
      <c r="AC55" s="9">
        <f t="shared" si="1"/>
        <v>-0.41280353200882997</v>
      </c>
      <c r="AD55" s="2">
        <f t="shared" si="2"/>
        <v>8.4091335262899136E-3</v>
      </c>
      <c r="AE55" s="8">
        <f t="shared" si="3"/>
        <v>2.6001555932263325E-2</v>
      </c>
      <c r="AF55" s="2">
        <f t="shared" si="4"/>
        <v>-1.2093284214781709E-3</v>
      </c>
      <c r="AG55" s="8">
        <f t="shared" si="5"/>
        <v>2.7210884353741496E-2</v>
      </c>
      <c r="AH55" s="7">
        <f t="shared" si="6"/>
        <v>-4.4442819489322785E-2</v>
      </c>
    </row>
    <row r="56" spans="1:36" x14ac:dyDescent="0.25">
      <c r="A56" t="b">
        <v>0</v>
      </c>
      <c r="B56">
        <v>1000</v>
      </c>
      <c r="C56">
        <v>0.168099999999999</v>
      </c>
      <c r="D56" t="s">
        <v>52</v>
      </c>
      <c r="E56" t="b">
        <v>1</v>
      </c>
      <c r="F56" t="s">
        <v>53</v>
      </c>
      <c r="G56">
        <v>7.4999999999999997E-2</v>
      </c>
      <c r="H56">
        <v>0.25</v>
      </c>
      <c r="I56">
        <v>1E-4</v>
      </c>
      <c r="J56" t="b">
        <v>1</v>
      </c>
      <c r="K56" s="6">
        <v>4.0999999999999996</v>
      </c>
      <c r="L56" s="6">
        <v>1500</v>
      </c>
      <c r="M56" s="6">
        <v>0.1681</v>
      </c>
      <c r="N56" s="6">
        <v>0.154</v>
      </c>
      <c r="O56" t="s">
        <v>112</v>
      </c>
      <c r="P56" t="s">
        <v>113</v>
      </c>
      <c r="Q56" s="1">
        <v>-1.8453659746270001E-4</v>
      </c>
      <c r="R56" s="1">
        <v>5.5906759992842097E-8</v>
      </c>
      <c r="S56">
        <v>5.6420059624452895E-4</v>
      </c>
      <c r="T56">
        <v>-3.38895200718574E-3</v>
      </c>
      <c r="U56">
        <v>4.1107474603887697</v>
      </c>
      <c r="V56" s="1">
        <v>9.0446713107185293E-15</v>
      </c>
      <c r="W56" s="1">
        <v>5.0858335176951698E-5</v>
      </c>
      <c r="X56">
        <v>4.0837736978961701</v>
      </c>
      <c r="Y56">
        <v>1.0042318701601401E-3</v>
      </c>
      <c r="Z56">
        <v>0.329125505800417</v>
      </c>
      <c r="AA56">
        <v>4.9918019095114797E-3</v>
      </c>
      <c r="AB56" s="9">
        <f t="shared" si="7"/>
        <v>-0.3573256269486082</v>
      </c>
      <c r="AC56" s="9">
        <f t="shared" si="1"/>
        <v>-0.36303630363036288</v>
      </c>
      <c r="AD56" s="2">
        <f t="shared" si="2"/>
        <v>1.5981715978563127E-2</v>
      </c>
      <c r="AE56" s="8">
        <f t="shared" si="3"/>
        <v>8.0619057416423338E-3</v>
      </c>
      <c r="AF56" s="2">
        <f t="shared" si="4"/>
        <v>-1.9380942583576075E-3</v>
      </c>
      <c r="AG56" s="8">
        <f t="shared" si="5"/>
        <v>9.9999999999999412E-3</v>
      </c>
      <c r="AH56" s="7">
        <f t="shared" si="6"/>
        <v>-0.19380942583576188</v>
      </c>
    </row>
    <row r="57" spans="1:36" x14ac:dyDescent="0.25">
      <c r="A57" t="b">
        <v>0</v>
      </c>
      <c r="B57">
        <v>1000</v>
      </c>
      <c r="C57">
        <v>0.23999999999999799</v>
      </c>
      <c r="D57" t="s">
        <v>52</v>
      </c>
      <c r="E57" t="b">
        <v>1</v>
      </c>
      <c r="F57" t="s">
        <v>53</v>
      </c>
      <c r="G57">
        <v>7.4999999999999997E-2</v>
      </c>
      <c r="H57">
        <v>0.25</v>
      </c>
      <c r="I57">
        <v>1E-4</v>
      </c>
      <c r="J57" t="b">
        <v>1</v>
      </c>
      <c r="K57" s="5">
        <v>5.0999999999999996</v>
      </c>
      <c r="L57" s="5">
        <v>1500</v>
      </c>
      <c r="M57" s="5">
        <v>0.24</v>
      </c>
      <c r="N57">
        <v>0.154</v>
      </c>
      <c r="O57" t="s">
        <v>104</v>
      </c>
      <c r="P57" t="s">
        <v>105</v>
      </c>
      <c r="Q57">
        <v>-2.83778798053993E-4</v>
      </c>
      <c r="R57" s="1">
        <v>1.78294395124577E-5</v>
      </c>
      <c r="S57">
        <v>8.7131156101556099E-4</v>
      </c>
      <c r="T57">
        <v>-7.9917707424041994E-3</v>
      </c>
      <c r="U57">
        <v>5.1061489634249497</v>
      </c>
      <c r="V57" s="1">
        <v>9.9999999999999905E-15</v>
      </c>
      <c r="W57">
        <v>1.07271816904489E-2</v>
      </c>
      <c r="X57">
        <v>4.9999999999999902</v>
      </c>
      <c r="Y57">
        <v>0.24629383193347101</v>
      </c>
      <c r="Z57">
        <v>0.49999999999998601</v>
      </c>
      <c r="AA57">
        <v>1.5521921486350601</v>
      </c>
      <c r="AB57" s="9">
        <f t="shared" si="7"/>
        <v>-0.35263806372346984</v>
      </c>
      <c r="AC57" s="9">
        <f t="shared" si="1"/>
        <v>-0.36076190476190451</v>
      </c>
      <c r="AD57" s="2">
        <f t="shared" si="2"/>
        <v>2.3037334519864006E-2</v>
      </c>
      <c r="AE57" s="8">
        <f t="shared" si="3"/>
        <v>6.4765863813590245E-3</v>
      </c>
      <c r="AF57" s="2">
        <f t="shared" si="4"/>
        <v>-2.7506339185255592E-3</v>
      </c>
      <c r="AG57" s="8">
        <f t="shared" si="5"/>
        <v>9.2272202998845837E-3</v>
      </c>
      <c r="AH57" s="7">
        <f t="shared" si="6"/>
        <v>-0.29809995092020991</v>
      </c>
    </row>
    <row r="58" spans="1:36" x14ac:dyDescent="0.25">
      <c r="A58" t="b">
        <v>0</v>
      </c>
      <c r="B58">
        <v>1000</v>
      </c>
      <c r="C58">
        <v>0.24</v>
      </c>
      <c r="D58" t="s">
        <v>52</v>
      </c>
      <c r="E58" t="b">
        <v>1</v>
      </c>
      <c r="F58" t="s">
        <v>53</v>
      </c>
      <c r="G58">
        <v>7.4999999999999997E-2</v>
      </c>
      <c r="H58">
        <v>0.25</v>
      </c>
      <c r="I58">
        <v>1E-4</v>
      </c>
      <c r="J58" t="b">
        <v>1</v>
      </c>
      <c r="K58" s="5">
        <v>2.1</v>
      </c>
      <c r="L58" s="5">
        <v>1500</v>
      </c>
      <c r="M58" s="5">
        <v>0.24</v>
      </c>
      <c r="N58">
        <v>0.154</v>
      </c>
      <c r="O58" t="s">
        <v>102</v>
      </c>
      <c r="P58" t="s">
        <v>103</v>
      </c>
      <c r="Q58" s="1">
        <v>-5.1400562815267599E-5</v>
      </c>
      <c r="R58" s="1">
        <v>8.7458191425057206E-8</v>
      </c>
      <c r="S58">
        <v>1.54716009798411E-4</v>
      </c>
      <c r="T58">
        <v>-3.28333927998501E-4</v>
      </c>
      <c r="U58">
        <v>2.1498215548345199</v>
      </c>
      <c r="V58" s="1">
        <v>4.9131842540224601E-15</v>
      </c>
      <c r="W58" s="1">
        <v>2.89485794451191E-4</v>
      </c>
      <c r="X58">
        <v>2.5036729001537501</v>
      </c>
      <c r="Y58">
        <v>6.2081101748003896E-3</v>
      </c>
      <c r="Z58">
        <v>2.1081498713060601E-2</v>
      </c>
      <c r="AA58">
        <v>1.06319898313284E-2</v>
      </c>
      <c r="AB58" s="9">
        <f t="shared" si="7"/>
        <v>-0.48121805859102162</v>
      </c>
      <c r="AC58" s="9">
        <f t="shared" si="1"/>
        <v>-0.48817204301075262</v>
      </c>
      <c r="AD58" s="2">
        <f t="shared" si="2"/>
        <v>1.4450796880091765E-2</v>
      </c>
      <c r="AE58" s="8">
        <f t="shared" si="3"/>
        <v>5.1850893463992166E-2</v>
      </c>
      <c r="AF58" s="2">
        <f t="shared" si="4"/>
        <v>-2.570875243490825E-3</v>
      </c>
      <c r="AG58" s="8">
        <f t="shared" si="5"/>
        <v>5.4421768707482991E-2</v>
      </c>
      <c r="AH58" s="7">
        <f t="shared" si="6"/>
        <v>-4.7239832599143911E-2</v>
      </c>
    </row>
    <row r="59" spans="1:36" x14ac:dyDescent="0.25">
      <c r="A59" t="b">
        <v>0</v>
      </c>
      <c r="B59">
        <v>1000</v>
      </c>
      <c r="C59">
        <v>0.29999999999999699</v>
      </c>
      <c r="D59" t="s">
        <v>52</v>
      </c>
      <c r="E59" t="b">
        <v>1</v>
      </c>
      <c r="F59" t="s">
        <v>53</v>
      </c>
      <c r="G59">
        <v>7.4999999999999997E-2</v>
      </c>
      <c r="H59">
        <v>0.25</v>
      </c>
      <c r="I59">
        <v>1E-4</v>
      </c>
      <c r="J59" t="b">
        <v>1</v>
      </c>
      <c r="K59">
        <v>5.0999999999999996</v>
      </c>
      <c r="L59">
        <v>1500</v>
      </c>
      <c r="M59">
        <v>0.3</v>
      </c>
      <c r="N59">
        <v>0.154</v>
      </c>
      <c r="O59" t="s">
        <v>106</v>
      </c>
      <c r="P59" t="s">
        <v>107</v>
      </c>
      <c r="Q59" s="1">
        <v>-2.8356887644904902E-4</v>
      </c>
      <c r="R59" s="1">
        <v>2.7922123223147399E-5</v>
      </c>
      <c r="S59">
        <v>8.7298990826675696E-4</v>
      </c>
      <c r="T59">
        <v>-8.1164689507801004E-3</v>
      </c>
      <c r="U59">
        <v>5.10800899309233</v>
      </c>
      <c r="V59" s="1">
        <v>9.9999999996829394E-15</v>
      </c>
      <c r="W59" s="1">
        <v>1.6785766329070799E-2</v>
      </c>
      <c r="X59">
        <v>4.9999999999995204</v>
      </c>
      <c r="Y59">
        <v>0.38677566680916398</v>
      </c>
      <c r="Z59">
        <v>0.49999999942428702</v>
      </c>
      <c r="AA59">
        <v>2.4327064393184501</v>
      </c>
      <c r="AB59" s="9">
        <f t="shared" si="7"/>
        <v>-0.35745185576616956</v>
      </c>
      <c r="AC59" s="9">
        <f t="shared" si="1"/>
        <v>-0.3675408589889772</v>
      </c>
      <c r="AD59" s="2">
        <f t="shared" si="2"/>
        <v>2.8224789045178333E-2</v>
      </c>
      <c r="AE59" s="8">
        <f t="shared" si="3"/>
        <v>8.1046649924221819E-3</v>
      </c>
      <c r="AF59" s="2">
        <f t="shared" si="4"/>
        <v>-3.4293603824335286E-3</v>
      </c>
      <c r="AG59" s="8">
        <f t="shared" si="5"/>
        <v>1.1534025374855711E-2</v>
      </c>
      <c r="AH59" s="7">
        <f t="shared" si="6"/>
        <v>-0.29732554515698989</v>
      </c>
    </row>
    <row r="60" spans="1:36" x14ac:dyDescent="0.25">
      <c r="A60" t="b">
        <v>0</v>
      </c>
      <c r="B60">
        <v>1000</v>
      </c>
      <c r="C60">
        <v>0.3</v>
      </c>
      <c r="D60" t="s">
        <v>52</v>
      </c>
      <c r="E60" t="b">
        <v>1</v>
      </c>
      <c r="F60" t="s">
        <v>53</v>
      </c>
      <c r="G60">
        <v>7.4999999999999997E-2</v>
      </c>
      <c r="H60">
        <v>0.25</v>
      </c>
      <c r="I60">
        <v>1E-4</v>
      </c>
      <c r="J60" t="b">
        <v>1</v>
      </c>
      <c r="K60">
        <v>2.1</v>
      </c>
      <c r="L60">
        <v>1500</v>
      </c>
      <c r="M60">
        <v>0.3</v>
      </c>
      <c r="N60">
        <v>0.154</v>
      </c>
      <c r="O60" t="s">
        <v>108</v>
      </c>
      <c r="P60" t="s">
        <v>109</v>
      </c>
      <c r="Q60" s="1">
        <v>-5.20498811218835E-5</v>
      </c>
      <c r="R60" s="1">
        <v>1.05176082112928E-7</v>
      </c>
      <c r="S60">
        <v>1.5669983275476599E-4</v>
      </c>
      <c r="T60">
        <v>-3.5649187303443599E-4</v>
      </c>
      <c r="U60">
        <v>2.1621195935378599</v>
      </c>
      <c r="V60" s="1">
        <v>4.9032927623604299E-15</v>
      </c>
      <c r="W60" s="1">
        <v>3.5586114558938198E-4</v>
      </c>
      <c r="X60">
        <v>2.59125202048333</v>
      </c>
      <c r="Y60">
        <v>7.0803723352904002E-3</v>
      </c>
      <c r="Z60">
        <v>2.3835830445909999E-2</v>
      </c>
      <c r="AA60">
        <v>1.35300308310432E-2</v>
      </c>
      <c r="AB60" s="9">
        <f t="shared" si="7"/>
        <v>-0.51587265919261682</v>
      </c>
      <c r="AC60" s="9">
        <f t="shared" si="1"/>
        <v>-0.52441613588110403</v>
      </c>
      <c r="AD60" s="2">
        <f t="shared" si="2"/>
        <v>1.6561212415983517E-2</v>
      </c>
      <c r="AE60" s="8">
        <f t="shared" si="3"/>
        <v>6.4788597595938149E-2</v>
      </c>
      <c r="AF60" s="2">
        <f t="shared" si="4"/>
        <v>-3.2386132884155844E-3</v>
      </c>
      <c r="AG60" s="8">
        <f t="shared" si="5"/>
        <v>6.8027210884353734E-2</v>
      </c>
      <c r="AH60" s="7">
        <f t="shared" si="6"/>
        <v>-4.7607615339709093E-2</v>
      </c>
    </row>
    <row r="62" spans="1:36" x14ac:dyDescent="0.25">
      <c r="A62" s="3">
        <v>42826</v>
      </c>
    </row>
    <row r="63" spans="1:36" x14ac:dyDescent="0.25">
      <c r="A63" t="s">
        <v>25</v>
      </c>
      <c r="B63" t="s">
        <v>26</v>
      </c>
      <c r="C63" t="s">
        <v>27</v>
      </c>
      <c r="D63" t="s">
        <v>28</v>
      </c>
      <c r="E63" t="s">
        <v>29</v>
      </c>
      <c r="F63" t="s">
        <v>30</v>
      </c>
      <c r="G63" t="s">
        <v>31</v>
      </c>
      <c r="H63" t="s">
        <v>32</v>
      </c>
      <c r="I63" t="s">
        <v>33</v>
      </c>
      <c r="J63" t="s">
        <v>34</v>
      </c>
      <c r="K63" t="s">
        <v>35</v>
      </c>
      <c r="L63" t="s">
        <v>36</v>
      </c>
      <c r="M63" t="s">
        <v>37</v>
      </c>
      <c r="N63" t="s">
        <v>38</v>
      </c>
      <c r="O63" t="s">
        <v>39</v>
      </c>
      <c r="P63" t="s">
        <v>40</v>
      </c>
      <c r="Q63" t="s">
        <v>41</v>
      </c>
      <c r="R63" t="s">
        <v>42</v>
      </c>
      <c r="S63" t="s">
        <v>43</v>
      </c>
      <c r="T63" t="s">
        <v>44</v>
      </c>
      <c r="U63" t="s">
        <v>45</v>
      </c>
      <c r="V63" t="s">
        <v>46</v>
      </c>
      <c r="W63" t="s">
        <v>47</v>
      </c>
      <c r="X63" t="s">
        <v>48</v>
      </c>
      <c r="Y63" t="s">
        <v>49</v>
      </c>
      <c r="Z63" t="s">
        <v>50</v>
      </c>
      <c r="AA63" t="s">
        <v>51</v>
      </c>
      <c r="AB63" s="9" t="s">
        <v>150</v>
      </c>
      <c r="AC63" s="9" t="s">
        <v>147</v>
      </c>
      <c r="AD63" t="s">
        <v>148</v>
      </c>
      <c r="AE63" t="s">
        <v>114</v>
      </c>
      <c r="AF63" t="s">
        <v>115</v>
      </c>
      <c r="AG63" t="s">
        <v>116</v>
      </c>
      <c r="AH63" t="s">
        <v>149</v>
      </c>
      <c r="AI63" t="s">
        <v>35</v>
      </c>
      <c r="AJ63" t="s">
        <v>37</v>
      </c>
    </row>
    <row r="64" spans="1:36" x14ac:dyDescent="0.25">
      <c r="A64" t="b">
        <v>0</v>
      </c>
      <c r="B64">
        <v>1000</v>
      </c>
      <c r="C64">
        <v>1.947101331367E-4</v>
      </c>
      <c r="D64" t="s">
        <v>52</v>
      </c>
      <c r="E64" t="b">
        <v>1</v>
      </c>
      <c r="F64" t="s">
        <v>53</v>
      </c>
      <c r="G64">
        <v>7.4999999999999997E-2</v>
      </c>
      <c r="H64">
        <v>0.25</v>
      </c>
      <c r="I64">
        <v>1E-4</v>
      </c>
      <c r="J64" t="b">
        <v>1</v>
      </c>
      <c r="K64">
        <v>6</v>
      </c>
      <c r="L64">
        <v>1500</v>
      </c>
      <c r="M64">
        <v>2.0000000000000001E-4</v>
      </c>
      <c r="N64">
        <v>0.154</v>
      </c>
      <c r="O64" t="s">
        <v>117</v>
      </c>
      <c r="P64" t="s">
        <v>118</v>
      </c>
      <c r="Q64">
        <v>-3.0176157160003803E-4</v>
      </c>
      <c r="R64">
        <v>2.6714728950447898E-3</v>
      </c>
      <c r="S64">
        <v>1.1962039366845E-3</v>
      </c>
      <c r="T64">
        <v>-1.43407449693664E-2</v>
      </c>
      <c r="U64">
        <v>5.9979080485693297</v>
      </c>
      <c r="V64" s="1">
        <v>9.9999999999999905E-15</v>
      </c>
      <c r="W64">
        <v>0.60179393728138797</v>
      </c>
      <c r="X64">
        <v>2.4999999999999898</v>
      </c>
      <c r="Y64">
        <v>26.774810571823402</v>
      </c>
      <c r="Z64">
        <v>0.499999999999999</v>
      </c>
      <c r="AA64">
        <v>49.163625952870397</v>
      </c>
      <c r="AB64" s="9">
        <f>T64/S64/K64^2</f>
        <v>-0.33301514458392117</v>
      </c>
      <c r="AC64" s="9">
        <f>(1+10*C64/K64^2)/(-3-3*C64/K64^2)</f>
        <v>-0.33334955909000252</v>
      </c>
      <c r="AD64" s="2">
        <f>(AC64/AB64-1)</f>
        <v>1.0042020956710918E-3</v>
      </c>
      <c r="AE64" s="8">
        <f>-(1+3*AB64)/(10+3*AB64)</f>
        <v>-1.0605166832147475E-4</v>
      </c>
      <c r="AF64" s="2">
        <f>(AE64-C64/K64^2)</f>
        <v>-1.1146028313082752E-4</v>
      </c>
      <c r="AG64" s="8">
        <f>C64/K64^2</f>
        <v>5.4086148093527774E-6</v>
      </c>
      <c r="AH64" s="7">
        <f>AF64/AG64</f>
        <v>-20.607916640335759</v>
      </c>
      <c r="AI64">
        <f>K64</f>
        <v>6</v>
      </c>
      <c r="AJ64" s="10">
        <f>C64</f>
        <v>1.947101331367E-4</v>
      </c>
    </row>
    <row r="65" spans="1:36" x14ac:dyDescent="0.25">
      <c r="A65" t="b">
        <v>0</v>
      </c>
      <c r="B65">
        <v>1000</v>
      </c>
      <c r="C65">
        <v>1.9471013313849999E-4</v>
      </c>
      <c r="D65" t="s">
        <v>52</v>
      </c>
      <c r="E65" t="b">
        <v>1</v>
      </c>
      <c r="F65" t="s">
        <v>53</v>
      </c>
      <c r="G65">
        <v>7.4999999999999997E-2</v>
      </c>
      <c r="H65">
        <v>0.25</v>
      </c>
      <c r="I65">
        <v>1E-4</v>
      </c>
      <c r="J65" t="b">
        <v>1</v>
      </c>
      <c r="K65">
        <v>2</v>
      </c>
      <c r="L65">
        <v>1500</v>
      </c>
      <c r="M65">
        <v>2.0000000000000001E-4</v>
      </c>
      <c r="N65">
        <v>0.154</v>
      </c>
      <c r="O65" t="s">
        <v>119</v>
      </c>
      <c r="P65" t="s">
        <v>120</v>
      </c>
      <c r="Q65" s="1">
        <v>-4.4379986479234301E-5</v>
      </c>
      <c r="R65" s="1">
        <v>5.7897848124224699E-8</v>
      </c>
      <c r="S65">
        <v>1.3314894087632499E-4</v>
      </c>
      <c r="T65">
        <v>-1.7793126162447199E-4</v>
      </c>
      <c r="U65">
        <v>1.9999657255831</v>
      </c>
      <c r="V65">
        <v>0</v>
      </c>
      <c r="W65" s="1">
        <v>8.9854418326452197E-5</v>
      </c>
      <c r="X65">
        <v>2</v>
      </c>
      <c r="Y65">
        <v>5.9148502716184596E-3</v>
      </c>
      <c r="Z65">
        <v>2.5000000000000001E-4</v>
      </c>
      <c r="AA65">
        <v>5.2255242595247798E-3</v>
      </c>
      <c r="AB65" s="9">
        <f t="shared" ref="AB65:AB87" si="8">T65/S65/K65^2</f>
        <v>-0.33408313361978398</v>
      </c>
      <c r="AC65" s="9">
        <f t="shared" ref="AC65:AC87" si="9">(1+10*C65/K65^2)/(-3-3*C65/K65^2)</f>
        <v>-0.3334793588250265</v>
      </c>
      <c r="AD65" s="2">
        <f t="shared" ref="AD65:AD87" si="10">(AC65/AB65-1)</f>
        <v>-1.8072591340233535E-3</v>
      </c>
      <c r="AE65" s="8">
        <f t="shared" ref="AE65:AE87" si="11">-(1+3*AB65)/(10+3*AB65)</f>
        <v>2.4999591115213999E-4</v>
      </c>
      <c r="AF65" s="2">
        <f t="shared" ref="AF65:AF87" si="12">(AE65-C65/K65^2)</f>
        <v>2.01318377867515E-4</v>
      </c>
      <c r="AG65" s="8">
        <f t="shared" ref="AG65:AG87" si="13">C65/K65^2</f>
        <v>4.8677533284624998E-5</v>
      </c>
      <c r="AH65" s="7">
        <f t="shared" ref="AH65:AH87" si="14">AF65/AG65</f>
        <v>4.1357555381940907</v>
      </c>
      <c r="AI65">
        <f t="shared" ref="AI65:AI87" si="15">K65</f>
        <v>2</v>
      </c>
      <c r="AJ65" s="10">
        <f t="shared" ref="AJ65:AJ87" si="16">C65</f>
        <v>1.9471013313849999E-4</v>
      </c>
    </row>
    <row r="66" spans="1:36" x14ac:dyDescent="0.25">
      <c r="A66" t="b">
        <v>0</v>
      </c>
      <c r="B66">
        <v>1000</v>
      </c>
      <c r="C66">
        <v>1.9471013314030001E-4</v>
      </c>
      <c r="D66" t="s">
        <v>52</v>
      </c>
      <c r="E66" t="b">
        <v>1</v>
      </c>
      <c r="F66" t="s">
        <v>53</v>
      </c>
      <c r="G66">
        <v>7.4999999999999997E-2</v>
      </c>
      <c r="H66">
        <v>0.25</v>
      </c>
      <c r="I66">
        <v>1E-4</v>
      </c>
      <c r="J66" t="b">
        <v>1</v>
      </c>
      <c r="K66">
        <v>4</v>
      </c>
      <c r="L66">
        <v>1500</v>
      </c>
      <c r="M66">
        <v>2.0000000000000001E-4</v>
      </c>
      <c r="N66">
        <v>0.154</v>
      </c>
      <c r="O66" t="s">
        <v>121</v>
      </c>
      <c r="P66" t="s">
        <v>122</v>
      </c>
      <c r="Q66">
        <v>-1.5600178552579999E-4</v>
      </c>
      <c r="R66">
        <v>2.9669927336023098E-4</v>
      </c>
      <c r="S66">
        <v>5.3207717233809404E-4</v>
      </c>
      <c r="T66">
        <v>-2.8377387571009902E-3</v>
      </c>
      <c r="U66">
        <v>3.9993931569591199</v>
      </c>
      <c r="V66" s="1">
        <v>9.9999999999994399E-15</v>
      </c>
      <c r="W66">
        <v>0.126649269936602</v>
      </c>
      <c r="X66">
        <v>2.4999999999999898</v>
      </c>
      <c r="Y66">
        <v>5.8293342054914898</v>
      </c>
      <c r="Z66">
        <v>0.49999999935834999</v>
      </c>
      <c r="AA66">
        <v>10.5348034311137</v>
      </c>
      <c r="AB66" s="9">
        <f t="shared" si="8"/>
        <v>-0.33333260951498617</v>
      </c>
      <c r="AC66" s="9">
        <f t="shared" si="9"/>
        <v>-0.3333698410390209</v>
      </c>
      <c r="AD66" s="2">
        <f t="shared" si="10"/>
        <v>1.1169481464445852E-4</v>
      </c>
      <c r="AE66" s="8">
        <f t="shared" si="11"/>
        <v>-2.4127272418248613E-7</v>
      </c>
      <c r="AF66" s="2">
        <f t="shared" si="12"/>
        <v>-1.2410656045451237E-5</v>
      </c>
      <c r="AG66" s="8">
        <f t="shared" si="13"/>
        <v>1.2169383321268751E-5</v>
      </c>
      <c r="AH66" s="7">
        <f t="shared" si="14"/>
        <v>-1.0198262079361744</v>
      </c>
      <c r="AI66">
        <f t="shared" si="15"/>
        <v>4</v>
      </c>
      <c r="AJ66" s="10">
        <f t="shared" si="16"/>
        <v>1.9471013314030001E-4</v>
      </c>
    </row>
    <row r="67" spans="1:36" x14ac:dyDescent="0.25">
      <c r="A67" t="b">
        <v>0</v>
      </c>
      <c r="B67">
        <v>1000</v>
      </c>
      <c r="C67">
        <v>9.7355066569360001E-3</v>
      </c>
      <c r="D67" t="s">
        <v>52</v>
      </c>
      <c r="E67" t="b">
        <v>1</v>
      </c>
      <c r="F67" t="s">
        <v>53</v>
      </c>
      <c r="G67">
        <v>7.4999999999999997E-2</v>
      </c>
      <c r="H67">
        <v>0.25</v>
      </c>
      <c r="I67">
        <v>1E-4</v>
      </c>
      <c r="J67" t="b">
        <v>1</v>
      </c>
      <c r="K67">
        <v>2</v>
      </c>
      <c r="L67">
        <v>1500</v>
      </c>
      <c r="M67">
        <v>0.01</v>
      </c>
      <c r="N67">
        <v>0.154</v>
      </c>
      <c r="O67" t="s">
        <v>123</v>
      </c>
      <c r="P67" t="s">
        <v>124</v>
      </c>
      <c r="Q67" s="1">
        <v>-4.4462947190018499E-5</v>
      </c>
      <c r="R67" s="1">
        <v>4.0805177224697099E-9</v>
      </c>
      <c r="S67">
        <v>1.33464837706376E-4</v>
      </c>
      <c r="T67">
        <v>-1.8198669406107099E-4</v>
      </c>
      <c r="U67">
        <v>2.0020981646804601</v>
      </c>
      <c r="V67" s="1">
        <v>7.1576803876179303E-16</v>
      </c>
      <c r="W67" s="1">
        <v>7.0694796871219799E-6</v>
      </c>
      <c r="X67">
        <v>2.0197827854871502</v>
      </c>
      <c r="Y67">
        <v>4.1621310984403802E-4</v>
      </c>
      <c r="Z67">
        <v>2.3292292823965401E-3</v>
      </c>
      <c r="AA67">
        <v>3.7428310152605698E-4</v>
      </c>
      <c r="AB67" s="9">
        <f t="shared" si="8"/>
        <v>-0.34088883856706059</v>
      </c>
      <c r="AC67" s="9">
        <f t="shared" si="9"/>
        <v>-0.34061723520723985</v>
      </c>
      <c r="AD67" s="2">
        <f t="shared" si="10"/>
        <v>-7.9675052126204626E-4</v>
      </c>
      <c r="AE67" s="8">
        <f t="shared" si="11"/>
        <v>2.5248606104279329E-3</v>
      </c>
      <c r="AF67" s="2">
        <f t="shared" si="12"/>
        <v>9.0983946193932876E-5</v>
      </c>
      <c r="AG67" s="8">
        <f t="shared" si="13"/>
        <v>2.433876664234E-3</v>
      </c>
      <c r="AH67" s="7">
        <f t="shared" si="14"/>
        <v>3.7382315846545874E-2</v>
      </c>
      <c r="AI67">
        <f t="shared" si="15"/>
        <v>2</v>
      </c>
      <c r="AJ67" s="10">
        <f t="shared" si="16"/>
        <v>9.7355066569360001E-3</v>
      </c>
    </row>
    <row r="68" spans="1:36" x14ac:dyDescent="0.25">
      <c r="A68" t="b">
        <v>0</v>
      </c>
      <c r="B68">
        <v>1000</v>
      </c>
      <c r="C68">
        <v>9.7355066569377001E-3</v>
      </c>
      <c r="D68" t="s">
        <v>52</v>
      </c>
      <c r="E68" t="b">
        <v>1</v>
      </c>
      <c r="F68" t="s">
        <v>53</v>
      </c>
      <c r="G68">
        <v>7.4999999999999997E-2</v>
      </c>
      <c r="H68">
        <v>0.25</v>
      </c>
      <c r="I68">
        <v>1E-4</v>
      </c>
      <c r="J68" t="b">
        <v>1</v>
      </c>
      <c r="K68">
        <v>4</v>
      </c>
      <c r="L68">
        <v>1500</v>
      </c>
      <c r="M68">
        <v>0.01</v>
      </c>
      <c r="N68">
        <v>0.154</v>
      </c>
      <c r="O68" t="s">
        <v>125</v>
      </c>
      <c r="P68" t="s">
        <v>126</v>
      </c>
      <c r="Q68">
        <v>-1.56012524650767E-4</v>
      </c>
      <c r="R68">
        <v>3.0250391219971499E-4</v>
      </c>
      <c r="S68">
        <v>5.3237520175207498E-4</v>
      </c>
      <c r="T68">
        <v>-2.8517908387804599E-3</v>
      </c>
      <c r="U68">
        <v>4.0000833815162098</v>
      </c>
      <c r="V68" s="1">
        <v>9.9999999999994494E-15</v>
      </c>
      <c r="W68">
        <v>0.12902859607579401</v>
      </c>
      <c r="X68">
        <v>2.4999999999999898</v>
      </c>
      <c r="Y68">
        <v>5.93817473499917</v>
      </c>
      <c r="Z68">
        <v>0.49999999938752399</v>
      </c>
      <c r="AA68">
        <v>10.7419704183222</v>
      </c>
      <c r="AB68" s="9">
        <f t="shared" si="8"/>
        <v>-0.33479569829171529</v>
      </c>
      <c r="AC68" s="9">
        <f t="shared" si="9"/>
        <v>-0.3351576308027493</v>
      </c>
      <c r="AD68" s="2">
        <f t="shared" si="10"/>
        <v>1.0810548429407429E-3</v>
      </c>
      <c r="AE68" s="8">
        <f t="shared" si="11"/>
        <v>4.8769271437263892E-4</v>
      </c>
      <c r="AF68" s="2">
        <f t="shared" si="12"/>
        <v>-1.2077645168596734E-4</v>
      </c>
      <c r="AG68" s="8">
        <f t="shared" si="13"/>
        <v>6.0846916605860626E-4</v>
      </c>
      <c r="AH68" s="7">
        <f t="shared" si="14"/>
        <v>-0.19849231222068933</v>
      </c>
      <c r="AI68">
        <f t="shared" si="15"/>
        <v>4</v>
      </c>
      <c r="AJ68" s="10">
        <f t="shared" si="16"/>
        <v>9.7355066569377001E-3</v>
      </c>
    </row>
    <row r="69" spans="1:36" x14ac:dyDescent="0.25">
      <c r="A69" t="b">
        <v>0</v>
      </c>
      <c r="B69">
        <v>1000</v>
      </c>
      <c r="C69">
        <v>9.7355066569377001E-3</v>
      </c>
      <c r="D69" t="s">
        <v>52</v>
      </c>
      <c r="E69" t="b">
        <v>1</v>
      </c>
      <c r="F69" t="s">
        <v>53</v>
      </c>
      <c r="G69">
        <v>7.4999999999999997E-2</v>
      </c>
      <c r="H69">
        <v>0.25</v>
      </c>
      <c r="I69">
        <v>1E-4</v>
      </c>
      <c r="J69" t="b">
        <v>1</v>
      </c>
      <c r="K69">
        <v>6</v>
      </c>
      <c r="L69">
        <v>1500</v>
      </c>
      <c r="M69">
        <v>0.01</v>
      </c>
      <c r="N69">
        <v>0.154</v>
      </c>
      <c r="O69" t="s">
        <v>127</v>
      </c>
      <c r="P69" t="s">
        <v>128</v>
      </c>
      <c r="Q69">
        <v>-3.01689564417464E-4</v>
      </c>
      <c r="R69">
        <v>2.6568474211083699E-3</v>
      </c>
      <c r="S69">
        <v>1.19642793771283E-3</v>
      </c>
      <c r="T69">
        <v>-1.43643284261368E-2</v>
      </c>
      <c r="U69">
        <v>5.9979507889290797</v>
      </c>
      <c r="V69" s="1">
        <v>9.9999999999999905E-15</v>
      </c>
      <c r="W69">
        <v>0.60019049400539104</v>
      </c>
      <c r="X69">
        <v>2.4999999999999898</v>
      </c>
      <c r="Y69">
        <v>26.622280778103899</v>
      </c>
      <c r="Z69">
        <v>0.499999999999999</v>
      </c>
      <c r="AA69">
        <v>48.9130654423195</v>
      </c>
      <c r="AB69" s="9">
        <f t="shared" si="8"/>
        <v>-0.33350033911028221</v>
      </c>
      <c r="AC69" s="9">
        <f t="shared" si="9"/>
        <v>-0.33414440621570463</v>
      </c>
      <c r="AD69" s="2">
        <f t="shared" si="10"/>
        <v>1.9312337346961694E-3</v>
      </c>
      <c r="AE69" s="8">
        <f t="shared" si="11"/>
        <v>5.567169148098776E-5</v>
      </c>
      <c r="AF69" s="2">
        <f t="shared" si="12"/>
        <v>-2.1475904898950391E-4</v>
      </c>
      <c r="AG69" s="8">
        <f t="shared" si="13"/>
        <v>2.7043074047049167E-4</v>
      </c>
      <c r="AH69" s="7">
        <f t="shared" si="14"/>
        <v>-0.79413697058207611</v>
      </c>
      <c r="AI69">
        <f t="shared" si="15"/>
        <v>6</v>
      </c>
      <c r="AJ69" s="10">
        <f t="shared" si="16"/>
        <v>9.7355066569377001E-3</v>
      </c>
    </row>
    <row r="70" spans="1:36" x14ac:dyDescent="0.25">
      <c r="A70" t="b">
        <v>0</v>
      </c>
      <c r="B70">
        <v>1000</v>
      </c>
      <c r="C70">
        <v>9.7355066569360105E-2</v>
      </c>
      <c r="D70" t="s">
        <v>52</v>
      </c>
      <c r="E70" t="b">
        <v>1</v>
      </c>
      <c r="F70" t="s">
        <v>53</v>
      </c>
      <c r="G70">
        <v>7.4999999999999997E-2</v>
      </c>
      <c r="H70">
        <v>0.25</v>
      </c>
      <c r="I70">
        <v>1E-4</v>
      </c>
      <c r="J70" t="b">
        <v>1</v>
      </c>
      <c r="K70">
        <v>2</v>
      </c>
      <c r="L70">
        <v>1500</v>
      </c>
      <c r="M70">
        <v>0.1</v>
      </c>
      <c r="N70">
        <v>0.154</v>
      </c>
      <c r="O70" t="s">
        <v>129</v>
      </c>
      <c r="P70" t="s">
        <v>130</v>
      </c>
      <c r="Q70" s="1">
        <v>-4.48925352879239E-5</v>
      </c>
      <c r="R70" s="1">
        <v>3.50128011088326E-8</v>
      </c>
      <c r="S70">
        <v>1.36364573117508E-4</v>
      </c>
      <c r="T70">
        <v>-2.1945580449728801E-4</v>
      </c>
      <c r="U70">
        <v>2.0215561312279098</v>
      </c>
      <c r="V70" s="1">
        <v>3.5370204892818099E-15</v>
      </c>
      <c r="W70" s="1">
        <v>7.7025181479016997E-5</v>
      </c>
      <c r="X70">
        <v>2.1350831956790102</v>
      </c>
      <c r="Y70">
        <v>3.2140297573280499E-3</v>
      </c>
      <c r="Z70">
        <v>5.7270904512973203E-2</v>
      </c>
      <c r="AA70">
        <v>3.4445766250312802E-3</v>
      </c>
      <c r="AB70" s="9">
        <f t="shared" si="8"/>
        <v>-0.40233287774123466</v>
      </c>
      <c r="AC70" s="9">
        <f t="shared" si="9"/>
        <v>-0.4046147319338752</v>
      </c>
      <c r="AD70" s="2">
        <f t="shared" si="10"/>
        <v>5.671557853912601E-3</v>
      </c>
      <c r="AE70" s="8">
        <f t="shared" si="11"/>
        <v>2.3541294330492533E-2</v>
      </c>
      <c r="AF70" s="2">
        <f t="shared" si="12"/>
        <v>-7.9747231184749273E-4</v>
      </c>
      <c r="AG70" s="8">
        <f t="shared" si="13"/>
        <v>2.4338766642340026E-2</v>
      </c>
      <c r="AH70" s="7">
        <f t="shared" si="14"/>
        <v>-3.2765518629863509E-2</v>
      </c>
      <c r="AI70">
        <f t="shared" si="15"/>
        <v>2</v>
      </c>
      <c r="AJ70" s="10">
        <f t="shared" si="16"/>
        <v>9.7355066569360105E-2</v>
      </c>
    </row>
    <row r="71" spans="1:36" x14ac:dyDescent="0.25">
      <c r="A71" t="b">
        <v>0</v>
      </c>
      <c r="B71">
        <v>1000</v>
      </c>
      <c r="C71">
        <v>9.7355066569363602E-2</v>
      </c>
      <c r="D71" t="s">
        <v>52</v>
      </c>
      <c r="E71" t="b">
        <v>1</v>
      </c>
      <c r="F71" t="s">
        <v>53</v>
      </c>
      <c r="G71">
        <v>7.4999999999999997E-2</v>
      </c>
      <c r="H71">
        <v>0.25</v>
      </c>
      <c r="I71">
        <v>1E-4</v>
      </c>
      <c r="J71" t="b">
        <v>1</v>
      </c>
      <c r="K71">
        <v>6</v>
      </c>
      <c r="L71">
        <v>1500</v>
      </c>
      <c r="M71">
        <v>0.1</v>
      </c>
      <c r="N71">
        <v>0.154</v>
      </c>
      <c r="O71" t="s">
        <v>131</v>
      </c>
      <c r="P71" t="s">
        <v>132</v>
      </c>
      <c r="Q71">
        <v>-3.0103132581425898E-4</v>
      </c>
      <c r="R71">
        <v>2.7183834647209102E-3</v>
      </c>
      <c r="S71">
        <v>1.19847855424214E-3</v>
      </c>
      <c r="T71">
        <v>-1.4580068502382E-2</v>
      </c>
      <c r="U71">
        <v>5.9983496357553401</v>
      </c>
      <c r="V71" s="1">
        <v>9.9999999999999905E-15</v>
      </c>
      <c r="W71">
        <v>0.61342853762709204</v>
      </c>
      <c r="X71">
        <v>2.4999999999999898</v>
      </c>
      <c r="Y71">
        <v>27.317229037961201</v>
      </c>
      <c r="Z71">
        <v>0.499999999999999</v>
      </c>
      <c r="AA71">
        <v>50.146325160250399</v>
      </c>
      <c r="AB71" s="9">
        <f t="shared" si="8"/>
        <v>-0.33793003755503004</v>
      </c>
      <c r="AC71" s="9">
        <f t="shared" si="9"/>
        <v>-0.34142437488387012</v>
      </c>
      <c r="AD71" s="2">
        <f t="shared" si="10"/>
        <v>1.0340416478280767E-2</v>
      </c>
      <c r="AE71" s="8">
        <f t="shared" si="11"/>
        <v>1.534586086679968E-3</v>
      </c>
      <c r="AF71" s="2">
        <f t="shared" si="12"/>
        <v>-1.1697213180245766E-3</v>
      </c>
      <c r="AG71" s="8">
        <f t="shared" si="13"/>
        <v>2.7043074047045446E-3</v>
      </c>
      <c r="AH71" s="7">
        <f t="shared" si="14"/>
        <v>-0.43254007143924267</v>
      </c>
      <c r="AI71">
        <f t="shared" si="15"/>
        <v>6</v>
      </c>
      <c r="AJ71" s="10">
        <f t="shared" si="16"/>
        <v>9.7355066569363602E-2</v>
      </c>
    </row>
    <row r="72" spans="1:36" x14ac:dyDescent="0.25">
      <c r="A72" t="b">
        <v>0</v>
      </c>
      <c r="B72">
        <v>1000</v>
      </c>
      <c r="C72">
        <v>9.7355066569367196E-2</v>
      </c>
      <c r="D72" t="s">
        <v>52</v>
      </c>
      <c r="E72" t="b">
        <v>1</v>
      </c>
      <c r="F72" t="s">
        <v>53</v>
      </c>
      <c r="G72">
        <v>7.4999999999999997E-2</v>
      </c>
      <c r="H72">
        <v>0.25</v>
      </c>
      <c r="I72">
        <v>1E-4</v>
      </c>
      <c r="J72" t="b">
        <v>1</v>
      </c>
      <c r="K72">
        <v>4</v>
      </c>
      <c r="L72">
        <v>1500</v>
      </c>
      <c r="M72">
        <v>0.1</v>
      </c>
      <c r="N72">
        <v>0.154</v>
      </c>
      <c r="O72" t="s">
        <v>133</v>
      </c>
      <c r="P72" t="s">
        <v>134</v>
      </c>
      <c r="Q72">
        <v>-1.56111604682777E-4</v>
      </c>
      <c r="R72">
        <v>3.2930692812257702E-4</v>
      </c>
      <c r="S72">
        <v>5.3510780450953803E-4</v>
      </c>
      <c r="T72">
        <v>-2.98053318601871E-3</v>
      </c>
      <c r="U72">
        <v>4.0064137008335896</v>
      </c>
      <c r="V72" s="1">
        <v>9.9999999999997002E-15</v>
      </c>
      <c r="W72">
        <v>0.13980787575707099</v>
      </c>
      <c r="X72">
        <v>2.4999999999999898</v>
      </c>
      <c r="Y72">
        <v>6.4704447434674801</v>
      </c>
      <c r="Z72">
        <v>0.49999999966022501</v>
      </c>
      <c r="AA72">
        <v>11.6822090635691</v>
      </c>
      <c r="AB72" s="9">
        <f t="shared" si="8"/>
        <v>-0.34812298111949697</v>
      </c>
      <c r="AC72" s="9">
        <f t="shared" si="9"/>
        <v>-0.35147700963917916</v>
      </c>
      <c r="AD72" s="2">
        <f t="shared" si="10"/>
        <v>9.6346081746636614E-3</v>
      </c>
      <c r="AE72" s="8">
        <f t="shared" si="11"/>
        <v>4.9543067459871257E-3</v>
      </c>
      <c r="AF72" s="2">
        <f t="shared" si="12"/>
        <v>-1.1303849145983241E-3</v>
      </c>
      <c r="AG72" s="8">
        <f t="shared" si="13"/>
        <v>6.0846916605854498E-3</v>
      </c>
      <c r="AH72" s="7">
        <f t="shared" si="14"/>
        <v>-0.18577521716023357</v>
      </c>
      <c r="AI72">
        <f t="shared" si="15"/>
        <v>4</v>
      </c>
      <c r="AJ72" s="10">
        <f t="shared" si="16"/>
        <v>9.7355066569367196E-2</v>
      </c>
    </row>
    <row r="73" spans="1:36" x14ac:dyDescent="0.25">
      <c r="A73" t="b">
        <v>0</v>
      </c>
      <c r="B73">
        <v>1000</v>
      </c>
      <c r="C73">
        <v>0.29206519970808298</v>
      </c>
      <c r="D73" t="s">
        <v>52</v>
      </c>
      <c r="E73" t="b">
        <v>1</v>
      </c>
      <c r="F73" t="s">
        <v>53</v>
      </c>
      <c r="G73">
        <v>7.4999999999999997E-2</v>
      </c>
      <c r="H73">
        <v>0.25</v>
      </c>
      <c r="I73">
        <v>1E-4</v>
      </c>
      <c r="J73" t="b">
        <v>1</v>
      </c>
      <c r="K73">
        <v>6</v>
      </c>
      <c r="L73">
        <v>1500</v>
      </c>
      <c r="M73">
        <v>0.3</v>
      </c>
      <c r="N73">
        <v>0.154</v>
      </c>
      <c r="O73" t="s">
        <v>135</v>
      </c>
      <c r="P73" t="s">
        <v>136</v>
      </c>
      <c r="Q73">
        <v>-2.9958808771887502E-4</v>
      </c>
      <c r="R73">
        <v>2.8501105779051498E-3</v>
      </c>
      <c r="S73">
        <v>1.2029937578967799E-3</v>
      </c>
      <c r="T73">
        <v>-1.50541061892836E-2</v>
      </c>
      <c r="U73">
        <v>5.9992764974803396</v>
      </c>
      <c r="V73" s="1">
        <v>9.9999999999999905E-15</v>
      </c>
      <c r="W73">
        <v>0.64542196379120598</v>
      </c>
      <c r="X73">
        <v>2.4999999999999898</v>
      </c>
      <c r="Y73">
        <v>28.785061656154699</v>
      </c>
      <c r="Z73">
        <v>0.499999999999999</v>
      </c>
      <c r="AA73">
        <v>52.825277176997503</v>
      </c>
      <c r="AB73" s="9">
        <f t="shared" si="8"/>
        <v>-0.34760746980107687</v>
      </c>
      <c r="AC73" s="9">
        <f t="shared" si="9"/>
        <v>-0.35747623052870425</v>
      </c>
      <c r="AD73" s="2">
        <f t="shared" si="10"/>
        <v>2.8390531231319294E-2</v>
      </c>
      <c r="AE73" s="8">
        <f t="shared" si="11"/>
        <v>4.7807927184770191E-3</v>
      </c>
      <c r="AF73" s="2">
        <f t="shared" si="12"/>
        <v>-3.332129495636397E-3</v>
      </c>
      <c r="AG73" s="8">
        <f t="shared" si="13"/>
        <v>8.1129222141134161E-3</v>
      </c>
      <c r="AH73" s="7">
        <f t="shared" si="14"/>
        <v>-0.41071877773458149</v>
      </c>
      <c r="AI73">
        <f t="shared" si="15"/>
        <v>6</v>
      </c>
      <c r="AJ73" s="10">
        <f t="shared" si="16"/>
        <v>0.29206519970808298</v>
      </c>
    </row>
    <row r="74" spans="1:36" x14ac:dyDescent="0.25">
      <c r="A74" t="b">
        <v>0</v>
      </c>
      <c r="B74">
        <v>1000</v>
      </c>
      <c r="C74">
        <v>0.29206519970808298</v>
      </c>
      <c r="D74" t="s">
        <v>52</v>
      </c>
      <c r="E74" t="b">
        <v>1</v>
      </c>
      <c r="F74" t="s">
        <v>53</v>
      </c>
      <c r="G74">
        <v>7.4999999999999997E-2</v>
      </c>
      <c r="H74">
        <v>0.25</v>
      </c>
      <c r="I74">
        <v>1E-4</v>
      </c>
      <c r="J74" t="b">
        <v>1</v>
      </c>
      <c r="K74">
        <v>2</v>
      </c>
      <c r="L74">
        <v>1500</v>
      </c>
      <c r="M74">
        <v>0.3</v>
      </c>
      <c r="N74">
        <v>0.154</v>
      </c>
      <c r="O74" t="s">
        <v>137</v>
      </c>
      <c r="P74" t="s">
        <v>138</v>
      </c>
      <c r="Q74" s="1">
        <v>-4.7010080076000801E-5</v>
      </c>
      <c r="R74" s="1">
        <v>7.3241595970283798E-6</v>
      </c>
      <c r="S74">
        <v>1.4279960365961301E-4</v>
      </c>
      <c r="T74">
        <v>-3.0416156446025198E-4</v>
      </c>
      <c r="U74">
        <v>2.0640103796337201</v>
      </c>
      <c r="V74" s="1">
        <v>2.3172243067232302E-15</v>
      </c>
      <c r="W74">
        <v>1.62067163450191E-2</v>
      </c>
      <c r="X74">
        <v>2.1170459142114701</v>
      </c>
      <c r="Y74">
        <v>0.70611816141814598</v>
      </c>
      <c r="Z74">
        <v>2.58365876397344E-4</v>
      </c>
      <c r="AA74">
        <v>0.69938145901927995</v>
      </c>
      <c r="AB74" s="9">
        <f t="shared" si="8"/>
        <v>-0.53249721404212103</v>
      </c>
      <c r="AC74" s="9">
        <f t="shared" si="9"/>
        <v>-0.53747645753001183</v>
      </c>
      <c r="AD74" s="2">
        <f t="shared" si="10"/>
        <v>9.3507409176734058E-3</v>
      </c>
      <c r="AE74" s="8">
        <f t="shared" si="11"/>
        <v>7.1108723333369692E-2</v>
      </c>
      <c r="AF74" s="2">
        <f t="shared" si="12"/>
        <v>-1.907576593651053E-3</v>
      </c>
      <c r="AG74" s="8">
        <f t="shared" si="13"/>
        <v>7.3016299927020745E-2</v>
      </c>
      <c r="AH74" s="7">
        <f t="shared" si="14"/>
        <v>-2.6125352771335465E-2</v>
      </c>
      <c r="AI74">
        <f t="shared" si="15"/>
        <v>2</v>
      </c>
      <c r="AJ74" s="10">
        <f t="shared" si="16"/>
        <v>0.29206519970808298</v>
      </c>
    </row>
    <row r="75" spans="1:36" x14ac:dyDescent="0.25">
      <c r="A75" t="b">
        <v>0</v>
      </c>
      <c r="B75">
        <v>1000</v>
      </c>
      <c r="C75">
        <v>0.29206519970808698</v>
      </c>
      <c r="D75" t="s">
        <v>52</v>
      </c>
      <c r="E75" t="b">
        <v>1</v>
      </c>
      <c r="F75" t="s">
        <v>53</v>
      </c>
      <c r="G75">
        <v>7.4999999999999997E-2</v>
      </c>
      <c r="H75">
        <v>0.25</v>
      </c>
      <c r="I75">
        <v>1E-4</v>
      </c>
      <c r="J75" t="b">
        <v>1</v>
      </c>
      <c r="K75">
        <v>4</v>
      </c>
      <c r="L75">
        <v>1500</v>
      </c>
      <c r="M75">
        <v>0.3</v>
      </c>
      <c r="N75">
        <v>0.154</v>
      </c>
      <c r="O75" t="s">
        <v>139</v>
      </c>
      <c r="P75" t="s">
        <v>140</v>
      </c>
      <c r="Q75">
        <v>-1.56334664170536E-4</v>
      </c>
      <c r="R75">
        <v>3.9437775561463798E-4</v>
      </c>
      <c r="S75">
        <v>5.4115206334455696E-4</v>
      </c>
      <c r="T75">
        <v>-3.2646643965717399E-3</v>
      </c>
      <c r="U75">
        <v>4.0204265659177203</v>
      </c>
      <c r="V75" s="1">
        <v>9.99999999999994E-15</v>
      </c>
      <c r="W75">
        <v>0.16958956187812499</v>
      </c>
      <c r="X75">
        <v>2.4999999999999898</v>
      </c>
      <c r="Y75">
        <v>7.6944812307033796</v>
      </c>
      <c r="Z75">
        <v>0.49999999991462302</v>
      </c>
      <c r="AA75">
        <v>13.987173452792801</v>
      </c>
      <c r="AB75" s="9">
        <f t="shared" si="8"/>
        <v>-0.37705025741686665</v>
      </c>
      <c r="AC75" s="9">
        <f t="shared" si="9"/>
        <v>-0.38711384478991412</v>
      </c>
      <c r="AD75" s="2">
        <f t="shared" si="10"/>
        <v>2.6690307658167711E-2</v>
      </c>
      <c r="AE75" s="8">
        <f t="shared" si="11"/>
        <v>1.4787800410480247E-2</v>
      </c>
      <c r="AF75" s="2">
        <f t="shared" si="12"/>
        <v>-3.4662745712751887E-3</v>
      </c>
      <c r="AG75" s="8">
        <f t="shared" si="13"/>
        <v>1.8254074981755436E-2</v>
      </c>
      <c r="AH75" s="7">
        <f t="shared" si="14"/>
        <v>-0.18989045321330483</v>
      </c>
      <c r="AI75">
        <f t="shared" si="15"/>
        <v>4</v>
      </c>
      <c r="AJ75" s="10">
        <f t="shared" si="16"/>
        <v>0.29206519970808698</v>
      </c>
    </row>
    <row r="76" spans="1:36" x14ac:dyDescent="0.25">
      <c r="A76" t="b">
        <v>0</v>
      </c>
      <c r="B76">
        <v>1000</v>
      </c>
      <c r="C76">
        <v>0.56992508356242999</v>
      </c>
      <c r="D76" t="s">
        <v>52</v>
      </c>
      <c r="E76" t="b">
        <v>1</v>
      </c>
      <c r="F76" t="s">
        <v>53</v>
      </c>
      <c r="G76">
        <v>7.4999999999999997E-2</v>
      </c>
      <c r="H76">
        <v>0.25</v>
      </c>
      <c r="I76">
        <v>1E-4</v>
      </c>
      <c r="J76" t="b">
        <v>1</v>
      </c>
      <c r="K76">
        <v>2</v>
      </c>
      <c r="L76">
        <v>1500</v>
      </c>
      <c r="M76">
        <v>0.6</v>
      </c>
      <c r="N76">
        <v>0.154</v>
      </c>
      <c r="O76" t="s">
        <v>141</v>
      </c>
      <c r="P76" t="s">
        <v>142</v>
      </c>
      <c r="Q76" s="1">
        <v>-4.7294638322921503E-5</v>
      </c>
      <c r="R76" s="1">
        <v>2.1423942176126501E-6</v>
      </c>
      <c r="S76">
        <v>1.5296802767582801E-4</v>
      </c>
      <c r="T76">
        <v>-4.3567809161099797E-4</v>
      </c>
      <c r="U76">
        <v>2.1296474464203499</v>
      </c>
      <c r="V76" s="1">
        <v>9.94292443203437E-15</v>
      </c>
      <c r="W76">
        <v>3.1480071688289998E-3</v>
      </c>
      <c r="X76">
        <v>2.4999214010667501</v>
      </c>
      <c r="Y76">
        <v>0.13957812331698499</v>
      </c>
      <c r="Z76">
        <v>0.48119947215958297</v>
      </c>
      <c r="AA76">
        <v>0.25200518713417402</v>
      </c>
      <c r="AB76" s="9">
        <f t="shared" si="8"/>
        <v>-0.71204110138344257</v>
      </c>
      <c r="AC76" s="9">
        <f t="shared" si="9"/>
        <v>-0.70746971837762718</v>
      </c>
      <c r="AD76" s="2">
        <f t="shared" si="10"/>
        <v>-6.4201111381541054E-3</v>
      </c>
      <c r="AE76" s="8">
        <f t="shared" si="11"/>
        <v>0.14447369256818851</v>
      </c>
      <c r="AF76" s="2">
        <f t="shared" si="12"/>
        <v>1.9924216775810133E-3</v>
      </c>
      <c r="AG76" s="8">
        <f t="shared" si="13"/>
        <v>0.1424812708906075</v>
      </c>
      <c r="AH76" s="7">
        <f t="shared" si="14"/>
        <v>1.3983744425684763E-2</v>
      </c>
      <c r="AI76">
        <f t="shared" si="15"/>
        <v>2</v>
      </c>
      <c r="AJ76" s="10">
        <f t="shared" si="16"/>
        <v>0.56992508356242999</v>
      </c>
    </row>
    <row r="77" spans="1:36" x14ac:dyDescent="0.25">
      <c r="A77" t="b">
        <v>0</v>
      </c>
      <c r="B77">
        <v>1000</v>
      </c>
      <c r="C77">
        <v>0.58413039941616696</v>
      </c>
      <c r="D77" t="s">
        <v>52</v>
      </c>
      <c r="E77" t="b">
        <v>1</v>
      </c>
      <c r="F77" t="s">
        <v>53</v>
      </c>
      <c r="G77">
        <v>7.4999999999999997E-2</v>
      </c>
      <c r="H77">
        <v>0.25</v>
      </c>
      <c r="I77">
        <v>1E-4</v>
      </c>
      <c r="J77" t="b">
        <v>1</v>
      </c>
      <c r="K77">
        <v>6</v>
      </c>
      <c r="L77">
        <v>1500</v>
      </c>
      <c r="M77">
        <v>0.6</v>
      </c>
      <c r="N77">
        <v>0.154</v>
      </c>
      <c r="O77" t="s">
        <v>143</v>
      </c>
      <c r="P77" t="s">
        <v>144</v>
      </c>
      <c r="Q77">
        <v>-2.9747273386091498E-4</v>
      </c>
      <c r="R77">
        <v>3.0791278520005501E-3</v>
      </c>
      <c r="S77">
        <v>1.20966106945089E-3</v>
      </c>
      <c r="T77">
        <v>-1.5751521273894498E-2</v>
      </c>
      <c r="U77">
        <v>6.0007698068232003</v>
      </c>
      <c r="V77" s="1">
        <v>9.9999999999992095E-15</v>
      </c>
      <c r="W77">
        <v>0.70285825519010403</v>
      </c>
      <c r="X77">
        <v>2.4999999999999898</v>
      </c>
      <c r="Y77">
        <v>31.276548258307201</v>
      </c>
      <c r="Z77">
        <v>0.499999999999995</v>
      </c>
      <c r="AA77">
        <v>57.486630384435998</v>
      </c>
      <c r="AB77" s="9">
        <f t="shared" si="8"/>
        <v>-0.36170648841893965</v>
      </c>
      <c r="AC77" s="9">
        <f t="shared" si="9"/>
        <v>-0.38123364363499535</v>
      </c>
      <c r="AD77" s="2">
        <f t="shared" si="10"/>
        <v>5.3986190022222491E-2</v>
      </c>
      <c r="AE77" s="8">
        <f t="shared" si="11"/>
        <v>9.5480208540193439E-3</v>
      </c>
      <c r="AF77" s="2">
        <f t="shared" si="12"/>
        <v>-6.677823574207516E-3</v>
      </c>
      <c r="AG77" s="8">
        <f t="shared" si="13"/>
        <v>1.622584442822686E-2</v>
      </c>
      <c r="AH77" s="7">
        <f t="shared" si="14"/>
        <v>-0.41155476399062579</v>
      </c>
      <c r="AI77">
        <f t="shared" si="15"/>
        <v>6</v>
      </c>
      <c r="AJ77" s="10">
        <f t="shared" si="16"/>
        <v>0.58413039941616696</v>
      </c>
    </row>
    <row r="78" spans="1:36" x14ac:dyDescent="0.25">
      <c r="A78" t="b">
        <v>0</v>
      </c>
      <c r="B78">
        <v>1000</v>
      </c>
      <c r="C78">
        <v>0.58413039941617095</v>
      </c>
      <c r="D78" t="s">
        <v>52</v>
      </c>
      <c r="E78" t="b">
        <v>1</v>
      </c>
      <c r="F78" t="s">
        <v>53</v>
      </c>
      <c r="G78">
        <v>7.4999999999999997E-2</v>
      </c>
      <c r="H78">
        <v>0.25</v>
      </c>
      <c r="I78">
        <v>1E-4</v>
      </c>
      <c r="J78" t="b">
        <v>1</v>
      </c>
      <c r="K78">
        <v>4</v>
      </c>
      <c r="L78">
        <v>1500</v>
      </c>
      <c r="M78">
        <v>0.6</v>
      </c>
      <c r="N78">
        <v>0.154</v>
      </c>
      <c r="O78" t="s">
        <v>145</v>
      </c>
      <c r="P78" t="s">
        <v>146</v>
      </c>
      <c r="Q78">
        <v>-1.5667641184757201E-4</v>
      </c>
      <c r="R78">
        <v>4.7196836298399802E-4</v>
      </c>
      <c r="S78">
        <v>5.5014671166515004E-4</v>
      </c>
      <c r="T78">
        <v>-3.6858945822371598E-3</v>
      </c>
      <c r="U78">
        <v>4.0413060564204999</v>
      </c>
      <c r="V78" s="1">
        <v>9.9999999999999905E-15</v>
      </c>
      <c r="W78">
        <v>0.20248994220291799</v>
      </c>
      <c r="X78">
        <v>2.4999999999999898</v>
      </c>
      <c r="Y78">
        <v>9.2046194230602794</v>
      </c>
      <c r="Z78">
        <v>0.49999999998491201</v>
      </c>
      <c r="AA78">
        <v>16.698337351826002</v>
      </c>
      <c r="AB78" s="9">
        <f t="shared" si="8"/>
        <v>-0.41873995882399739</v>
      </c>
      <c r="AC78" s="9">
        <f t="shared" si="9"/>
        <v>-0.43900008558645143</v>
      </c>
      <c r="AD78" s="2">
        <f t="shared" si="10"/>
        <v>4.8383552454256407E-2</v>
      </c>
      <c r="AE78" s="8">
        <f t="shared" si="11"/>
        <v>2.9303101502123601E-2</v>
      </c>
      <c r="AF78" s="2">
        <f t="shared" si="12"/>
        <v>-7.2050484613870834E-3</v>
      </c>
      <c r="AG78" s="8">
        <f t="shared" si="13"/>
        <v>3.6508149963510685E-2</v>
      </c>
      <c r="AH78" s="7">
        <f t="shared" si="14"/>
        <v>-0.1973545213490252</v>
      </c>
      <c r="AI78">
        <f t="shared" si="15"/>
        <v>4</v>
      </c>
      <c r="AJ78" s="10">
        <f t="shared" si="16"/>
        <v>0.58413039941617095</v>
      </c>
    </row>
    <row r="79" spans="1:36" x14ac:dyDescent="0.25">
      <c r="A79" t="b">
        <v>0</v>
      </c>
      <c r="B79">
        <v>1000</v>
      </c>
      <c r="C79">
        <v>0.72950718729363395</v>
      </c>
      <c r="D79" t="s">
        <v>52</v>
      </c>
      <c r="E79" t="b">
        <v>1</v>
      </c>
      <c r="F79" t="s">
        <v>53</v>
      </c>
      <c r="G79">
        <v>7.4999999999999997E-2</v>
      </c>
      <c r="H79">
        <v>0.25</v>
      </c>
      <c r="I79">
        <v>1E-4</v>
      </c>
      <c r="J79" t="b">
        <v>1</v>
      </c>
      <c r="K79">
        <v>2</v>
      </c>
      <c r="L79">
        <v>1500</v>
      </c>
      <c r="M79">
        <v>0.8</v>
      </c>
      <c r="N79">
        <v>0.154</v>
      </c>
      <c r="O79" t="s">
        <v>151</v>
      </c>
      <c r="P79" t="s">
        <v>152</v>
      </c>
      <c r="Q79" s="1">
        <v>-4.9111842721408299E-5</v>
      </c>
      <c r="R79" s="1">
        <v>1.68484021757636E-5</v>
      </c>
      <c r="S79">
        <v>1.60611937615657E-4</v>
      </c>
      <c r="T79">
        <v>-5.2789914390909804E-4</v>
      </c>
      <c r="U79">
        <v>2.1782322342931</v>
      </c>
      <c r="V79" s="1">
        <v>9.9999999999999905E-15</v>
      </c>
      <c r="W79">
        <v>2.2823670108258299E-2</v>
      </c>
      <c r="X79">
        <v>2.4999999999999898</v>
      </c>
      <c r="Y79">
        <v>1.0526160994840601</v>
      </c>
      <c r="Z79">
        <v>0.49999999995243699</v>
      </c>
      <c r="AA79">
        <v>1.90000270993234</v>
      </c>
      <c r="AB79" s="9">
        <f t="shared" si="8"/>
        <v>-0.82169973126835094</v>
      </c>
      <c r="AC79" s="9">
        <f t="shared" si="9"/>
        <v>-0.79607109336055504</v>
      </c>
      <c r="AD79" s="2">
        <f t="shared" si="10"/>
        <v>-3.1189784945208965E-2</v>
      </c>
      <c r="AE79" s="8">
        <f t="shared" si="11"/>
        <v>0.19444173606114315</v>
      </c>
      <c r="AF79" s="2">
        <f t="shared" si="12"/>
        <v>1.2064939237734662E-2</v>
      </c>
      <c r="AG79" s="8">
        <f t="shared" si="13"/>
        <v>0.18237679682340849</v>
      </c>
      <c r="AH79" s="7">
        <f t="shared" si="14"/>
        <v>6.6153915672819294E-2</v>
      </c>
      <c r="AI79">
        <f t="shared" si="15"/>
        <v>2</v>
      </c>
      <c r="AJ79" s="10">
        <f t="shared" si="16"/>
        <v>0.72950718729363395</v>
      </c>
    </row>
    <row r="80" spans="1:36" x14ac:dyDescent="0.25">
      <c r="A80" t="b">
        <v>0</v>
      </c>
      <c r="B80">
        <v>1000</v>
      </c>
      <c r="C80">
        <v>0.77884053255487995</v>
      </c>
      <c r="D80" t="s">
        <v>52</v>
      </c>
      <c r="E80" t="b">
        <v>1</v>
      </c>
      <c r="F80" t="s">
        <v>53</v>
      </c>
      <c r="G80">
        <v>7.4999999999999997E-2</v>
      </c>
      <c r="H80">
        <v>0.25</v>
      </c>
      <c r="I80">
        <v>1E-4</v>
      </c>
      <c r="J80" t="b">
        <v>1</v>
      </c>
      <c r="K80">
        <v>4</v>
      </c>
      <c r="L80">
        <v>1500</v>
      </c>
      <c r="M80">
        <v>0.8</v>
      </c>
      <c r="N80">
        <v>0.154</v>
      </c>
      <c r="O80" t="s">
        <v>153</v>
      </c>
      <c r="P80" t="s">
        <v>154</v>
      </c>
      <c r="Q80">
        <v>-1.56908789353492E-4</v>
      </c>
      <c r="R80">
        <v>5.2817167129497503E-4</v>
      </c>
      <c r="S80">
        <v>5.5609622091488703E-4</v>
      </c>
      <c r="T80">
        <v>-3.9634883669357702E-3</v>
      </c>
      <c r="U80">
        <v>4.0551334266168304</v>
      </c>
      <c r="V80" s="1">
        <v>9.9999999999999905E-15</v>
      </c>
      <c r="W80">
        <v>0.225927098942659</v>
      </c>
      <c r="X80">
        <v>2.4999999999999898</v>
      </c>
      <c r="Y80">
        <v>10.290939490324099</v>
      </c>
      <c r="Z80">
        <v>0.499999999994239</v>
      </c>
      <c r="AA80">
        <v>18.657415844404699</v>
      </c>
      <c r="AB80" s="9">
        <f t="shared" si="8"/>
        <v>-0.44545892170592538</v>
      </c>
      <c r="AC80" s="9">
        <f t="shared" si="9"/>
        <v>-0.47258738924567367</v>
      </c>
      <c r="AD80" s="2">
        <f t="shared" si="10"/>
        <v>6.0900043119256342E-2</v>
      </c>
      <c r="AE80" s="8">
        <f t="shared" si="11"/>
        <v>3.8826338126458138E-2</v>
      </c>
      <c r="AF80" s="2">
        <f t="shared" si="12"/>
        <v>-9.8511951582218593E-3</v>
      </c>
      <c r="AG80" s="8">
        <f t="shared" si="13"/>
        <v>4.8677533284679997E-2</v>
      </c>
      <c r="AH80" s="7">
        <f t="shared" si="14"/>
        <v>-0.20237663031545336</v>
      </c>
      <c r="AI80">
        <f t="shared" si="15"/>
        <v>4</v>
      </c>
      <c r="AJ80" s="10">
        <f t="shared" si="16"/>
        <v>0.77884053255487995</v>
      </c>
    </row>
    <row r="81" spans="1:36" x14ac:dyDescent="0.25">
      <c r="A81" t="b">
        <v>0</v>
      </c>
      <c r="B81">
        <v>1000</v>
      </c>
      <c r="C81">
        <v>0.77884053255487995</v>
      </c>
      <c r="D81" t="s">
        <v>52</v>
      </c>
      <c r="E81" t="b">
        <v>1</v>
      </c>
      <c r="F81" t="s">
        <v>53</v>
      </c>
      <c r="G81">
        <v>7.4999999999999997E-2</v>
      </c>
      <c r="H81">
        <v>0.25</v>
      </c>
      <c r="I81">
        <v>1E-4</v>
      </c>
      <c r="J81" t="b">
        <v>1</v>
      </c>
      <c r="K81">
        <v>6</v>
      </c>
      <c r="L81">
        <v>1500</v>
      </c>
      <c r="M81">
        <v>0.8</v>
      </c>
      <c r="N81">
        <v>0.154</v>
      </c>
      <c r="O81" t="s">
        <v>155</v>
      </c>
      <c r="P81" t="s">
        <v>156</v>
      </c>
      <c r="Q81">
        <v>-2.96094752352559E-4</v>
      </c>
      <c r="R81">
        <v>3.13379173641983E-3</v>
      </c>
      <c r="S81">
        <v>1.2140374732433001E-3</v>
      </c>
      <c r="T81">
        <v>-1.62075904842813E-2</v>
      </c>
      <c r="U81">
        <v>6.00183260958869</v>
      </c>
      <c r="V81" s="1">
        <v>9.9999999999980405E-15</v>
      </c>
      <c r="W81">
        <v>0.71965242376896099</v>
      </c>
      <c r="X81">
        <v>2.4999999999999898</v>
      </c>
      <c r="Y81">
        <v>31.990039682464499</v>
      </c>
      <c r="Z81">
        <v>0.49999999999999201</v>
      </c>
      <c r="AA81">
        <v>58.781194494914402</v>
      </c>
      <c r="AB81" s="9">
        <f t="shared" si="8"/>
        <v>-0.37083768558053959</v>
      </c>
      <c r="AC81" s="9">
        <f t="shared" si="9"/>
        <v>-0.39686229628681374</v>
      </c>
      <c r="AD81" s="2">
        <f t="shared" si="10"/>
        <v>7.0177901864350911E-2</v>
      </c>
      <c r="AE81" s="8">
        <f t="shared" si="11"/>
        <v>1.2659715559634752E-2</v>
      </c>
      <c r="AF81" s="2">
        <f t="shared" si="12"/>
        <v>-8.9747436780008034E-3</v>
      </c>
      <c r="AG81" s="8">
        <f t="shared" si="13"/>
        <v>2.1634459237635555E-2</v>
      </c>
      <c r="AH81" s="7">
        <f t="shared" si="14"/>
        <v>-0.41483559073148618</v>
      </c>
      <c r="AI81">
        <f t="shared" si="15"/>
        <v>6</v>
      </c>
      <c r="AJ81" s="10">
        <f t="shared" si="16"/>
        <v>0.77884053255487995</v>
      </c>
    </row>
    <row r="82" spans="1:36" x14ac:dyDescent="0.25">
      <c r="A82" t="b">
        <v>0</v>
      </c>
      <c r="B82">
        <v>1000</v>
      </c>
      <c r="C82">
        <v>1.00658128785443</v>
      </c>
      <c r="D82" t="s">
        <v>52</v>
      </c>
      <c r="E82" t="b">
        <v>1</v>
      </c>
      <c r="F82" t="s">
        <v>53</v>
      </c>
      <c r="G82">
        <v>7.4999999999999997E-2</v>
      </c>
      <c r="H82">
        <v>0.25</v>
      </c>
      <c r="I82">
        <v>1E-4</v>
      </c>
      <c r="J82" t="b">
        <v>1</v>
      </c>
      <c r="K82">
        <v>2</v>
      </c>
      <c r="L82">
        <v>1500</v>
      </c>
      <c r="M82">
        <v>1.2</v>
      </c>
      <c r="N82">
        <v>0.154</v>
      </c>
      <c r="O82" t="s">
        <v>157</v>
      </c>
      <c r="P82" t="s">
        <v>158</v>
      </c>
      <c r="Q82" s="1">
        <v>-5.3276149429067897E-5</v>
      </c>
      <c r="R82" s="1">
        <v>4.9539950926828899E-5</v>
      </c>
      <c r="S82">
        <v>1.77102591050154E-4</v>
      </c>
      <c r="T82">
        <v>-7.2490353986792298E-4</v>
      </c>
      <c r="U82">
        <v>2.2798966766706599</v>
      </c>
      <c r="V82" s="1">
        <v>9.9999999999960399E-15</v>
      </c>
      <c r="W82">
        <v>6.3217132933930997E-2</v>
      </c>
      <c r="X82">
        <v>2.4999999999999898</v>
      </c>
      <c r="Y82">
        <v>2.8332435082078198</v>
      </c>
      <c r="Z82">
        <v>0.49999999999970601</v>
      </c>
      <c r="AA82">
        <v>5.1584043625290903</v>
      </c>
      <c r="AB82" s="9">
        <f t="shared" si="8"/>
        <v>-1.0232819513953868</v>
      </c>
      <c r="AC82" s="9">
        <f t="shared" si="9"/>
        <v>-0.93648819888778856</v>
      </c>
      <c r="AD82" s="2">
        <f t="shared" si="10"/>
        <v>-8.4819000656899068E-2</v>
      </c>
      <c r="AE82" s="8">
        <f t="shared" si="11"/>
        <v>0.29867241198905381</v>
      </c>
      <c r="AF82" s="2">
        <f t="shared" si="12"/>
        <v>4.7027090025446305E-2</v>
      </c>
      <c r="AG82" s="8">
        <f t="shared" si="13"/>
        <v>0.2516453219636075</v>
      </c>
      <c r="AH82" s="7">
        <f t="shared" si="14"/>
        <v>0.18687845916820692</v>
      </c>
      <c r="AI82">
        <f t="shared" si="15"/>
        <v>2</v>
      </c>
      <c r="AJ82" s="10">
        <f t="shared" si="16"/>
        <v>1.00658128785443</v>
      </c>
    </row>
    <row r="83" spans="1:36" x14ac:dyDescent="0.25">
      <c r="A83" t="b">
        <v>0</v>
      </c>
      <c r="B83">
        <v>1000</v>
      </c>
      <c r="C83">
        <v>1.1682607988323299</v>
      </c>
      <c r="D83" t="s">
        <v>52</v>
      </c>
      <c r="E83" t="b">
        <v>1</v>
      </c>
      <c r="F83" t="s">
        <v>53</v>
      </c>
      <c r="G83">
        <v>7.4999999999999997E-2</v>
      </c>
      <c r="H83">
        <v>0.25</v>
      </c>
      <c r="I83">
        <v>1E-4</v>
      </c>
      <c r="J83" t="b">
        <v>1</v>
      </c>
      <c r="K83">
        <v>4</v>
      </c>
      <c r="L83">
        <v>1500</v>
      </c>
      <c r="M83">
        <v>1.2</v>
      </c>
      <c r="N83">
        <v>0.154</v>
      </c>
      <c r="O83" t="s">
        <v>159</v>
      </c>
      <c r="P83" t="s">
        <v>160</v>
      </c>
      <c r="Q83">
        <v>-1.57383779852153E-4</v>
      </c>
      <c r="R83">
        <v>6.3643686183926997E-4</v>
      </c>
      <c r="S83">
        <v>5.6788532284119005E-4</v>
      </c>
      <c r="T83">
        <v>-4.5111853996557798E-3</v>
      </c>
      <c r="U83">
        <v>4.0825694456474499</v>
      </c>
      <c r="V83" s="1">
        <v>9.9999999999999905E-15</v>
      </c>
      <c r="W83">
        <v>0.27264625175410601</v>
      </c>
      <c r="X83">
        <v>2.4999999999999898</v>
      </c>
      <c r="Y83">
        <v>12.350916315352601</v>
      </c>
      <c r="Z83">
        <v>0.499999999999304</v>
      </c>
      <c r="AA83">
        <v>22.420070008087301</v>
      </c>
      <c r="AB83" s="9">
        <f t="shared" si="8"/>
        <v>-0.49648947795985515</v>
      </c>
      <c r="AC83" s="9">
        <f t="shared" si="9"/>
        <v>-0.5374764575300115</v>
      </c>
      <c r="AD83" s="2">
        <f t="shared" si="10"/>
        <v>8.2553571404126336E-2</v>
      </c>
      <c r="AE83" s="8">
        <f t="shared" si="11"/>
        <v>5.7513262253569418E-2</v>
      </c>
      <c r="AF83" s="2">
        <f t="shared" si="12"/>
        <v>-1.5503037673451202E-2</v>
      </c>
      <c r="AG83" s="8">
        <f t="shared" si="13"/>
        <v>7.301629992702062E-2</v>
      </c>
      <c r="AH83" s="7">
        <f t="shared" si="14"/>
        <v>-0.21232297019907062</v>
      </c>
      <c r="AI83">
        <f t="shared" si="15"/>
        <v>4</v>
      </c>
      <c r="AJ83" s="10">
        <f t="shared" si="16"/>
        <v>1.1682607988323299</v>
      </c>
    </row>
    <row r="84" spans="1:36" x14ac:dyDescent="0.25">
      <c r="A84" t="b">
        <v>0</v>
      </c>
      <c r="B84">
        <v>1000</v>
      </c>
      <c r="C84">
        <v>1.1682607988323299</v>
      </c>
      <c r="D84" t="s">
        <v>52</v>
      </c>
      <c r="E84" t="b">
        <v>1</v>
      </c>
      <c r="F84" t="s">
        <v>53</v>
      </c>
      <c r="G84">
        <v>7.4999999999999997E-2</v>
      </c>
      <c r="H84">
        <v>0.25</v>
      </c>
      <c r="I84">
        <v>1E-4</v>
      </c>
      <c r="J84" t="b">
        <v>1</v>
      </c>
      <c r="K84">
        <v>6</v>
      </c>
      <c r="L84">
        <v>1500</v>
      </c>
      <c r="M84">
        <v>1.2</v>
      </c>
      <c r="N84">
        <v>0.154</v>
      </c>
      <c r="O84" t="s">
        <v>161</v>
      </c>
      <c r="P84" t="s">
        <v>162</v>
      </c>
      <c r="Q84">
        <v>-2.93413956736661E-4</v>
      </c>
      <c r="R84">
        <v>3.21359120860057E-3</v>
      </c>
      <c r="S84">
        <v>1.2226314963901699E-3</v>
      </c>
      <c r="T84">
        <v>-1.70990895346191E-2</v>
      </c>
      <c r="U84">
        <v>6.0041153744392997</v>
      </c>
      <c r="V84" s="1">
        <v>9.9999999999940299E-15</v>
      </c>
      <c r="W84">
        <v>0.74913191421872305</v>
      </c>
      <c r="X84">
        <v>2.49999999999998</v>
      </c>
      <c r="Y84">
        <v>33.124798793355403</v>
      </c>
      <c r="Z84">
        <v>0.49999999999998401</v>
      </c>
      <c r="AA84">
        <v>60.832837665162103</v>
      </c>
      <c r="AB84" s="9">
        <f t="shared" si="8"/>
        <v>-0.38848558269383859</v>
      </c>
      <c r="AC84" s="9">
        <f t="shared" si="9"/>
        <v>-0.42762836681542449</v>
      </c>
      <c r="AD84" s="2">
        <f t="shared" si="10"/>
        <v>0.10075736620690479</v>
      </c>
      <c r="AE84" s="8">
        <f t="shared" si="11"/>
        <v>1.8728387349915974E-2</v>
      </c>
      <c r="AF84" s="2">
        <f t="shared" si="12"/>
        <v>-1.3723301506537635E-2</v>
      </c>
      <c r="AG84" s="8">
        <f t="shared" si="13"/>
        <v>3.2451688856453609E-2</v>
      </c>
      <c r="AH84" s="7">
        <f t="shared" si="14"/>
        <v>-0.42288404672068419</v>
      </c>
      <c r="AI84">
        <f t="shared" si="15"/>
        <v>6</v>
      </c>
      <c r="AJ84" s="10">
        <f t="shared" si="16"/>
        <v>1.1682607988323299</v>
      </c>
    </row>
    <row r="85" spans="1:36" x14ac:dyDescent="0.25">
      <c r="A85" t="b">
        <v>0</v>
      </c>
      <c r="B85">
        <v>1000</v>
      </c>
      <c r="C85">
        <v>1.47339637552983</v>
      </c>
      <c r="D85" t="s">
        <v>52</v>
      </c>
      <c r="E85" t="b">
        <v>1</v>
      </c>
      <c r="F85" t="s">
        <v>53</v>
      </c>
      <c r="G85">
        <v>7.4999999999999997E-2</v>
      </c>
      <c r="H85">
        <v>0.25</v>
      </c>
      <c r="I85">
        <v>1E-4</v>
      </c>
      <c r="J85" t="b">
        <v>1</v>
      </c>
      <c r="K85">
        <v>2</v>
      </c>
      <c r="L85">
        <v>1500</v>
      </c>
      <c r="M85">
        <v>2</v>
      </c>
      <c r="N85">
        <v>0.154</v>
      </c>
      <c r="O85" t="s">
        <v>163</v>
      </c>
      <c r="P85" t="s">
        <v>164</v>
      </c>
      <c r="Q85" s="1">
        <v>-6.1859419016523293E-5</v>
      </c>
      <c r="R85">
        <v>1.3277389923262601E-4</v>
      </c>
      <c r="S85">
        <v>2.11790166915956E-4</v>
      </c>
      <c r="T85">
        <v>-1.16795159874301E-3</v>
      </c>
      <c r="U85">
        <v>2.47944720846677</v>
      </c>
      <c r="V85" s="1">
        <v>9.9999999999998406E-15</v>
      </c>
      <c r="W85">
        <v>0.144655480402159</v>
      </c>
      <c r="X85">
        <v>2.4999999999999898</v>
      </c>
      <c r="Y85">
        <v>6.5307608994164399</v>
      </c>
      <c r="Z85">
        <v>0.49999999970800402</v>
      </c>
      <c r="AA85">
        <v>11.906585362865099</v>
      </c>
      <c r="AB85" s="9">
        <f t="shared" si="8"/>
        <v>-1.3786659878389025</v>
      </c>
      <c r="AC85" s="9">
        <f t="shared" si="9"/>
        <v>-1.1409103519375472</v>
      </c>
      <c r="AD85" s="2">
        <f t="shared" si="10"/>
        <v>-0.17245339915438396</v>
      </c>
      <c r="AE85" s="8">
        <f t="shared" si="11"/>
        <v>0.53478800723565256</v>
      </c>
      <c r="AF85" s="2">
        <f t="shared" si="12"/>
        <v>0.16643891335319505</v>
      </c>
      <c r="AG85" s="8">
        <f t="shared" si="13"/>
        <v>0.36834909388245751</v>
      </c>
      <c r="AH85" s="7">
        <f t="shared" si="14"/>
        <v>0.45185101882266809</v>
      </c>
      <c r="AI85">
        <f t="shared" si="15"/>
        <v>2</v>
      </c>
      <c r="AJ85" s="10">
        <f t="shared" si="16"/>
        <v>1.47339637552983</v>
      </c>
    </row>
    <row r="86" spans="1:36" x14ac:dyDescent="0.25">
      <c r="A86" t="b">
        <v>0</v>
      </c>
      <c r="B86">
        <v>1000</v>
      </c>
      <c r="C86">
        <v>1.9323154576739601</v>
      </c>
      <c r="D86" t="s">
        <v>52</v>
      </c>
      <c r="E86" t="b">
        <v>1</v>
      </c>
      <c r="F86" t="s">
        <v>53</v>
      </c>
      <c r="G86">
        <v>7.4999999999999997E-2</v>
      </c>
      <c r="H86">
        <v>0.25</v>
      </c>
      <c r="I86">
        <v>1E-4</v>
      </c>
      <c r="J86" t="b">
        <v>1</v>
      </c>
      <c r="K86">
        <v>4</v>
      </c>
      <c r="L86">
        <v>1500</v>
      </c>
      <c r="M86">
        <v>2</v>
      </c>
      <c r="N86">
        <v>0.154</v>
      </c>
      <c r="O86" t="s">
        <v>165</v>
      </c>
      <c r="P86" t="s">
        <v>166</v>
      </c>
      <c r="Q86">
        <v>-1.58543224299101E-4</v>
      </c>
      <c r="R86">
        <v>8.4812402978581196E-4</v>
      </c>
      <c r="S86">
        <v>5.9162772007641598E-4</v>
      </c>
      <c r="T86">
        <v>-5.5812242849939096E-3</v>
      </c>
      <c r="U86">
        <v>4.1388623408747396</v>
      </c>
      <c r="V86" s="1">
        <v>9.9999999999999905E-15</v>
      </c>
      <c r="W86">
        <v>0.35461877257991598</v>
      </c>
      <c r="X86">
        <v>2.4999999999999898</v>
      </c>
      <c r="Y86">
        <v>16.440685973987499</v>
      </c>
      <c r="Z86">
        <v>0.49999999999994299</v>
      </c>
      <c r="AA86">
        <v>29.616621226754901</v>
      </c>
      <c r="AB86" s="9">
        <f t="shared" si="8"/>
        <v>-0.58960475646249999</v>
      </c>
      <c r="AC86" s="9">
        <f t="shared" si="9"/>
        <v>-0.65660147941879221</v>
      </c>
      <c r="AD86" s="2">
        <f t="shared" si="10"/>
        <v>0.11362988887379055</v>
      </c>
      <c r="AE86" s="8">
        <f t="shared" si="11"/>
        <v>9.340261470813524E-2</v>
      </c>
      <c r="AF86" s="2">
        <f t="shared" si="12"/>
        <v>-2.7367101396487264E-2</v>
      </c>
      <c r="AG86" s="8">
        <f t="shared" si="13"/>
        <v>0.1207697161046225</v>
      </c>
      <c r="AH86" s="7">
        <f t="shared" si="14"/>
        <v>-0.22660566141249527</v>
      </c>
      <c r="AI86">
        <f t="shared" si="15"/>
        <v>4</v>
      </c>
      <c r="AJ86" s="10">
        <f t="shared" si="16"/>
        <v>1.9323154576739601</v>
      </c>
    </row>
    <row r="87" spans="1:36" x14ac:dyDescent="0.25">
      <c r="A87" t="b">
        <v>0</v>
      </c>
      <c r="B87">
        <v>1000</v>
      </c>
      <c r="C87">
        <v>1.9471013313872101</v>
      </c>
      <c r="D87" t="s">
        <v>52</v>
      </c>
      <c r="E87" t="b">
        <v>1</v>
      </c>
      <c r="F87" t="s">
        <v>53</v>
      </c>
      <c r="G87">
        <v>7.4999999999999997E-2</v>
      </c>
      <c r="H87">
        <v>0.25</v>
      </c>
      <c r="I87">
        <v>1E-4</v>
      </c>
      <c r="J87" t="b">
        <v>1</v>
      </c>
      <c r="K87">
        <v>6</v>
      </c>
      <c r="L87">
        <v>1500</v>
      </c>
      <c r="M87">
        <v>2</v>
      </c>
      <c r="N87">
        <v>0.154</v>
      </c>
      <c r="O87" t="s">
        <v>167</v>
      </c>
      <c r="P87" t="s">
        <v>168</v>
      </c>
      <c r="Q87">
        <v>-2.8833967127740701E-4</v>
      </c>
      <c r="R87">
        <v>3.5850442010125802E-3</v>
      </c>
      <c r="S87">
        <v>1.2392171605894601E-3</v>
      </c>
      <c r="T87">
        <v>-1.8803439414310098E-2</v>
      </c>
      <c r="U87">
        <v>6.0092838225545604</v>
      </c>
      <c r="V87" s="1">
        <v>9.9999999999848996E-15</v>
      </c>
      <c r="W87">
        <v>0.84494104399244896</v>
      </c>
      <c r="X87">
        <v>2.49999999999998</v>
      </c>
      <c r="Y87">
        <v>37.696562331382196</v>
      </c>
      <c r="Z87">
        <v>0.49999999999997402</v>
      </c>
      <c r="AA87">
        <v>69.020612441376102</v>
      </c>
      <c r="AB87" s="9">
        <f t="shared" si="8"/>
        <v>-0.42149009723216085</v>
      </c>
      <c r="AC87" s="9">
        <f t="shared" si="9"/>
        <v>-0.48726614477920016</v>
      </c>
      <c r="AD87" s="2">
        <f t="shared" si="10"/>
        <v>0.15605597374405034</v>
      </c>
      <c r="AE87" s="8">
        <f t="shared" si="11"/>
        <v>3.0275243806347715E-2</v>
      </c>
      <c r="AF87" s="2">
        <f t="shared" si="12"/>
        <v>-2.3810904287741453E-2</v>
      </c>
      <c r="AG87" s="8">
        <f t="shared" si="13"/>
        <v>5.4086148094089168E-2</v>
      </c>
      <c r="AH87" s="7">
        <f t="shared" si="14"/>
        <v>-0.44024034113724658</v>
      </c>
      <c r="AI87">
        <f t="shared" si="15"/>
        <v>6</v>
      </c>
      <c r="AJ87" s="10">
        <f t="shared" si="16"/>
        <v>1.9471013313872101</v>
      </c>
    </row>
    <row r="89" spans="1:36" x14ac:dyDescent="0.25">
      <c r="A89" s="3">
        <v>44287</v>
      </c>
      <c r="B89" t="s">
        <v>169</v>
      </c>
    </row>
    <row r="90" spans="1:36" x14ac:dyDescent="0.25">
      <c r="A90" t="s">
        <v>25</v>
      </c>
      <c r="B90" t="s">
        <v>26</v>
      </c>
      <c r="C90" t="s">
        <v>27</v>
      </c>
      <c r="D90" t="s">
        <v>28</v>
      </c>
      <c r="E90" t="s">
        <v>29</v>
      </c>
      <c r="F90" t="s">
        <v>30</v>
      </c>
      <c r="G90" s="9" t="s">
        <v>31</v>
      </c>
      <c r="H90" s="9" t="s">
        <v>32</v>
      </c>
      <c r="I90" t="s">
        <v>33</v>
      </c>
      <c r="J90" t="s">
        <v>34</v>
      </c>
      <c r="K90" t="s">
        <v>35</v>
      </c>
      <c r="L90" t="s">
        <v>36</v>
      </c>
      <c r="M90" t="s">
        <v>37</v>
      </c>
      <c r="N90" t="s">
        <v>38</v>
      </c>
      <c r="O90" t="s">
        <v>39</v>
      </c>
      <c r="P90" t="s">
        <v>40</v>
      </c>
      <c r="Q90" t="s">
        <v>41</v>
      </c>
      <c r="R90" t="s">
        <v>42</v>
      </c>
      <c r="S90" t="s">
        <v>43</v>
      </c>
      <c r="T90" t="s">
        <v>44</v>
      </c>
      <c r="U90" t="s">
        <v>45</v>
      </c>
      <c r="V90" t="s">
        <v>46</v>
      </c>
      <c r="W90" t="s">
        <v>47</v>
      </c>
      <c r="X90" t="s">
        <v>48</v>
      </c>
      <c r="Y90" t="s">
        <v>49</v>
      </c>
      <c r="Z90" t="s">
        <v>50</v>
      </c>
      <c r="AA90" t="s">
        <v>51</v>
      </c>
      <c r="AB90" s="9" t="s">
        <v>150</v>
      </c>
      <c r="AC90" s="9" t="s">
        <v>147</v>
      </c>
      <c r="AD90" t="s">
        <v>148</v>
      </c>
      <c r="AE90" t="s">
        <v>114</v>
      </c>
      <c r="AF90" t="s">
        <v>115</v>
      </c>
      <c r="AG90" t="s">
        <v>116</v>
      </c>
      <c r="AH90" t="s">
        <v>149</v>
      </c>
      <c r="AI90" t="s">
        <v>35</v>
      </c>
      <c r="AJ90" t="s">
        <v>37</v>
      </c>
    </row>
    <row r="91" spans="1:36" x14ac:dyDescent="0.25">
      <c r="A91" t="b">
        <v>0</v>
      </c>
      <c r="B91">
        <v>1000</v>
      </c>
      <c r="C91">
        <v>1.9471013313871799E-2</v>
      </c>
      <c r="D91" t="s">
        <v>170</v>
      </c>
      <c r="E91" t="b">
        <v>1</v>
      </c>
      <c r="F91" t="s">
        <v>53</v>
      </c>
      <c r="G91" s="9">
        <v>7.4999999999999997E-2</v>
      </c>
      <c r="H91" s="9">
        <v>0.95</v>
      </c>
      <c r="I91">
        <v>1E-4</v>
      </c>
      <c r="J91" t="b">
        <v>1</v>
      </c>
      <c r="K91">
        <v>1</v>
      </c>
      <c r="L91">
        <v>1500</v>
      </c>
      <c r="M91">
        <v>0.02</v>
      </c>
      <c r="N91">
        <v>0.154</v>
      </c>
      <c r="O91" t="s">
        <v>56</v>
      </c>
      <c r="P91" t="s">
        <v>57</v>
      </c>
      <c r="Q91" s="1">
        <v>-1.1497699522658799E-5</v>
      </c>
      <c r="R91" s="1">
        <v>4.6574240057838598E-6</v>
      </c>
      <c r="S91" s="1">
        <v>3.4005456762233001E-5</v>
      </c>
      <c r="T91" s="1">
        <v>-6.40773770926638E-6</v>
      </c>
      <c r="U91">
        <v>1.0104611186294401</v>
      </c>
      <c r="V91" s="1">
        <v>-1.35186793075371E-15</v>
      </c>
      <c r="W91">
        <v>2.0192200486946501E-2</v>
      </c>
      <c r="X91">
        <v>1.79503614027789</v>
      </c>
      <c r="Y91">
        <v>1.65840726877391</v>
      </c>
      <c r="Z91">
        <v>1.42842372475113E-2</v>
      </c>
      <c r="AA91">
        <v>1.2863784537454801</v>
      </c>
      <c r="AB91" s="9">
        <f>T91/S91/K91^2</f>
        <v>-0.18843263168230445</v>
      </c>
      <c r="AC91" s="9">
        <f>(5/7+8*C91/K91^2)/(-3-3*C91/K91^2)</f>
        <v>-0.28447884881281371</v>
      </c>
      <c r="AD91" s="2">
        <f>(AC91/AB91-1)</f>
        <v>0.50971116983836562</v>
      </c>
      <c r="AE91" s="8">
        <f>-(1+3*AB91)/(10+3*AB91)</f>
        <v>-4.607480979445807E-2</v>
      </c>
      <c r="AF91" s="2">
        <f>(AE91-C91/K91^2)</f>
        <v>-6.5545823108329876E-2</v>
      </c>
      <c r="AG91" s="8">
        <f>C91/K91^2</f>
        <v>1.9471013313871799E-2</v>
      </c>
      <c r="AH91" s="7">
        <f>AF91/AG91</f>
        <v>-3.3663282979542131</v>
      </c>
      <c r="AI91">
        <f>K91</f>
        <v>1</v>
      </c>
      <c r="AJ91" s="10">
        <f>C91</f>
        <v>1.9471013313871799E-2</v>
      </c>
    </row>
    <row r="92" spans="1:36" x14ac:dyDescent="0.25">
      <c r="A92" t="b">
        <v>0</v>
      </c>
      <c r="B92">
        <v>1000</v>
      </c>
      <c r="C92">
        <v>1.9471013313872E-2</v>
      </c>
      <c r="D92" t="s">
        <v>170</v>
      </c>
      <c r="E92" t="b">
        <v>1</v>
      </c>
      <c r="F92" t="s">
        <v>53</v>
      </c>
      <c r="G92" s="9">
        <v>7.4999999999999997E-2</v>
      </c>
      <c r="H92" s="9">
        <v>0.05</v>
      </c>
      <c r="I92">
        <v>1E-4</v>
      </c>
      <c r="J92" t="b">
        <v>1</v>
      </c>
      <c r="K92">
        <v>4</v>
      </c>
      <c r="L92">
        <v>1500</v>
      </c>
      <c r="M92">
        <v>0.02</v>
      </c>
      <c r="N92">
        <v>0.154</v>
      </c>
      <c r="O92" t="s">
        <v>171</v>
      </c>
      <c r="P92" t="s">
        <v>172</v>
      </c>
      <c r="Q92">
        <v>-1.7629796346196099E-4</v>
      </c>
      <c r="R92" s="1">
        <v>3.2032272705246299E-4</v>
      </c>
      <c r="S92">
        <v>5.3285956181826097E-4</v>
      </c>
      <c r="T92">
        <v>-1.2640309327912401E-3</v>
      </c>
      <c r="U92">
        <v>4.0058125573919199</v>
      </c>
      <c r="V92" s="1">
        <v>9.6950875643054592E-15</v>
      </c>
      <c r="W92">
        <v>2.6467481182679202E-3</v>
      </c>
      <c r="X92">
        <v>2.4813781203596301</v>
      </c>
      <c r="Y92">
        <v>10.762919749003199</v>
      </c>
      <c r="Z92">
        <v>4.4761628902468299E-2</v>
      </c>
      <c r="AA92">
        <v>10.8805195678554</v>
      </c>
      <c r="AB92" s="9">
        <f>T92/S92/K92^2</f>
        <v>-0.14826032778669962</v>
      </c>
      <c r="AC92" s="9">
        <f>(5/7+8*C92/K92^2)/(-3-3*C92/K92^2)</f>
        <v>-0.2410470675645198</v>
      </c>
      <c r="AD92" s="2">
        <f>(AC92/AB92-1)</f>
        <v>0.62583660216448034</v>
      </c>
      <c r="AE92" s="8">
        <f>-(1+3*AB92)/(10+3*AB92)</f>
        <v>-5.8106362153815316E-2</v>
      </c>
      <c r="AF92" s="2">
        <f>(AE92-C92/K92^2)</f>
        <v>-5.9323300485932318E-2</v>
      </c>
      <c r="AG92" s="8">
        <f>C92/K92^2</f>
        <v>1.216938332117E-3</v>
      </c>
      <c r="AH92" s="7">
        <f>AF92/AG92</f>
        <v>-48.747992334774118</v>
      </c>
      <c r="AI92">
        <f>K92</f>
        <v>4</v>
      </c>
      <c r="AJ92" s="10">
        <f>C92</f>
        <v>1.9471013313872E-2</v>
      </c>
    </row>
    <row r="93" spans="1:36" x14ac:dyDescent="0.25">
      <c r="A93" t="b">
        <v>0</v>
      </c>
      <c r="B93">
        <v>1000</v>
      </c>
      <c r="C93">
        <v>1.9471013313872E-2</v>
      </c>
      <c r="D93" t="s">
        <v>170</v>
      </c>
      <c r="E93" t="b">
        <v>1</v>
      </c>
      <c r="F93" t="s">
        <v>53</v>
      </c>
      <c r="G93" s="9">
        <v>7.4999999999999997E-2</v>
      </c>
      <c r="H93" s="9">
        <v>0.25</v>
      </c>
      <c r="I93">
        <v>1E-4</v>
      </c>
      <c r="J93" t="b">
        <v>1</v>
      </c>
      <c r="K93">
        <v>4</v>
      </c>
      <c r="L93">
        <v>1500</v>
      </c>
      <c r="M93">
        <v>0.02</v>
      </c>
      <c r="N93">
        <v>0.154</v>
      </c>
      <c r="O93" t="s">
        <v>171</v>
      </c>
      <c r="P93" t="s">
        <v>172</v>
      </c>
      <c r="Q93">
        <v>-1.7629796346196099E-4</v>
      </c>
      <c r="R93" s="1">
        <v>3.2032272705246299E-4</v>
      </c>
      <c r="S93">
        <v>5.3285956181826097E-4</v>
      </c>
      <c r="T93">
        <v>-1.2640309327912401E-3</v>
      </c>
      <c r="U93">
        <v>4.0058125573919199</v>
      </c>
      <c r="V93" s="1">
        <v>9.6950875643054592E-15</v>
      </c>
      <c r="W93">
        <v>2.6467481182679202E-3</v>
      </c>
      <c r="X93">
        <v>2.4813781203596301</v>
      </c>
      <c r="Y93">
        <v>10.762919749003199</v>
      </c>
      <c r="Z93">
        <v>4.4761628902468299E-2</v>
      </c>
      <c r="AA93">
        <v>10.8805195678554</v>
      </c>
      <c r="AB93" s="9">
        <f>T93/S93/K93^2</f>
        <v>-0.14826032778669962</v>
      </c>
      <c r="AC93" s="9">
        <f>(5/7+8*C93/K93^2)/(-3-3*C93/K93^2)</f>
        <v>-0.2410470675645198</v>
      </c>
      <c r="AD93" s="2">
        <f>(AC93/AB93-1)</f>
        <v>0.62583660216448034</v>
      </c>
      <c r="AE93" s="8">
        <f>-(1+3*AB93)/(10+3*AB93)</f>
        <v>-5.8106362153815316E-2</v>
      </c>
      <c r="AF93" s="2">
        <f>(AE93-C93/K93^2)</f>
        <v>-5.9323300485932318E-2</v>
      </c>
      <c r="AG93" s="8">
        <f>C93/K93^2</f>
        <v>1.216938332117E-3</v>
      </c>
      <c r="AH93" s="7">
        <f>AF93/AG93</f>
        <v>-48.747992334774118</v>
      </c>
      <c r="AI93">
        <f>K93</f>
        <v>4</v>
      </c>
      <c r="AJ93" s="10">
        <f>C93</f>
        <v>1.9471013313872E-2</v>
      </c>
    </row>
    <row r="94" spans="1:36" x14ac:dyDescent="0.25">
      <c r="A94" t="b">
        <v>0</v>
      </c>
      <c r="B94">
        <v>1000</v>
      </c>
      <c r="C94">
        <v>0.18237679682340799</v>
      </c>
      <c r="D94" t="s">
        <v>170</v>
      </c>
      <c r="E94" t="b">
        <v>1</v>
      </c>
      <c r="F94" t="s">
        <v>53</v>
      </c>
      <c r="G94" s="9">
        <v>7.4999999999999997E-2</v>
      </c>
      <c r="H94" s="9">
        <v>0.95</v>
      </c>
      <c r="I94">
        <v>1E-4</v>
      </c>
      <c r="J94" t="b">
        <v>1</v>
      </c>
      <c r="K94">
        <v>1</v>
      </c>
      <c r="L94">
        <v>1500</v>
      </c>
      <c r="M94">
        <v>0.2</v>
      </c>
      <c r="N94">
        <v>0.154</v>
      </c>
      <c r="O94" t="s">
        <v>175</v>
      </c>
      <c r="P94" t="s">
        <v>176</v>
      </c>
      <c r="Q94" s="1">
        <v>-1.35528333223829E-5</v>
      </c>
      <c r="R94" s="1">
        <v>3.4815179420688999E-6</v>
      </c>
      <c r="S94" s="1">
        <v>4.0279952611138103E-5</v>
      </c>
      <c r="T94" s="1">
        <v>-2.0699093861108101E-5</v>
      </c>
      <c r="U94">
        <v>1.0985430649413099</v>
      </c>
      <c r="V94" s="1">
        <v>-1.1286784959802499E-15</v>
      </c>
      <c r="W94">
        <v>1.5076408244847401E-2</v>
      </c>
      <c r="X94">
        <v>1.8288903605076099</v>
      </c>
      <c r="Y94">
        <v>1.0706642988641999</v>
      </c>
      <c r="Z94">
        <v>1.1877457166342101E-2</v>
      </c>
      <c r="AA94">
        <v>0.84963376879521102</v>
      </c>
      <c r="AB94" s="9">
        <f>T94/S94/K94^2</f>
        <v>-0.51388078980471408</v>
      </c>
      <c r="AC94" s="9">
        <f>(5/7+8*C94/K94^2)/(-3-3*C94/K94^2)</f>
        <v>-0.61269247240298808</v>
      </c>
      <c r="AD94" s="2">
        <f>(AC94/AB94-1)</f>
        <v>0.19228522365240508</v>
      </c>
      <c r="AE94" s="8">
        <f>-(1+3*AB94)/(10+3*AB94)</f>
        <v>6.4036352335769722E-2</v>
      </c>
      <c r="AF94" s="2">
        <f>(AE94-C94/K94^2)</f>
        <v>-0.11834044448763827</v>
      </c>
      <c r="AG94" s="8">
        <f>C94/K94^2</f>
        <v>0.18237679682340799</v>
      </c>
      <c r="AH94" s="7">
        <f>AF94/AG94</f>
        <v>-0.64887884066866841</v>
      </c>
      <c r="AI94">
        <f>K94</f>
        <v>1</v>
      </c>
      <c r="AJ94" s="10">
        <f>C94</f>
        <v>0.18237679682340799</v>
      </c>
    </row>
    <row r="95" spans="1:36" x14ac:dyDescent="0.25">
      <c r="A95" t="b">
        <v>0</v>
      </c>
      <c r="B95">
        <v>1000</v>
      </c>
      <c r="C95">
        <v>0.19471013300000001</v>
      </c>
      <c r="D95" t="s">
        <v>170</v>
      </c>
      <c r="E95" t="b">
        <v>1</v>
      </c>
      <c r="F95" t="s">
        <v>53</v>
      </c>
      <c r="G95" s="9">
        <v>7.4999999999999997E-2</v>
      </c>
      <c r="H95" s="9">
        <v>0.25</v>
      </c>
      <c r="I95">
        <v>1E-4</v>
      </c>
      <c r="J95" t="b">
        <v>1</v>
      </c>
      <c r="K95">
        <v>4</v>
      </c>
      <c r="L95">
        <v>1500</v>
      </c>
      <c r="M95">
        <v>0.2</v>
      </c>
      <c r="N95">
        <v>0.154</v>
      </c>
      <c r="O95" t="s">
        <v>173</v>
      </c>
      <c r="P95" t="s">
        <v>174</v>
      </c>
      <c r="Q95">
        <v>-1.6662968070322399E-4</v>
      </c>
      <c r="R95" s="1">
        <v>5.7543854859742403E-5</v>
      </c>
      <c r="S95">
        <v>5.4108254441060299E-4</v>
      </c>
      <c r="T95">
        <v>-1.83246338660324E-3</v>
      </c>
      <c r="U95">
        <v>4.0760295267702897</v>
      </c>
      <c r="V95" s="1">
        <v>6.5534512121175896E-15</v>
      </c>
      <c r="W95">
        <v>2.5813244774256599E-2</v>
      </c>
      <c r="X95">
        <v>2.4995630336581098</v>
      </c>
      <c r="Y95">
        <v>1.10537846460388</v>
      </c>
      <c r="Z95">
        <v>0.42465104470716503</v>
      </c>
      <c r="AA95">
        <v>1.9382413273204999</v>
      </c>
      <c r="AB95" s="9">
        <f>T95/S95/K95^2</f>
        <v>-0.21166633972171106</v>
      </c>
      <c r="AC95" s="9">
        <f>(5/7+8*C95/K95^2)/(-3-3*C95/K95^2)</f>
        <v>-0.26729412229715904</v>
      </c>
      <c r="AD95" s="2">
        <f>(AC95/AB95-1)</f>
        <v>0.26280882755654389</v>
      </c>
      <c r="AE95" s="8">
        <f>-(1+3*AB95)/(10+3*AB95)</f>
        <v>-3.8975007219094589E-2</v>
      </c>
      <c r="AF95" s="2">
        <f>(AE95-C95/K95^2)</f>
        <v>-5.1144390531594586E-2</v>
      </c>
      <c r="AG95" s="8">
        <f>C95/K95^2</f>
        <v>1.21693833125E-2</v>
      </c>
      <c r="AH95" s="7">
        <f>AF95/AG95</f>
        <v>-4.2027101306818651</v>
      </c>
      <c r="AI95">
        <f>K95</f>
        <v>4</v>
      </c>
      <c r="AJ95" s="10">
        <f>C95</f>
        <v>0.19471013300000001</v>
      </c>
    </row>
    <row r="97" spans="1:36" x14ac:dyDescent="0.25">
      <c r="A97" s="3">
        <v>44287</v>
      </c>
      <c r="B97" t="s">
        <v>177</v>
      </c>
    </row>
    <row r="98" spans="1:36" x14ac:dyDescent="0.25">
      <c r="A98" t="s">
        <v>25</v>
      </c>
      <c r="B98" t="s">
        <v>26</v>
      </c>
      <c r="C98" t="s">
        <v>27</v>
      </c>
      <c r="D98" t="s">
        <v>28</v>
      </c>
      <c r="E98" t="s">
        <v>29</v>
      </c>
      <c r="F98" t="s">
        <v>30</v>
      </c>
      <c r="G98" t="s">
        <v>31</v>
      </c>
      <c r="H98" t="s">
        <v>32</v>
      </c>
      <c r="I98" t="s">
        <v>33</v>
      </c>
      <c r="J98" t="s">
        <v>34</v>
      </c>
      <c r="K98" t="s">
        <v>35</v>
      </c>
      <c r="L98" t="s">
        <v>36</v>
      </c>
      <c r="M98" t="s">
        <v>37</v>
      </c>
      <c r="N98" t="s">
        <v>38</v>
      </c>
      <c r="O98" t="s">
        <v>39</v>
      </c>
      <c r="P98" t="s">
        <v>40</v>
      </c>
      <c r="Q98" t="s">
        <v>41</v>
      </c>
      <c r="R98" t="s">
        <v>42</v>
      </c>
      <c r="S98" t="s">
        <v>43</v>
      </c>
      <c r="T98" t="s">
        <v>44</v>
      </c>
      <c r="U98" t="s">
        <v>45</v>
      </c>
      <c r="V98" t="s">
        <v>46</v>
      </c>
      <c r="W98" t="s">
        <v>47</v>
      </c>
      <c r="X98" t="s">
        <v>48</v>
      </c>
      <c r="Y98" t="s">
        <v>49</v>
      </c>
      <c r="Z98" t="s">
        <v>50</v>
      </c>
      <c r="AA98" t="s">
        <v>51</v>
      </c>
      <c r="AB98" s="9" t="s">
        <v>150</v>
      </c>
      <c r="AC98" s="9" t="s">
        <v>147</v>
      </c>
      <c r="AD98" t="s">
        <v>148</v>
      </c>
      <c r="AE98" t="s">
        <v>114</v>
      </c>
      <c r="AF98" t="s">
        <v>115</v>
      </c>
      <c r="AG98" t="s">
        <v>116</v>
      </c>
      <c r="AH98" t="s">
        <v>149</v>
      </c>
      <c r="AI98" t="s">
        <v>35</v>
      </c>
      <c r="AJ98" t="s">
        <v>37</v>
      </c>
    </row>
    <row r="99" spans="1:36" x14ac:dyDescent="0.25">
      <c r="A99" t="b">
        <v>0</v>
      </c>
      <c r="B99">
        <v>1000</v>
      </c>
      <c r="C99">
        <v>9.7355066569361996E-3</v>
      </c>
      <c r="D99" t="s">
        <v>52</v>
      </c>
      <c r="E99" t="b">
        <v>1</v>
      </c>
      <c r="F99" t="s">
        <v>53</v>
      </c>
      <c r="G99">
        <v>7.4999999999999997E-2</v>
      </c>
      <c r="H99">
        <v>0.5</v>
      </c>
      <c r="I99">
        <v>1E-4</v>
      </c>
      <c r="J99" t="b">
        <v>1</v>
      </c>
      <c r="K99">
        <v>1</v>
      </c>
      <c r="L99">
        <v>1500</v>
      </c>
      <c r="M99">
        <v>0.01</v>
      </c>
      <c r="N99">
        <v>0.154</v>
      </c>
      <c r="O99" t="s">
        <v>178</v>
      </c>
      <c r="P99" t="s">
        <v>179</v>
      </c>
      <c r="Q99" s="1">
        <v>-1.4201265975755E-6</v>
      </c>
      <c r="R99" s="1">
        <v>4.54096218525473E-7</v>
      </c>
      <c r="S99" s="1">
        <v>4.2114573288020001E-6</v>
      </c>
      <c r="T99" s="1">
        <v>-1.5357526228483999E-6</v>
      </c>
      <c r="U99">
        <v>1.0047259821761001</v>
      </c>
      <c r="V99" s="1">
        <v>-1.2384263021778E-15</v>
      </c>
      <c r="W99">
        <v>1.6653229270650299E-2</v>
      </c>
      <c r="X99">
        <v>1.81213387245865</v>
      </c>
      <c r="Y99">
        <v>1.3302791719590099</v>
      </c>
      <c r="Z99">
        <v>1.30767041958411E-2</v>
      </c>
      <c r="AA99">
        <v>1.0364873586933301</v>
      </c>
      <c r="AB99" s="9">
        <f>T99/S99/K99^2</f>
        <v>-0.36466061577911402</v>
      </c>
      <c r="AC99" s="9">
        <f>(1+10*C99/K99^2)/(-3-3*C99/K99^2)</f>
        <v>-0.36225825454117166</v>
      </c>
      <c r="AD99" s="2">
        <f>(AC99/AB99-1)</f>
        <v>-6.5879372051451668E-3</v>
      </c>
      <c r="AE99" s="8">
        <f>-(1+3*AB99)/(10+3*AB99)</f>
        <v>1.0552622476885916E-2</v>
      </c>
      <c r="AF99" s="2">
        <f>(AE99-C99/K99^2)</f>
        <v>8.1711581994971597E-4</v>
      </c>
      <c r="AG99" s="8">
        <f>C99/K99^2</f>
        <v>9.7355066569361996E-3</v>
      </c>
      <c r="AH99" s="7">
        <f>AF99/AG99</f>
        <v>8.3931514685735453E-2</v>
      </c>
      <c r="AI99">
        <f>K99</f>
        <v>1</v>
      </c>
      <c r="AJ99" s="10">
        <f>C99</f>
        <v>9.7355066569361996E-3</v>
      </c>
    </row>
    <row r="100" spans="1:36" hidden="1" x14ac:dyDescent="0.25">
      <c r="A100" t="b">
        <v>0</v>
      </c>
      <c r="B100">
        <v>1000</v>
      </c>
      <c r="C100">
        <v>9.7355066569361996E-3</v>
      </c>
      <c r="D100" t="s">
        <v>52</v>
      </c>
      <c r="E100" t="b">
        <v>1</v>
      </c>
      <c r="F100" t="s">
        <v>53</v>
      </c>
      <c r="G100">
        <v>7.4999999999999997E-2</v>
      </c>
      <c r="H100">
        <v>0.5</v>
      </c>
      <c r="I100">
        <v>1E-4</v>
      </c>
      <c r="J100" t="b">
        <v>1</v>
      </c>
      <c r="K100">
        <v>1</v>
      </c>
      <c r="L100">
        <v>1500</v>
      </c>
      <c r="M100">
        <v>0.01</v>
      </c>
      <c r="N100">
        <v>0.154</v>
      </c>
      <c r="O100" t="s">
        <v>178</v>
      </c>
      <c r="P100" t="s">
        <v>180</v>
      </c>
      <c r="Q100" s="1">
        <v>-1.1357208806661801E-5</v>
      </c>
      <c r="R100" s="1">
        <v>3.6666112401213899E-6</v>
      </c>
      <c r="S100" s="1">
        <v>3.3680371518182601E-5</v>
      </c>
      <c r="T100" s="1">
        <v>-1.2281484166231301E-5</v>
      </c>
      <c r="U100">
        <v>1.00471796071346</v>
      </c>
      <c r="V100" s="1">
        <v>-1.2384862182918499E-15</v>
      </c>
      <c r="W100">
        <v>1.6517379297025899E-2</v>
      </c>
      <c r="X100">
        <v>1.81213219327678</v>
      </c>
      <c r="Y100">
        <v>1.33445849821205</v>
      </c>
      <c r="Z100">
        <v>1.30767536696796E-2</v>
      </c>
      <c r="AA100">
        <v>1.0465852713700901</v>
      </c>
      <c r="AB100" s="9">
        <f t="shared" ref="AB100:AB163" si="17">T100/S100/K100^2</f>
        <v>-0.36464812033326444</v>
      </c>
      <c r="AC100" s="9">
        <f t="shared" ref="AC100:AC163" si="18">(1+10*C100/K100^2)/(-3-3*C100/K100^2)</f>
        <v>-0.36225825454117166</v>
      </c>
      <c r="AD100" s="2">
        <f t="shared" ref="AD100:AD163" si="19">(AC100/AB100-1)</f>
        <v>-6.5538958212881804E-3</v>
      </c>
      <c r="AE100" s="8">
        <f t="shared" ref="AE100:AE163" si="20">-(1+3*AB100)/(10+3*AB100)</f>
        <v>1.0548368975869027E-2</v>
      </c>
      <c r="AF100" s="2">
        <f t="shared" ref="AF100:AF163" si="21">(AE100-C100/K100^2)</f>
        <v>8.1286231893282733E-4</v>
      </c>
      <c r="AG100" s="8">
        <f t="shared" ref="AG100:AG163" si="22">C100/K100^2</f>
        <v>9.7355066569361996E-3</v>
      </c>
      <c r="AH100" s="7">
        <f t="shared" ref="AH100:AH163" si="23">AF100/AG100</f>
        <v>8.3494608711883744E-2</v>
      </c>
      <c r="AI100">
        <f t="shared" ref="AI100:AI163" si="24">K100</f>
        <v>1</v>
      </c>
      <c r="AJ100" s="10">
        <f t="shared" ref="AJ100:AJ163" si="25">C100</f>
        <v>9.7355066569361996E-3</v>
      </c>
    </row>
    <row r="101" spans="1:36" hidden="1" x14ac:dyDescent="0.25">
      <c r="A101" t="b">
        <v>0</v>
      </c>
      <c r="B101">
        <v>1000</v>
      </c>
      <c r="C101">
        <v>9.7355066569361996E-3</v>
      </c>
      <c r="D101" t="s">
        <v>52</v>
      </c>
      <c r="E101" t="b">
        <v>1</v>
      </c>
      <c r="F101" t="s">
        <v>53</v>
      </c>
      <c r="G101">
        <v>7.4999999999999997E-2</v>
      </c>
      <c r="H101">
        <v>0.5</v>
      </c>
      <c r="I101">
        <v>1E-4</v>
      </c>
      <c r="J101" t="b">
        <v>1</v>
      </c>
      <c r="K101">
        <v>1</v>
      </c>
      <c r="L101">
        <v>1500</v>
      </c>
      <c r="M101">
        <v>0.01</v>
      </c>
      <c r="N101">
        <v>0.154</v>
      </c>
      <c r="O101" t="s">
        <v>178</v>
      </c>
      <c r="P101" t="s">
        <v>181</v>
      </c>
      <c r="Q101" s="1">
        <v>-1.4201265975751099E-6</v>
      </c>
      <c r="R101" s="1">
        <v>4.5459722078211601E-7</v>
      </c>
      <c r="S101" s="1">
        <v>4.2114573287973397E-6</v>
      </c>
      <c r="T101" s="1">
        <v>-1.5357526226152901E-6</v>
      </c>
      <c r="U101">
        <v>1.0047259821735</v>
      </c>
      <c r="V101" s="1">
        <v>-1.23842630181229E-15</v>
      </c>
      <c r="W101">
        <v>1.6753164797647099E-2</v>
      </c>
      <c r="X101">
        <v>1.81213387245338</v>
      </c>
      <c r="Y101">
        <v>1.3305777810713699</v>
      </c>
      <c r="Z101">
        <v>1.30767041965099E-2</v>
      </c>
      <c r="AA101">
        <v>1.03764803881782</v>
      </c>
      <c r="AB101" s="9">
        <f t="shared" si="17"/>
        <v>-0.36466061572416619</v>
      </c>
      <c r="AC101" s="9">
        <f t="shared" si="18"/>
        <v>-0.36225825454117166</v>
      </c>
      <c r="AD101" s="2">
        <f t="shared" si="19"/>
        <v>-6.5879370554556838E-3</v>
      </c>
      <c r="AE101" s="8">
        <f t="shared" si="20"/>
        <v>1.0552622458181397E-2</v>
      </c>
      <c r="AF101" s="2">
        <f t="shared" si="21"/>
        <v>8.1711580124519713E-4</v>
      </c>
      <c r="AG101" s="8">
        <f t="shared" si="22"/>
        <v>9.7355066569361996E-3</v>
      </c>
      <c r="AH101" s="7">
        <f t="shared" si="23"/>
        <v>8.3931512764467309E-2</v>
      </c>
      <c r="AI101">
        <f t="shared" si="24"/>
        <v>1</v>
      </c>
      <c r="AJ101" s="10">
        <f t="shared" si="25"/>
        <v>9.7355066569361996E-3</v>
      </c>
    </row>
    <row r="102" spans="1:36" hidden="1" x14ac:dyDescent="0.25">
      <c r="A102" t="b">
        <v>0</v>
      </c>
      <c r="B102">
        <v>1000</v>
      </c>
      <c r="C102">
        <v>9.7355066569361996E-3</v>
      </c>
      <c r="D102" t="s">
        <v>52</v>
      </c>
      <c r="E102" t="b">
        <v>1</v>
      </c>
      <c r="F102" t="s">
        <v>53</v>
      </c>
      <c r="G102">
        <v>7.4999999999999997E-2</v>
      </c>
      <c r="H102">
        <v>0.5</v>
      </c>
      <c r="I102">
        <v>1E-4</v>
      </c>
      <c r="J102" t="b">
        <v>1</v>
      </c>
      <c r="K102">
        <v>1</v>
      </c>
      <c r="L102">
        <v>1500</v>
      </c>
      <c r="M102">
        <v>0.01</v>
      </c>
      <c r="N102">
        <v>0.154</v>
      </c>
      <c r="O102" t="s">
        <v>178</v>
      </c>
      <c r="P102" t="s">
        <v>182</v>
      </c>
      <c r="Q102" s="1">
        <v>-2.84025295406992E-6</v>
      </c>
      <c r="R102" s="1">
        <v>9.1150790714490697E-7</v>
      </c>
      <c r="S102" s="1">
        <v>8.4229139332437108E-6</v>
      </c>
      <c r="T102" s="1">
        <v>-3.0715041914595198E-6</v>
      </c>
      <c r="U102">
        <v>1.0047248357789</v>
      </c>
      <c r="V102" s="1">
        <v>-1.23765658344397E-15</v>
      </c>
      <c r="W102">
        <v>1.6660134339222799E-2</v>
      </c>
      <c r="X102">
        <v>1.81213380910871</v>
      </c>
      <c r="Y102">
        <v>1.3316400689329499</v>
      </c>
      <c r="Z102">
        <v>1.3076698613132799E-2</v>
      </c>
      <c r="AA102">
        <v>1.0402976069276799</v>
      </c>
      <c r="AB102" s="9">
        <f t="shared" si="17"/>
        <v>-0.36466052197646837</v>
      </c>
      <c r="AC102" s="9">
        <f t="shared" si="18"/>
        <v>-0.36225825454117166</v>
      </c>
      <c r="AD102" s="2">
        <f t="shared" si="19"/>
        <v>-6.5876816669826477E-3</v>
      </c>
      <c r="AE102" s="8">
        <f t="shared" si="20"/>
        <v>1.0552590545947215E-2</v>
      </c>
      <c r="AF102" s="2">
        <f t="shared" si="21"/>
        <v>8.1708388901101554E-4</v>
      </c>
      <c r="AG102" s="8">
        <f t="shared" si="22"/>
        <v>9.7355066569361996E-3</v>
      </c>
      <c r="AH102" s="7">
        <f t="shared" si="23"/>
        <v>8.3928234842186936E-2</v>
      </c>
      <c r="AI102">
        <f t="shared" si="24"/>
        <v>1</v>
      </c>
      <c r="AJ102" s="10">
        <f t="shared" si="25"/>
        <v>9.7355066569361996E-3</v>
      </c>
    </row>
    <row r="103" spans="1:36" hidden="1" x14ac:dyDescent="0.25">
      <c r="A103" t="b">
        <v>0</v>
      </c>
      <c r="B103">
        <v>1000</v>
      </c>
      <c r="C103">
        <v>9.7355066569361996E-3</v>
      </c>
      <c r="D103" t="s">
        <v>52</v>
      </c>
      <c r="E103" t="b">
        <v>1</v>
      </c>
      <c r="F103" t="s">
        <v>53</v>
      </c>
      <c r="G103">
        <v>7.4999999999999997E-2</v>
      </c>
      <c r="H103">
        <v>0.5</v>
      </c>
      <c r="I103">
        <v>1E-4</v>
      </c>
      <c r="J103" t="b">
        <v>1</v>
      </c>
      <c r="K103">
        <v>1</v>
      </c>
      <c r="L103">
        <v>1500</v>
      </c>
      <c r="M103">
        <v>0.01</v>
      </c>
      <c r="N103">
        <v>0.154</v>
      </c>
      <c r="O103" t="s">
        <v>178</v>
      </c>
      <c r="P103" t="s">
        <v>183</v>
      </c>
      <c r="Q103" s="1">
        <v>-1.27773334760877E-5</v>
      </c>
      <c r="R103" s="1">
        <v>4.11610000441143E-6</v>
      </c>
      <c r="S103" s="1">
        <v>3.7891823054299899E-5</v>
      </c>
      <c r="T103" s="1">
        <v>-1.38172283609137E-5</v>
      </c>
      <c r="U103">
        <v>1.0047168143024601</v>
      </c>
      <c r="V103" s="1">
        <v>-1.2389828238399699E-15</v>
      </c>
      <c r="W103">
        <v>1.73978445282559E-2</v>
      </c>
      <c r="X103">
        <v>1.81213226860899</v>
      </c>
      <c r="Y103">
        <v>1.33227368864999</v>
      </c>
      <c r="Z103">
        <v>1.3076738373528201E-2</v>
      </c>
      <c r="AA103">
        <v>1.0443240719122699</v>
      </c>
      <c r="AB103" s="9">
        <f t="shared" si="17"/>
        <v>-0.36464934244819197</v>
      </c>
      <c r="AC103" s="9">
        <f t="shared" si="18"/>
        <v>-0.36225825454117166</v>
      </c>
      <c r="AD103" s="2">
        <f t="shared" si="19"/>
        <v>-6.5572253358993082E-3</v>
      </c>
      <c r="AE103" s="8">
        <f t="shared" si="20"/>
        <v>1.0548784987223061E-2</v>
      </c>
      <c r="AF103" s="2">
        <f t="shared" si="21"/>
        <v>8.1327833028686097E-4</v>
      </c>
      <c r="AG103" s="8">
        <f t="shared" si="22"/>
        <v>9.7355066569361996E-3</v>
      </c>
      <c r="AH103" s="7">
        <f t="shared" si="23"/>
        <v>8.3537340063080265E-2</v>
      </c>
      <c r="AI103">
        <f t="shared" si="24"/>
        <v>1</v>
      </c>
      <c r="AJ103" s="10">
        <f t="shared" si="25"/>
        <v>9.7355066569361996E-3</v>
      </c>
    </row>
    <row r="104" spans="1:36" hidden="1" x14ac:dyDescent="0.25">
      <c r="A104" t="b">
        <v>0</v>
      </c>
      <c r="B104">
        <v>1000</v>
      </c>
      <c r="C104">
        <v>9.7355066569361996E-3</v>
      </c>
      <c r="D104" t="s">
        <v>52</v>
      </c>
      <c r="E104" t="b">
        <v>1</v>
      </c>
      <c r="F104" t="s">
        <v>53</v>
      </c>
      <c r="G104">
        <v>7.4999999999999997E-2</v>
      </c>
      <c r="H104">
        <v>0.5</v>
      </c>
      <c r="I104">
        <v>1E-4</v>
      </c>
      <c r="J104" t="b">
        <v>1</v>
      </c>
      <c r="K104">
        <v>1</v>
      </c>
      <c r="L104">
        <v>1500</v>
      </c>
      <c r="M104">
        <v>0.01</v>
      </c>
      <c r="N104">
        <v>0.154</v>
      </c>
      <c r="O104" t="s">
        <v>178</v>
      </c>
      <c r="P104" t="s">
        <v>184</v>
      </c>
      <c r="Q104" s="1">
        <v>-1.1357208806660999E-5</v>
      </c>
      <c r="R104" s="1">
        <v>3.6077455476317201E-6</v>
      </c>
      <c r="S104" s="1">
        <v>3.3680371518182398E-5</v>
      </c>
      <c r="T104" s="1">
        <v>-1.2281484166378899E-5</v>
      </c>
      <c r="U104">
        <v>1.0047179607112</v>
      </c>
      <c r="V104" s="1">
        <v>-1.2384862193829E-15</v>
      </c>
      <c r="W104">
        <v>1.6666936789598401E-2</v>
      </c>
      <c r="X104">
        <v>1.8121321932772501</v>
      </c>
      <c r="Y104">
        <v>1.3285661617097999</v>
      </c>
      <c r="Z104">
        <v>1.30767536696505E-2</v>
      </c>
      <c r="AA104">
        <v>1.02959836177718</v>
      </c>
      <c r="AB104" s="9">
        <f t="shared" si="17"/>
        <v>-0.36464812033764893</v>
      </c>
      <c r="AC104" s="9">
        <f t="shared" si="18"/>
        <v>-0.36225825454117166</v>
      </c>
      <c r="AD104" s="2">
        <f t="shared" si="19"/>
        <v>-6.5538958332332919E-3</v>
      </c>
      <c r="AE104" s="8">
        <f t="shared" si="20"/>
        <v>1.0548368977361521E-2</v>
      </c>
      <c r="AF104" s="2">
        <f t="shared" si="21"/>
        <v>8.1286232042532096E-4</v>
      </c>
      <c r="AG104" s="8">
        <f t="shared" si="22"/>
        <v>9.7355066569361996E-3</v>
      </c>
      <c r="AH104" s="7">
        <f t="shared" si="23"/>
        <v>8.3494608865187891E-2</v>
      </c>
      <c r="AI104">
        <f t="shared" si="24"/>
        <v>1</v>
      </c>
      <c r="AJ104" s="10">
        <f t="shared" si="25"/>
        <v>9.7355066569361996E-3</v>
      </c>
    </row>
    <row r="105" spans="1:36" hidden="1" x14ac:dyDescent="0.25">
      <c r="A105" t="b">
        <v>0</v>
      </c>
      <c r="B105">
        <v>1000</v>
      </c>
      <c r="C105">
        <v>9.7355066569361996E-3</v>
      </c>
      <c r="D105" t="s">
        <v>52</v>
      </c>
      <c r="E105" t="b">
        <v>1</v>
      </c>
      <c r="F105" t="s">
        <v>53</v>
      </c>
      <c r="G105">
        <v>7.4999999999999997E-2</v>
      </c>
      <c r="H105">
        <v>0.5</v>
      </c>
      <c r="I105">
        <v>1E-4</v>
      </c>
      <c r="J105" t="b">
        <v>1</v>
      </c>
      <c r="K105">
        <v>1</v>
      </c>
      <c r="L105">
        <v>1500</v>
      </c>
      <c r="M105">
        <v>0.01</v>
      </c>
      <c r="N105">
        <v>0.154</v>
      </c>
      <c r="O105" t="s">
        <v>178</v>
      </c>
      <c r="P105" t="s">
        <v>185</v>
      </c>
      <c r="Q105" s="1">
        <v>-1.27773334760893E-5</v>
      </c>
      <c r="R105" s="1">
        <v>4.1149874268731897E-6</v>
      </c>
      <c r="S105" s="1">
        <v>3.7891823054305801E-5</v>
      </c>
      <c r="T105" s="1">
        <v>-1.38172283610028E-5</v>
      </c>
      <c r="U105">
        <v>1.00471681430139</v>
      </c>
      <c r="V105" s="1">
        <v>-1.2389828248158999E-15</v>
      </c>
      <c r="W105">
        <v>1.79976943296597E-2</v>
      </c>
      <c r="X105">
        <v>1.8121322686091901</v>
      </c>
      <c r="Y105">
        <v>1.33147756916342</v>
      </c>
      <c r="Z105">
        <v>1.30767383734789E-2</v>
      </c>
      <c r="AA105">
        <v>1.0440790113930101</v>
      </c>
      <c r="AB105" s="9">
        <f t="shared" si="17"/>
        <v>-0.36464934245048664</v>
      </c>
      <c r="AC105" s="9">
        <f t="shared" si="18"/>
        <v>-0.36225825454117166</v>
      </c>
      <c r="AD105" s="2">
        <f t="shared" si="19"/>
        <v>-6.5572253421508631E-3</v>
      </c>
      <c r="AE105" s="8">
        <f t="shared" si="20"/>
        <v>1.0548784988004175E-2</v>
      </c>
      <c r="AF105" s="2">
        <f t="shared" si="21"/>
        <v>8.1327833106797573E-4</v>
      </c>
      <c r="AG105" s="8">
        <f t="shared" si="22"/>
        <v>9.7355066569361996E-3</v>
      </c>
      <c r="AH105" s="7">
        <f t="shared" si="23"/>
        <v>8.3537340143313862E-2</v>
      </c>
      <c r="AI105">
        <f t="shared" si="24"/>
        <v>1</v>
      </c>
      <c r="AJ105" s="10">
        <f t="shared" si="25"/>
        <v>9.7355066569361996E-3</v>
      </c>
    </row>
    <row r="106" spans="1:36" hidden="1" x14ac:dyDescent="0.25">
      <c r="A106" t="b">
        <v>0</v>
      </c>
      <c r="B106">
        <v>1000</v>
      </c>
      <c r="C106">
        <v>9.7355066569361996E-3</v>
      </c>
      <c r="D106" t="s">
        <v>52</v>
      </c>
      <c r="E106" t="b">
        <v>1</v>
      </c>
      <c r="F106" t="s">
        <v>53</v>
      </c>
      <c r="G106">
        <v>7.4999999999999997E-2</v>
      </c>
      <c r="H106">
        <v>0.5</v>
      </c>
      <c r="I106">
        <v>1E-4</v>
      </c>
      <c r="J106" t="b">
        <v>1</v>
      </c>
      <c r="K106">
        <v>1</v>
      </c>
      <c r="L106">
        <v>1500</v>
      </c>
      <c r="M106">
        <v>0.01</v>
      </c>
      <c r="N106">
        <v>0.154</v>
      </c>
      <c r="O106" t="s">
        <v>178</v>
      </c>
      <c r="P106" t="s">
        <v>186</v>
      </c>
      <c r="Q106" s="1">
        <v>-2.25347986048084E-5</v>
      </c>
      <c r="R106" s="1">
        <v>6.7169621300005801E-6</v>
      </c>
      <c r="S106" s="1">
        <v>6.7360696711775395E-5</v>
      </c>
      <c r="T106" s="1">
        <v>-2.45629009290619E-5</v>
      </c>
      <c r="U106">
        <v>1.0047087927363501</v>
      </c>
      <c r="V106" s="1">
        <v>-4.6324321025272704E-15</v>
      </c>
      <c r="W106">
        <v>5.8811979467260902E-3</v>
      </c>
      <c r="X106">
        <v>1.2984723324804599</v>
      </c>
      <c r="Y106">
        <v>0.94774798210571798</v>
      </c>
      <c r="Z106">
        <v>5.3387214337859905E-4</v>
      </c>
      <c r="AA106">
        <v>0.50209406148315305</v>
      </c>
      <c r="AB106" s="9">
        <f t="shared" si="17"/>
        <v>-0.36464737047127416</v>
      </c>
      <c r="AC106" s="9">
        <f t="shared" si="18"/>
        <v>-0.36225825454117166</v>
      </c>
      <c r="AD106" s="2">
        <f t="shared" si="19"/>
        <v>-6.5518528956201028E-3</v>
      </c>
      <c r="AE106" s="8">
        <f t="shared" si="20"/>
        <v>1.0548113720910871E-2</v>
      </c>
      <c r="AF106" s="2">
        <f t="shared" si="21"/>
        <v>8.1260706397467096E-4</v>
      </c>
      <c r="AG106" s="8">
        <f t="shared" si="22"/>
        <v>9.7355066569361996E-3</v>
      </c>
      <c r="AH106" s="7">
        <f t="shared" si="23"/>
        <v>8.3468389741762183E-2</v>
      </c>
      <c r="AI106">
        <f t="shared" si="24"/>
        <v>1</v>
      </c>
      <c r="AJ106" s="10">
        <f t="shared" si="25"/>
        <v>9.7355066569361996E-3</v>
      </c>
    </row>
    <row r="107" spans="1:36" hidden="1" x14ac:dyDescent="0.25">
      <c r="A107" t="b">
        <v>0</v>
      </c>
      <c r="B107">
        <v>1000</v>
      </c>
      <c r="C107">
        <v>9.7355066569361996E-3</v>
      </c>
      <c r="D107" t="s">
        <v>52</v>
      </c>
      <c r="E107" t="b">
        <v>1</v>
      </c>
      <c r="F107" t="s">
        <v>53</v>
      </c>
      <c r="G107">
        <v>7.4999999999999997E-2</v>
      </c>
      <c r="H107">
        <v>0.5</v>
      </c>
      <c r="I107">
        <v>1E-4</v>
      </c>
      <c r="J107" t="b">
        <v>1</v>
      </c>
      <c r="K107">
        <v>1</v>
      </c>
      <c r="L107">
        <v>1500</v>
      </c>
      <c r="M107">
        <v>0.01</v>
      </c>
      <c r="N107">
        <v>0.154</v>
      </c>
      <c r="O107" t="s">
        <v>179</v>
      </c>
      <c r="P107" t="s">
        <v>180</v>
      </c>
      <c r="Q107" s="1">
        <v>-9.9370822147505408E-6</v>
      </c>
      <c r="R107" s="1">
        <v>3.2287355104232898E-6</v>
      </c>
      <c r="S107" s="1">
        <v>2.94689141893858E-5</v>
      </c>
      <c r="T107" s="1">
        <v>-1.07457315434553E-5</v>
      </c>
      <c r="U107">
        <v>1.00471681432007</v>
      </c>
      <c r="V107" s="1">
        <v>-1.2386502339334801E-15</v>
      </c>
      <c r="W107">
        <v>2.0549519587486801E-2</v>
      </c>
      <c r="X107">
        <v>1.8121320592307</v>
      </c>
      <c r="Y107">
        <v>1.3317158794231101</v>
      </c>
      <c r="Z107">
        <v>1.30767731379333E-2</v>
      </c>
      <c r="AA107">
        <v>1.0536269772760001</v>
      </c>
      <c r="AB107" s="9">
        <f t="shared" si="17"/>
        <v>-0.3646463345882533</v>
      </c>
      <c r="AC107" s="9">
        <f t="shared" si="18"/>
        <v>-0.36225825454117166</v>
      </c>
      <c r="AD107" s="2">
        <f t="shared" si="19"/>
        <v>-6.5490307198018405E-3</v>
      </c>
      <c r="AE107" s="8">
        <f t="shared" si="20"/>
        <v>1.0547761103867312E-2</v>
      </c>
      <c r="AF107" s="2">
        <f t="shared" si="21"/>
        <v>8.1225444693111201E-4</v>
      </c>
      <c r="AG107" s="8">
        <f t="shared" si="22"/>
        <v>9.7355066569361996E-3</v>
      </c>
      <c r="AH107" s="7">
        <f t="shared" si="23"/>
        <v>8.343217005068862E-2</v>
      </c>
      <c r="AI107">
        <f t="shared" si="24"/>
        <v>1</v>
      </c>
      <c r="AJ107" s="10">
        <f t="shared" si="25"/>
        <v>9.7355066569361996E-3</v>
      </c>
    </row>
    <row r="108" spans="1:36" hidden="1" x14ac:dyDescent="0.25">
      <c r="A108" t="b">
        <v>0</v>
      </c>
      <c r="B108">
        <v>1000</v>
      </c>
      <c r="C108">
        <v>9.7355066569361996E-3</v>
      </c>
      <c r="D108" t="s">
        <v>52</v>
      </c>
      <c r="E108" t="b">
        <v>1</v>
      </c>
      <c r="F108" t="s">
        <v>53</v>
      </c>
      <c r="G108">
        <v>7.4999999999999997E-2</v>
      </c>
      <c r="H108">
        <v>0.5</v>
      </c>
      <c r="I108">
        <v>1E-4</v>
      </c>
      <c r="J108" t="b">
        <v>1</v>
      </c>
      <c r="K108">
        <v>1</v>
      </c>
      <c r="L108">
        <v>1500</v>
      </c>
      <c r="M108">
        <v>0.01</v>
      </c>
      <c r="N108">
        <v>0.154</v>
      </c>
      <c r="O108" t="s">
        <v>179</v>
      </c>
      <c r="P108" t="s">
        <v>181</v>
      </c>
      <c r="Q108" s="1">
        <v>-1E-10</v>
      </c>
      <c r="R108" s="1">
        <v>3.58578598297213E-12</v>
      </c>
      <c r="S108" s="1">
        <v>-2.7103676332693801E-18</v>
      </c>
      <c r="T108" s="1">
        <v>2.8410872982713999E-16</v>
      </c>
      <c r="U108">
        <v>1.00472483578011</v>
      </c>
      <c r="V108">
        <v>0</v>
      </c>
      <c r="W108">
        <v>6.8474549232887996E-2</v>
      </c>
      <c r="X108">
        <v>2</v>
      </c>
      <c r="Y108">
        <v>4.0005664708652501E-3</v>
      </c>
      <c r="Z108">
        <v>2.5000000000000001E-4</v>
      </c>
      <c r="AA108">
        <v>4.7933530494327298E-3</v>
      </c>
      <c r="AB108" s="9">
        <f t="shared" si="17"/>
        <v>-104.82294960275699</v>
      </c>
      <c r="AC108" s="9">
        <f t="shared" si="18"/>
        <v>-0.36225825454117166</v>
      </c>
      <c r="AD108" s="2">
        <f t="shared" si="19"/>
        <v>-0.99654409405655908</v>
      </c>
      <c r="AE108" s="8">
        <f t="shared" si="20"/>
        <v>-1.0295596742826962</v>
      </c>
      <c r="AF108" s="2">
        <f t="shared" si="21"/>
        <v>-1.0392951809396325</v>
      </c>
      <c r="AG108" s="8">
        <f t="shared" si="22"/>
        <v>9.7355066569361996E-3</v>
      </c>
      <c r="AH108" s="7">
        <f t="shared" si="23"/>
        <v>-106.75306561463567</v>
      </c>
      <c r="AI108">
        <f t="shared" si="24"/>
        <v>1</v>
      </c>
      <c r="AJ108" s="10">
        <f t="shared" si="25"/>
        <v>9.7355066569361996E-3</v>
      </c>
    </row>
    <row r="109" spans="1:36" hidden="1" x14ac:dyDescent="0.25">
      <c r="A109" t="b">
        <v>0</v>
      </c>
      <c r="B109">
        <v>1000</v>
      </c>
      <c r="C109">
        <v>9.7355066569361996E-3</v>
      </c>
      <c r="D109" t="s">
        <v>52</v>
      </c>
      <c r="E109" t="b">
        <v>1</v>
      </c>
      <c r="F109" t="s">
        <v>53</v>
      </c>
      <c r="G109">
        <v>7.4999999999999997E-2</v>
      </c>
      <c r="H109">
        <v>0.5</v>
      </c>
      <c r="I109">
        <v>1E-4</v>
      </c>
      <c r="J109" t="b">
        <v>1</v>
      </c>
      <c r="K109">
        <v>1</v>
      </c>
      <c r="L109">
        <v>1500</v>
      </c>
      <c r="M109">
        <v>0.01</v>
      </c>
      <c r="N109">
        <v>0.154</v>
      </c>
      <c r="O109" t="s">
        <v>179</v>
      </c>
      <c r="P109" t="s">
        <v>182</v>
      </c>
      <c r="Q109" s="1">
        <v>-1.4201263573027101E-6</v>
      </c>
      <c r="R109" s="1">
        <v>4.5327260845299102E-7</v>
      </c>
      <c r="S109" s="1">
        <v>4.2114566044391001E-6</v>
      </c>
      <c r="T109" s="1">
        <v>-1.53575156840897E-6</v>
      </c>
      <c r="U109">
        <v>1.00472368938551</v>
      </c>
      <c r="V109" s="1">
        <v>-1.23842280004313E-15</v>
      </c>
      <c r="W109">
        <v>1.71243313321091E-2</v>
      </c>
      <c r="X109">
        <v>1.8121338530722999</v>
      </c>
      <c r="Y109">
        <v>1.3293691218361401</v>
      </c>
      <c r="Z109">
        <v>1.30767056636867E-2</v>
      </c>
      <c r="AA109">
        <v>1.0346087528711501</v>
      </c>
      <c r="AB109" s="9">
        <f t="shared" si="17"/>
        <v>-0.36466042812603267</v>
      </c>
      <c r="AC109" s="9">
        <f t="shared" si="18"/>
        <v>-0.36225825454117166</v>
      </c>
      <c r="AD109" s="2">
        <f t="shared" si="19"/>
        <v>-6.5874259984984862E-3</v>
      </c>
      <c r="AE109" s="8">
        <f t="shared" si="20"/>
        <v>1.0552558598742557E-2</v>
      </c>
      <c r="AF109" s="2">
        <f t="shared" si="21"/>
        <v>8.1705194180635779E-4</v>
      </c>
      <c r="AG109" s="8">
        <f t="shared" si="22"/>
        <v>9.7355066569361996E-3</v>
      </c>
      <c r="AH109" s="7">
        <f t="shared" si="23"/>
        <v>8.3924953327851465E-2</v>
      </c>
      <c r="AI109">
        <f t="shared" si="24"/>
        <v>1</v>
      </c>
      <c r="AJ109" s="10">
        <f t="shared" si="25"/>
        <v>9.7355066569361996E-3</v>
      </c>
    </row>
    <row r="110" spans="1:36" hidden="1" x14ac:dyDescent="0.25">
      <c r="A110" t="b">
        <v>0</v>
      </c>
      <c r="B110">
        <v>1000</v>
      </c>
      <c r="C110">
        <v>9.7355066569361996E-3</v>
      </c>
      <c r="D110" t="s">
        <v>52</v>
      </c>
      <c r="E110" t="b">
        <v>1</v>
      </c>
      <c r="F110" t="s">
        <v>53</v>
      </c>
      <c r="G110">
        <v>7.4999999999999997E-2</v>
      </c>
      <c r="H110">
        <v>0.5</v>
      </c>
      <c r="I110">
        <v>1E-4</v>
      </c>
      <c r="J110" t="b">
        <v>1</v>
      </c>
      <c r="K110">
        <v>1</v>
      </c>
      <c r="L110">
        <v>1500</v>
      </c>
      <c r="M110">
        <v>0.01</v>
      </c>
      <c r="N110">
        <v>0.154</v>
      </c>
      <c r="O110" t="s">
        <v>179</v>
      </c>
      <c r="P110" t="s">
        <v>183</v>
      </c>
      <c r="Q110" s="1">
        <v>-1.13572068852701E-5</v>
      </c>
      <c r="R110" s="1">
        <v>3.6522432781077701E-6</v>
      </c>
      <c r="S110" s="1">
        <v>3.3680365725498798E-5</v>
      </c>
      <c r="T110" s="1">
        <v>-1.2281475738003601E-5</v>
      </c>
      <c r="U110">
        <v>1.0047156679090701</v>
      </c>
      <c r="V110" s="1">
        <v>-1.2387949987285401E-15</v>
      </c>
      <c r="W110">
        <v>1.6901206814863901E-2</v>
      </c>
      <c r="X110">
        <v>1.8121321735151299</v>
      </c>
      <c r="Y110">
        <v>1.3321924322272001</v>
      </c>
      <c r="Z110">
        <v>1.3076755046381901E-2</v>
      </c>
      <c r="AA110">
        <v>1.04246563191289</v>
      </c>
      <c r="AB110" s="9">
        <f t="shared" si="17"/>
        <v>-0.36464793280749669</v>
      </c>
      <c r="AC110" s="9">
        <f t="shared" si="18"/>
        <v>-0.36225825454117166</v>
      </c>
      <c r="AD110" s="2">
        <f t="shared" si="19"/>
        <v>-6.5533849264588495E-3</v>
      </c>
      <c r="AE110" s="8">
        <f t="shared" si="20"/>
        <v>1.054830514160128E-2</v>
      </c>
      <c r="AF110" s="2">
        <f t="shared" si="21"/>
        <v>8.1279848466508063E-4</v>
      </c>
      <c r="AG110" s="8">
        <f t="shared" si="22"/>
        <v>9.7355066569361996E-3</v>
      </c>
      <c r="AH110" s="7">
        <f t="shared" si="23"/>
        <v>8.3488051860761747E-2</v>
      </c>
      <c r="AI110">
        <f t="shared" si="24"/>
        <v>1</v>
      </c>
      <c r="AJ110" s="10">
        <f t="shared" si="25"/>
        <v>9.7355066569361996E-3</v>
      </c>
    </row>
    <row r="111" spans="1:36" hidden="1" x14ac:dyDescent="0.25">
      <c r="A111" t="b">
        <v>0</v>
      </c>
      <c r="B111">
        <v>1000</v>
      </c>
      <c r="C111">
        <v>9.7355066569361996E-3</v>
      </c>
      <c r="D111" t="s">
        <v>52</v>
      </c>
      <c r="E111" t="b">
        <v>1</v>
      </c>
      <c r="F111" t="s">
        <v>53</v>
      </c>
      <c r="G111">
        <v>7.4999999999999997E-2</v>
      </c>
      <c r="H111">
        <v>0.5</v>
      </c>
      <c r="I111">
        <v>1E-4</v>
      </c>
      <c r="J111" t="b">
        <v>1</v>
      </c>
      <c r="K111">
        <v>1</v>
      </c>
      <c r="L111">
        <v>1500</v>
      </c>
      <c r="M111">
        <v>0.01</v>
      </c>
      <c r="N111">
        <v>0.154</v>
      </c>
      <c r="O111" t="s">
        <v>179</v>
      </c>
      <c r="P111" t="s">
        <v>184</v>
      </c>
      <c r="Q111" s="1">
        <v>-9.9370822147490704E-6</v>
      </c>
      <c r="R111" s="1">
        <v>3.20043106173106E-6</v>
      </c>
      <c r="S111" s="1">
        <v>2.94689141893807E-5</v>
      </c>
      <c r="T111" s="1">
        <v>-1.07457315434001E-5</v>
      </c>
      <c r="U111">
        <v>1.00471681431781</v>
      </c>
      <c r="V111" s="1">
        <v>-1.2386502341625E-15</v>
      </c>
      <c r="W111">
        <v>2.0506106936017801E-2</v>
      </c>
      <c r="X111">
        <v>1.8121320592305801</v>
      </c>
      <c r="Y111">
        <v>1.3292027463928</v>
      </c>
      <c r="Z111">
        <v>1.30767731379867E-2</v>
      </c>
      <c r="AA111">
        <v>1.04428299464008</v>
      </c>
      <c r="AB111" s="9">
        <f t="shared" si="17"/>
        <v>-0.36464633458644324</v>
      </c>
      <c r="AC111" s="9">
        <f t="shared" si="18"/>
        <v>-0.36225825454117166</v>
      </c>
      <c r="AD111" s="2">
        <f t="shared" si="19"/>
        <v>-6.5490307148705629E-3</v>
      </c>
      <c r="AE111" s="8">
        <f t="shared" si="20"/>
        <v>1.0547761103251172E-2</v>
      </c>
      <c r="AF111" s="2">
        <f t="shared" si="21"/>
        <v>8.1225444631497293E-4</v>
      </c>
      <c r="AG111" s="8">
        <f t="shared" si="22"/>
        <v>9.7355066569361996E-3</v>
      </c>
      <c r="AH111" s="7">
        <f t="shared" si="23"/>
        <v>8.3432169987400787E-2</v>
      </c>
      <c r="AI111">
        <f t="shared" si="24"/>
        <v>1</v>
      </c>
      <c r="AJ111" s="10">
        <f t="shared" si="25"/>
        <v>9.7355066569361996E-3</v>
      </c>
    </row>
    <row r="112" spans="1:36" hidden="1" x14ac:dyDescent="0.25">
      <c r="A112" t="b">
        <v>0</v>
      </c>
      <c r="B112">
        <v>1000</v>
      </c>
      <c r="C112">
        <v>9.7355066569361996E-3</v>
      </c>
      <c r="D112" t="s">
        <v>52</v>
      </c>
      <c r="E112" t="b">
        <v>1</v>
      </c>
      <c r="F112" t="s">
        <v>53</v>
      </c>
      <c r="G112">
        <v>7.4999999999999997E-2</v>
      </c>
      <c r="H112">
        <v>0.5</v>
      </c>
      <c r="I112">
        <v>1E-4</v>
      </c>
      <c r="J112" t="b">
        <v>1</v>
      </c>
      <c r="K112">
        <v>1</v>
      </c>
      <c r="L112">
        <v>1500</v>
      </c>
      <c r="M112">
        <v>0.01</v>
      </c>
      <c r="N112">
        <v>0.154</v>
      </c>
      <c r="O112" t="s">
        <v>179</v>
      </c>
      <c r="P112" t="s">
        <v>185</v>
      </c>
      <c r="Q112" s="1">
        <v>-1.1357206885271499E-5</v>
      </c>
      <c r="R112" s="1">
        <v>3.6660950202597402E-6</v>
      </c>
      <c r="S112" s="1">
        <v>3.3680365725505201E-5</v>
      </c>
      <c r="T112" s="1">
        <v>-1.22814757381363E-5</v>
      </c>
      <c r="U112">
        <v>1.004715667908</v>
      </c>
      <c r="V112" s="1">
        <v>-1.2387949986094801E-15</v>
      </c>
      <c r="W112">
        <v>1.7415430587974099E-2</v>
      </c>
      <c r="X112">
        <v>1.8121321735154801</v>
      </c>
      <c r="Y112">
        <v>1.3331037908371399</v>
      </c>
      <c r="Z112">
        <v>1.3076755046313501E-2</v>
      </c>
      <c r="AA112">
        <v>1.0464945895236399</v>
      </c>
      <c r="AB112" s="9">
        <f t="shared" si="17"/>
        <v>-0.36464793281136737</v>
      </c>
      <c r="AC112" s="9">
        <f t="shared" si="18"/>
        <v>-0.36225825454117166</v>
      </c>
      <c r="AD112" s="2">
        <f t="shared" si="19"/>
        <v>-6.5533849370040809E-3</v>
      </c>
      <c r="AE112" s="8">
        <f t="shared" si="20"/>
        <v>1.054830514291887E-2</v>
      </c>
      <c r="AF112" s="2">
        <f t="shared" si="21"/>
        <v>8.1279848598267077E-4</v>
      </c>
      <c r="AG112" s="8">
        <f t="shared" si="22"/>
        <v>9.7355066569361996E-3</v>
      </c>
      <c r="AH112" s="7">
        <f t="shared" si="23"/>
        <v>8.3488051996100376E-2</v>
      </c>
      <c r="AI112">
        <f t="shared" si="24"/>
        <v>1</v>
      </c>
      <c r="AJ112" s="10">
        <f t="shared" si="25"/>
        <v>9.7355066569361996E-3</v>
      </c>
    </row>
    <row r="113" spans="1:36" hidden="1" x14ac:dyDescent="0.25">
      <c r="A113" t="b">
        <v>0</v>
      </c>
      <c r="B113">
        <v>1000</v>
      </c>
      <c r="C113">
        <v>9.7355066569361996E-3</v>
      </c>
      <c r="D113" t="s">
        <v>52</v>
      </c>
      <c r="E113" t="b">
        <v>1</v>
      </c>
      <c r="F113" t="s">
        <v>53</v>
      </c>
      <c r="G113">
        <v>7.4999999999999997E-2</v>
      </c>
      <c r="H113">
        <v>0.5</v>
      </c>
      <c r="I113">
        <v>1E-4</v>
      </c>
      <c r="J113" t="b">
        <v>1</v>
      </c>
      <c r="K113">
        <v>1</v>
      </c>
      <c r="L113">
        <v>1500</v>
      </c>
      <c r="M113">
        <v>0.01</v>
      </c>
      <c r="N113">
        <v>0.154</v>
      </c>
      <c r="O113" t="s">
        <v>179</v>
      </c>
      <c r="P113" t="s">
        <v>186</v>
      </c>
      <c r="Q113" s="1">
        <v>-2.1125901030815499E-5</v>
      </c>
      <c r="R113" s="1">
        <v>6.30709630529396E-6</v>
      </c>
      <c r="S113" s="1">
        <v>6.3149239382973894E-5</v>
      </c>
      <c r="T113" s="1">
        <v>-2.3027148306245999E-5</v>
      </c>
      <c r="U113">
        <v>1.0047076463429601</v>
      </c>
      <c r="V113" s="1">
        <v>-4.6341455243019297E-15</v>
      </c>
      <c r="W113">
        <v>5.6358750992499202E-3</v>
      </c>
      <c r="X113">
        <v>1.29847216181933</v>
      </c>
      <c r="Y113">
        <v>0.94771588555602004</v>
      </c>
      <c r="Z113">
        <v>5.3387103640202701E-4</v>
      </c>
      <c r="AA113">
        <v>0.50289865054060101</v>
      </c>
      <c r="AB113" s="9">
        <f t="shared" si="17"/>
        <v>-0.3646464871349584</v>
      </c>
      <c r="AC113" s="9">
        <f t="shared" si="18"/>
        <v>-0.36225825454117166</v>
      </c>
      <c r="AD113" s="2">
        <f t="shared" si="19"/>
        <v>-6.5494463214254006E-3</v>
      </c>
      <c r="AE113" s="8">
        <f t="shared" si="20"/>
        <v>1.0547813031113032E-2</v>
      </c>
      <c r="AF113" s="2">
        <f t="shared" si="21"/>
        <v>8.1230637417683237E-4</v>
      </c>
      <c r="AG113" s="8">
        <f t="shared" si="22"/>
        <v>9.7355066569361996E-3</v>
      </c>
      <c r="AH113" s="7">
        <f t="shared" si="23"/>
        <v>8.3437503850720823E-2</v>
      </c>
      <c r="AI113">
        <f t="shared" si="24"/>
        <v>1</v>
      </c>
      <c r="AJ113" s="10">
        <f t="shared" si="25"/>
        <v>9.7355066569361996E-3</v>
      </c>
    </row>
    <row r="114" spans="1:36" hidden="1" x14ac:dyDescent="0.25">
      <c r="A114" t="b">
        <v>0</v>
      </c>
      <c r="B114">
        <v>1000</v>
      </c>
      <c r="C114">
        <v>9.7355066569361996E-3</v>
      </c>
      <c r="D114" t="s">
        <v>52</v>
      </c>
      <c r="E114" t="b">
        <v>1</v>
      </c>
      <c r="F114" t="s">
        <v>53</v>
      </c>
      <c r="G114">
        <v>7.4999999999999997E-2</v>
      </c>
      <c r="H114">
        <v>0.5</v>
      </c>
      <c r="I114">
        <v>1E-4</v>
      </c>
      <c r="J114" t="b">
        <v>1</v>
      </c>
      <c r="K114">
        <v>1</v>
      </c>
      <c r="L114">
        <v>1500</v>
      </c>
      <c r="M114">
        <v>0.01</v>
      </c>
      <c r="N114">
        <v>0.154</v>
      </c>
      <c r="O114" t="s">
        <v>180</v>
      </c>
      <c r="P114" t="s">
        <v>183</v>
      </c>
      <c r="Q114" s="1">
        <v>-1.42012467616161E-6</v>
      </c>
      <c r="R114" s="1">
        <v>4.57157635681248E-7</v>
      </c>
      <c r="S114" s="1">
        <v>4.21145153611424E-6</v>
      </c>
      <c r="T114" s="1">
        <v>-1.53574419449452E-6</v>
      </c>
      <c r="U114">
        <v>1.00470764644643</v>
      </c>
      <c r="V114" s="1">
        <v>-1.23806045706561E-15</v>
      </c>
      <c r="W114">
        <v>1.73368862219145E-2</v>
      </c>
      <c r="X114">
        <v>1.8121337150966099</v>
      </c>
      <c r="Y114">
        <v>1.3320296436804799</v>
      </c>
      <c r="Z114">
        <v>1.3076715429477E-2</v>
      </c>
      <c r="AA114">
        <v>1.0435873310100101</v>
      </c>
      <c r="AB114" s="9">
        <f t="shared" si="17"/>
        <v>-0.36465911606132312</v>
      </c>
      <c r="AC114" s="9">
        <f t="shared" si="18"/>
        <v>-0.36225825454117166</v>
      </c>
      <c r="AD114" s="2">
        <f t="shared" si="19"/>
        <v>-6.5838516422765947E-3</v>
      </c>
      <c r="AE114" s="8">
        <f t="shared" si="20"/>
        <v>1.0552111964907978E-2</v>
      </c>
      <c r="AF114" s="2">
        <f t="shared" si="21"/>
        <v>8.1660530797177805E-4</v>
      </c>
      <c r="AG114" s="8">
        <f t="shared" si="22"/>
        <v>9.7355066569361996E-3</v>
      </c>
      <c r="AH114" s="7">
        <f t="shared" si="23"/>
        <v>8.3879076533728836E-2</v>
      </c>
      <c r="AI114">
        <f t="shared" si="24"/>
        <v>1</v>
      </c>
      <c r="AJ114" s="10">
        <f t="shared" si="25"/>
        <v>9.7355066569361996E-3</v>
      </c>
    </row>
    <row r="115" spans="1:36" hidden="1" x14ac:dyDescent="0.25">
      <c r="A115" t="b">
        <v>0</v>
      </c>
      <c r="B115">
        <v>1000</v>
      </c>
      <c r="C115">
        <v>9.7355066569361996E-3</v>
      </c>
      <c r="D115" t="s">
        <v>52</v>
      </c>
      <c r="E115" t="b">
        <v>1</v>
      </c>
      <c r="F115" t="s">
        <v>53</v>
      </c>
      <c r="G115">
        <v>7.4999999999999997E-2</v>
      </c>
      <c r="H115">
        <v>0.5</v>
      </c>
      <c r="I115">
        <v>1E-4</v>
      </c>
      <c r="J115" t="b">
        <v>1</v>
      </c>
      <c r="K115">
        <v>1</v>
      </c>
      <c r="L115">
        <v>1500</v>
      </c>
      <c r="M115">
        <v>0.01</v>
      </c>
      <c r="N115">
        <v>0.154</v>
      </c>
      <c r="O115" t="s">
        <v>180</v>
      </c>
      <c r="P115" t="s">
        <v>184</v>
      </c>
      <c r="Q115" s="1">
        <v>-1E-10</v>
      </c>
      <c r="R115" s="1">
        <v>3.58578603459855E-12</v>
      </c>
      <c r="S115" s="1">
        <v>-4.5660121874380204E-19</v>
      </c>
      <c r="T115" s="1">
        <v>-5.4566498185272302E-17</v>
      </c>
      <c r="U115">
        <v>1.0047087928551699</v>
      </c>
      <c r="V115">
        <v>0</v>
      </c>
      <c r="W115">
        <v>6.8474550218751595E-2</v>
      </c>
      <c r="X115">
        <v>2</v>
      </c>
      <c r="Y115">
        <v>4.0005665284634801E-3</v>
      </c>
      <c r="Z115">
        <v>2.5000000000000001E-4</v>
      </c>
      <c r="AA115">
        <v>4.7933531184451202E-3</v>
      </c>
      <c r="AB115" s="9">
        <f t="shared" si="17"/>
        <v>119.50580932612326</v>
      </c>
      <c r="AC115" s="9">
        <f t="shared" si="18"/>
        <v>-0.36225825454117166</v>
      </c>
      <c r="AD115" s="2">
        <f t="shared" si="19"/>
        <v>-1.0030313024662474</v>
      </c>
      <c r="AE115" s="8">
        <f t="shared" si="20"/>
        <v>-0.97557781717577752</v>
      </c>
      <c r="AF115" s="2">
        <f t="shared" si="21"/>
        <v>-0.98531332383271375</v>
      </c>
      <c r="AG115" s="8">
        <f t="shared" si="22"/>
        <v>9.7355066569361996E-3</v>
      </c>
      <c r="AH115" s="7">
        <f t="shared" si="23"/>
        <v>-101.20822249458514</v>
      </c>
      <c r="AI115">
        <f t="shared" si="24"/>
        <v>1</v>
      </c>
      <c r="AJ115" s="10">
        <f t="shared" si="25"/>
        <v>9.7355066569361996E-3</v>
      </c>
    </row>
    <row r="116" spans="1:36" hidden="1" x14ac:dyDescent="0.25">
      <c r="A116" t="b">
        <v>0</v>
      </c>
      <c r="B116">
        <v>1000</v>
      </c>
      <c r="C116">
        <v>9.7355066569361996E-3</v>
      </c>
      <c r="D116" t="s">
        <v>52</v>
      </c>
      <c r="E116" t="b">
        <v>1</v>
      </c>
      <c r="F116" t="s">
        <v>53</v>
      </c>
      <c r="G116">
        <v>7.4999999999999997E-2</v>
      </c>
      <c r="H116">
        <v>0.5</v>
      </c>
      <c r="I116">
        <v>1E-4</v>
      </c>
      <c r="J116" t="b">
        <v>1</v>
      </c>
      <c r="K116">
        <v>1</v>
      </c>
      <c r="L116">
        <v>1500</v>
      </c>
      <c r="M116">
        <v>0.01</v>
      </c>
      <c r="N116">
        <v>0.154</v>
      </c>
      <c r="O116" t="s">
        <v>180</v>
      </c>
      <c r="P116" t="s">
        <v>185</v>
      </c>
      <c r="Q116" s="1">
        <v>-1.4201246761631399E-6</v>
      </c>
      <c r="R116" s="1">
        <v>4.5423305372315101E-7</v>
      </c>
      <c r="S116" s="1">
        <v>4.2114515361189503E-6</v>
      </c>
      <c r="T116" s="1">
        <v>-1.5357441945042099E-6</v>
      </c>
      <c r="U116">
        <v>1.0047076464453599</v>
      </c>
      <c r="V116" s="1">
        <v>-1.23806045939425E-15</v>
      </c>
      <c r="W116">
        <v>1.6772287669330501E-2</v>
      </c>
      <c r="X116">
        <v>1.81213371509654</v>
      </c>
      <c r="Y116">
        <v>1.33030492694838</v>
      </c>
      <c r="Z116">
        <v>1.30767154292345E-2</v>
      </c>
      <c r="AA116">
        <v>1.0368052318577099</v>
      </c>
      <c r="AB116" s="9">
        <f t="shared" si="17"/>
        <v>-0.36465911606321605</v>
      </c>
      <c r="AC116" s="9">
        <f t="shared" si="18"/>
        <v>-0.36225825454117166</v>
      </c>
      <c r="AD116" s="2">
        <f t="shared" si="19"/>
        <v>-6.5838516474333586E-3</v>
      </c>
      <c r="AE116" s="8">
        <f t="shared" si="20"/>
        <v>1.0552111965552341E-2</v>
      </c>
      <c r="AF116" s="2">
        <f t="shared" si="21"/>
        <v>8.1660530861614108E-4</v>
      </c>
      <c r="AG116" s="8">
        <f t="shared" si="22"/>
        <v>9.7355066569361996E-3</v>
      </c>
      <c r="AH116" s="7">
        <f t="shared" si="23"/>
        <v>8.3879076599915739E-2</v>
      </c>
      <c r="AI116">
        <f t="shared" si="24"/>
        <v>1</v>
      </c>
      <c r="AJ116" s="10">
        <f t="shared" si="25"/>
        <v>9.7355066569361996E-3</v>
      </c>
    </row>
    <row r="117" spans="1:36" hidden="1" x14ac:dyDescent="0.25">
      <c r="A117" t="b">
        <v>0</v>
      </c>
      <c r="B117">
        <v>1000</v>
      </c>
      <c r="C117">
        <v>9.7355066569361996E-3</v>
      </c>
      <c r="D117" t="s">
        <v>52</v>
      </c>
      <c r="E117" t="b">
        <v>1</v>
      </c>
      <c r="F117" t="s">
        <v>53</v>
      </c>
      <c r="G117">
        <v>7.4999999999999997E-2</v>
      </c>
      <c r="H117">
        <v>0.5</v>
      </c>
      <c r="I117">
        <v>1E-4</v>
      </c>
      <c r="J117" t="b">
        <v>1</v>
      </c>
      <c r="K117">
        <v>1</v>
      </c>
      <c r="L117">
        <v>1500</v>
      </c>
      <c r="M117">
        <v>0.01</v>
      </c>
      <c r="N117">
        <v>0.154</v>
      </c>
      <c r="O117" t="s">
        <v>180</v>
      </c>
      <c r="P117" t="s">
        <v>186</v>
      </c>
      <c r="Q117" s="1">
        <v>-1.13571934408161E-5</v>
      </c>
      <c r="R117" s="1">
        <v>3.6276274608692598E-6</v>
      </c>
      <c r="S117" s="1">
        <v>3.3680325193591703E-5</v>
      </c>
      <c r="T117" s="1">
        <v>-1.2281416762958699E-5</v>
      </c>
      <c r="U117">
        <v>1.0046996248803199</v>
      </c>
      <c r="V117" s="1">
        <v>-1.24060652467333E-15</v>
      </c>
      <c r="W117">
        <v>1.6540342520183E-2</v>
      </c>
      <c r="X117">
        <v>1.8121320361421001</v>
      </c>
      <c r="Y117">
        <v>1.3300670990888499</v>
      </c>
      <c r="Z117">
        <v>1.3076764885680299E-2</v>
      </c>
      <c r="AA117">
        <v>1.03534012800515</v>
      </c>
      <c r="AB117" s="9">
        <f t="shared" si="17"/>
        <v>-0.36464662061206771</v>
      </c>
      <c r="AC117" s="9">
        <f t="shared" si="18"/>
        <v>-0.36225825454117166</v>
      </c>
      <c r="AD117" s="2">
        <f t="shared" si="19"/>
        <v>-6.5498099691342349E-3</v>
      </c>
      <c r="AE117" s="8">
        <f t="shared" si="20"/>
        <v>1.054785846702929E-2</v>
      </c>
      <c r="AF117" s="2">
        <f t="shared" si="21"/>
        <v>8.1235181009309092E-4</v>
      </c>
      <c r="AG117" s="8">
        <f t="shared" si="22"/>
        <v>9.7355066569361996E-3</v>
      </c>
      <c r="AH117" s="7">
        <f t="shared" si="23"/>
        <v>8.3442170882223096E-2</v>
      </c>
      <c r="AI117">
        <f t="shared" si="24"/>
        <v>1</v>
      </c>
      <c r="AJ117" s="10">
        <f t="shared" si="25"/>
        <v>9.7355066569361996E-3</v>
      </c>
    </row>
    <row r="118" spans="1:36" hidden="1" x14ac:dyDescent="0.25">
      <c r="A118" t="b">
        <v>0</v>
      </c>
      <c r="B118">
        <v>1000</v>
      </c>
      <c r="C118">
        <v>9.7355066569361996E-3</v>
      </c>
      <c r="D118" t="s">
        <v>52</v>
      </c>
      <c r="E118" t="b">
        <v>1</v>
      </c>
      <c r="F118" t="s">
        <v>53</v>
      </c>
      <c r="G118">
        <v>7.4999999999999997E-2</v>
      </c>
      <c r="H118">
        <v>0.5</v>
      </c>
      <c r="I118">
        <v>1E-4</v>
      </c>
      <c r="J118" t="b">
        <v>1</v>
      </c>
      <c r="K118">
        <v>1</v>
      </c>
      <c r="L118">
        <v>1500</v>
      </c>
      <c r="M118">
        <v>0.01</v>
      </c>
      <c r="N118">
        <v>0.154</v>
      </c>
      <c r="O118" t="s">
        <v>181</v>
      </c>
      <c r="P118" t="s">
        <v>182</v>
      </c>
      <c r="Q118" s="1">
        <v>-1.4201263573030099E-6</v>
      </c>
      <c r="R118" s="1">
        <v>4.5319832765086602E-7</v>
      </c>
      <c r="S118" s="1">
        <v>4.2114566044419699E-6</v>
      </c>
      <c r="T118" s="1">
        <v>-1.53575156854047E-6</v>
      </c>
      <c r="U118">
        <v>1.0047236893829099</v>
      </c>
      <c r="V118" s="1">
        <v>-1.2384228010576801E-15</v>
      </c>
      <c r="W118">
        <v>1.6875610420653001E-2</v>
      </c>
      <c r="X118">
        <v>1.8121338530752</v>
      </c>
      <c r="Y118">
        <v>1.329507506283</v>
      </c>
      <c r="Z118">
        <v>1.30767056632888E-2</v>
      </c>
      <c r="AA118">
        <v>1.0344142816820701</v>
      </c>
      <c r="AB118" s="9">
        <f t="shared" si="17"/>
        <v>-0.3646604281570085</v>
      </c>
      <c r="AC118" s="9">
        <f t="shared" si="18"/>
        <v>-0.36225825454117166</v>
      </c>
      <c r="AD118" s="2">
        <f t="shared" si="19"/>
        <v>-6.5874260828832076E-3</v>
      </c>
      <c r="AE118" s="8">
        <f t="shared" si="20"/>
        <v>1.0552558609286895E-2</v>
      </c>
      <c r="AF118" s="2">
        <f t="shared" si="21"/>
        <v>8.1705195235069576E-4</v>
      </c>
      <c r="AG118" s="8">
        <f t="shared" si="22"/>
        <v>9.7355066569361996E-3</v>
      </c>
      <c r="AH118" s="7">
        <f t="shared" si="23"/>
        <v>8.3924954410932021E-2</v>
      </c>
      <c r="AI118">
        <f t="shared" si="24"/>
        <v>1</v>
      </c>
      <c r="AJ118" s="10">
        <f t="shared" si="25"/>
        <v>9.7355066569361996E-3</v>
      </c>
    </row>
    <row r="119" spans="1:36" hidden="1" x14ac:dyDescent="0.25">
      <c r="A119" t="b">
        <v>0</v>
      </c>
      <c r="B119">
        <v>1000</v>
      </c>
      <c r="C119">
        <v>9.7355066569361996E-3</v>
      </c>
      <c r="D119" t="s">
        <v>52</v>
      </c>
      <c r="E119" t="b">
        <v>1</v>
      </c>
      <c r="F119" t="s">
        <v>53</v>
      </c>
      <c r="G119">
        <v>7.4999999999999997E-2</v>
      </c>
      <c r="H119">
        <v>0.5</v>
      </c>
      <c r="I119">
        <v>1E-4</v>
      </c>
      <c r="J119" t="b">
        <v>1</v>
      </c>
      <c r="K119">
        <v>1</v>
      </c>
      <c r="L119">
        <v>1500</v>
      </c>
      <c r="M119">
        <v>0.01</v>
      </c>
      <c r="N119">
        <v>0.154</v>
      </c>
      <c r="O119" t="s">
        <v>181</v>
      </c>
      <c r="P119" t="s">
        <v>183</v>
      </c>
      <c r="Q119" s="1">
        <v>-1.13572068852704E-5</v>
      </c>
      <c r="R119" s="1">
        <v>3.6277488396436E-6</v>
      </c>
      <c r="S119" s="1">
        <v>3.36803657255051E-5</v>
      </c>
      <c r="T119" s="1">
        <v>-1.22814757383599E-5</v>
      </c>
      <c r="U119">
        <v>1.0047156679064699</v>
      </c>
      <c r="V119" s="1">
        <v>-1.23879499829978E-15</v>
      </c>
      <c r="W119">
        <v>1.6731560676802999E-2</v>
      </c>
      <c r="X119">
        <v>1.81213217351615</v>
      </c>
      <c r="Y119">
        <v>1.32989404069659</v>
      </c>
      <c r="Z119">
        <v>1.30767550462597E-2</v>
      </c>
      <c r="AA119">
        <v>1.03538855571668</v>
      </c>
      <c r="AB119" s="9">
        <f t="shared" si="17"/>
        <v>-0.36464793281800734</v>
      </c>
      <c r="AC119" s="9">
        <f t="shared" si="18"/>
        <v>-0.36225825454117166</v>
      </c>
      <c r="AD119" s="2">
        <f t="shared" si="19"/>
        <v>-6.5533849550940548E-3</v>
      </c>
      <c r="AE119" s="8">
        <f t="shared" si="20"/>
        <v>1.0548305145179127E-2</v>
      </c>
      <c r="AF119" s="2">
        <f t="shared" si="21"/>
        <v>8.1279848824292698E-4</v>
      </c>
      <c r="AG119" s="8">
        <f t="shared" si="22"/>
        <v>9.7355066569361996E-3</v>
      </c>
      <c r="AH119" s="7">
        <f t="shared" si="23"/>
        <v>8.3488052228266635E-2</v>
      </c>
      <c r="AI119">
        <f t="shared" si="24"/>
        <v>1</v>
      </c>
      <c r="AJ119" s="10">
        <f t="shared" si="25"/>
        <v>9.7355066569361996E-3</v>
      </c>
    </row>
    <row r="120" spans="1:36" hidden="1" x14ac:dyDescent="0.25">
      <c r="A120" t="b">
        <v>0</v>
      </c>
      <c r="B120">
        <v>1000</v>
      </c>
      <c r="C120">
        <v>9.7355066569361996E-3</v>
      </c>
      <c r="D120" t="s">
        <v>52</v>
      </c>
      <c r="E120" t="b">
        <v>1</v>
      </c>
      <c r="F120" t="s">
        <v>53</v>
      </c>
      <c r="G120">
        <v>7.4999999999999997E-2</v>
      </c>
      <c r="H120">
        <v>0.5</v>
      </c>
      <c r="I120">
        <v>1E-4</v>
      </c>
      <c r="J120" t="b">
        <v>1</v>
      </c>
      <c r="K120">
        <v>1</v>
      </c>
      <c r="L120">
        <v>1500</v>
      </c>
      <c r="M120">
        <v>0.01</v>
      </c>
      <c r="N120">
        <v>0.154</v>
      </c>
      <c r="O120" t="s">
        <v>181</v>
      </c>
      <c r="P120" t="s">
        <v>184</v>
      </c>
      <c r="Q120" s="1">
        <v>-9.9370822147494702E-6</v>
      </c>
      <c r="R120" s="1">
        <v>3.2053788504422998E-6</v>
      </c>
      <c r="S120" s="1">
        <v>2.9468914189387101E-5</v>
      </c>
      <c r="T120" s="1">
        <v>-1.07457315437531E-5</v>
      </c>
      <c r="U120">
        <v>1.0047168143152101</v>
      </c>
      <c r="V120" s="1">
        <v>-1.2386502335314101E-15</v>
      </c>
      <c r="W120">
        <v>2.0073794340785201E-2</v>
      </c>
      <c r="X120">
        <v>1.81213205923174</v>
      </c>
      <c r="Y120">
        <v>1.32992167225751</v>
      </c>
      <c r="Z120">
        <v>1.3076773137848E-2</v>
      </c>
      <c r="AA120">
        <v>1.04588794765952</v>
      </c>
      <c r="AB120" s="9">
        <f t="shared" si="17"/>
        <v>-0.36464633459834278</v>
      </c>
      <c r="AC120" s="9">
        <f t="shared" si="18"/>
        <v>-0.36225825454117166</v>
      </c>
      <c r="AD120" s="2">
        <f t="shared" si="19"/>
        <v>-6.5490307472899634E-3</v>
      </c>
      <c r="AE120" s="8">
        <f t="shared" si="20"/>
        <v>1.0547761107301797E-2</v>
      </c>
      <c r="AF120" s="2">
        <f t="shared" si="21"/>
        <v>8.1225445036559735E-4</v>
      </c>
      <c r="AG120" s="8">
        <f t="shared" si="22"/>
        <v>9.7355066569361996E-3</v>
      </c>
      <c r="AH120" s="7">
        <f t="shared" si="23"/>
        <v>8.3432170403467926E-2</v>
      </c>
      <c r="AI120">
        <f t="shared" si="24"/>
        <v>1</v>
      </c>
      <c r="AJ120" s="10">
        <f t="shared" si="25"/>
        <v>9.7355066569361996E-3</v>
      </c>
    </row>
    <row r="121" spans="1:36" hidden="1" x14ac:dyDescent="0.25">
      <c r="A121" t="b">
        <v>0</v>
      </c>
      <c r="B121">
        <v>1000</v>
      </c>
      <c r="C121">
        <v>9.7355066569361996E-3</v>
      </c>
      <c r="D121" t="s">
        <v>52</v>
      </c>
      <c r="E121" t="b">
        <v>1</v>
      </c>
      <c r="F121" t="s">
        <v>53</v>
      </c>
      <c r="G121">
        <v>7.4999999999999997E-2</v>
      </c>
      <c r="H121">
        <v>0.5</v>
      </c>
      <c r="I121">
        <v>1E-4</v>
      </c>
      <c r="J121" t="b">
        <v>1</v>
      </c>
      <c r="K121">
        <v>1</v>
      </c>
      <c r="L121">
        <v>1500</v>
      </c>
      <c r="M121">
        <v>0.01</v>
      </c>
      <c r="N121">
        <v>0.154</v>
      </c>
      <c r="O121" t="s">
        <v>181</v>
      </c>
      <c r="P121" t="s">
        <v>185</v>
      </c>
      <c r="Q121" s="1">
        <v>-1.1357206885271499E-5</v>
      </c>
      <c r="R121" s="1">
        <v>3.6528105813598901E-6</v>
      </c>
      <c r="S121" s="1">
        <v>3.3680365725509701E-5</v>
      </c>
      <c r="T121" s="1">
        <v>-1.2281475738452799E-5</v>
      </c>
      <c r="U121">
        <v>1.0047156679053999</v>
      </c>
      <c r="V121" s="1">
        <v>-1.2387949968191399E-15</v>
      </c>
      <c r="W121">
        <v>1.6888344864896199E-2</v>
      </c>
      <c r="X121">
        <v>1.8121321735164</v>
      </c>
      <c r="Y121">
        <v>1.3323070437498501</v>
      </c>
      <c r="Z121">
        <v>1.30767550462123E-2</v>
      </c>
      <c r="AA121">
        <v>1.04261017246487</v>
      </c>
      <c r="AB121" s="9">
        <f t="shared" si="17"/>
        <v>-0.36464793282071578</v>
      </c>
      <c r="AC121" s="9">
        <f t="shared" si="18"/>
        <v>-0.36225825454117166</v>
      </c>
      <c r="AD121" s="2">
        <f t="shared" si="19"/>
        <v>-6.5533849624729301E-3</v>
      </c>
      <c r="AE121" s="8">
        <f t="shared" si="20"/>
        <v>1.0548305146101106E-2</v>
      </c>
      <c r="AF121" s="2">
        <f t="shared" si="21"/>
        <v>8.1279848916490649E-4</v>
      </c>
      <c r="AG121" s="8">
        <f t="shared" si="22"/>
        <v>9.7355066569361996E-3</v>
      </c>
      <c r="AH121" s="7">
        <f t="shared" si="23"/>
        <v>8.3488052322969422E-2</v>
      </c>
      <c r="AI121">
        <f t="shared" si="24"/>
        <v>1</v>
      </c>
      <c r="AJ121" s="10">
        <f t="shared" si="25"/>
        <v>9.7355066569361996E-3</v>
      </c>
    </row>
    <row r="122" spans="1:36" hidden="1" x14ac:dyDescent="0.25">
      <c r="A122" t="b">
        <v>0</v>
      </c>
      <c r="B122">
        <v>1000</v>
      </c>
      <c r="C122">
        <v>9.7355066569361996E-3</v>
      </c>
      <c r="D122" t="s">
        <v>52</v>
      </c>
      <c r="E122" t="b">
        <v>1</v>
      </c>
      <c r="F122" t="s">
        <v>53</v>
      </c>
      <c r="G122">
        <v>7.4999999999999997E-2</v>
      </c>
      <c r="H122">
        <v>0.5</v>
      </c>
      <c r="I122">
        <v>1E-4</v>
      </c>
      <c r="J122" t="b">
        <v>1</v>
      </c>
      <c r="K122">
        <v>1</v>
      </c>
      <c r="L122">
        <v>1500</v>
      </c>
      <c r="M122">
        <v>0.01</v>
      </c>
      <c r="N122">
        <v>0.154</v>
      </c>
      <c r="O122" t="s">
        <v>181</v>
      </c>
      <c r="P122" t="s">
        <v>186</v>
      </c>
      <c r="Q122" s="1">
        <v>-2.11259011242758E-5</v>
      </c>
      <c r="R122" s="1">
        <v>6.3118755167022202E-6</v>
      </c>
      <c r="S122" s="1">
        <v>6.3149239382980697E-5</v>
      </c>
      <c r="T122" s="1">
        <v>-2.30271483065169E-5</v>
      </c>
      <c r="U122">
        <v>1.0047076463403599</v>
      </c>
      <c r="V122" s="1">
        <v>-4.63359934014611E-15</v>
      </c>
      <c r="W122">
        <v>5.5361938648660599E-3</v>
      </c>
      <c r="X122">
        <v>1.2984724029003001</v>
      </c>
      <c r="Y122">
        <v>0.94787532634331895</v>
      </c>
      <c r="Z122">
        <v>5.3387016400279895E-4</v>
      </c>
      <c r="AA122">
        <v>0.50328044384049797</v>
      </c>
      <c r="AB122" s="9">
        <f t="shared" si="17"/>
        <v>-0.364646487139209</v>
      </c>
      <c r="AC122" s="9">
        <f t="shared" si="18"/>
        <v>-0.36225825454117166</v>
      </c>
      <c r="AD122" s="2">
        <f t="shared" si="19"/>
        <v>-6.5494463330058039E-3</v>
      </c>
      <c r="AE122" s="8">
        <f t="shared" si="20"/>
        <v>1.0547813032559944E-2</v>
      </c>
      <c r="AF122" s="2">
        <f t="shared" si="21"/>
        <v>8.123063756237444E-4</v>
      </c>
      <c r="AG122" s="8">
        <f t="shared" si="22"/>
        <v>9.7355066569361996E-3</v>
      </c>
      <c r="AH122" s="7">
        <f t="shared" si="23"/>
        <v>8.343750399934298E-2</v>
      </c>
      <c r="AI122">
        <f t="shared" si="24"/>
        <v>1</v>
      </c>
      <c r="AJ122" s="10">
        <f t="shared" si="25"/>
        <v>9.7355066569361996E-3</v>
      </c>
    </row>
    <row r="123" spans="1:36" hidden="1" x14ac:dyDescent="0.25">
      <c r="A123" t="b">
        <v>0</v>
      </c>
      <c r="B123">
        <v>1000</v>
      </c>
      <c r="C123">
        <v>9.7355066569361996E-3</v>
      </c>
      <c r="D123" t="s">
        <v>52</v>
      </c>
      <c r="E123" t="b">
        <v>1</v>
      </c>
      <c r="F123" t="s">
        <v>53</v>
      </c>
      <c r="G123">
        <v>7.4999999999999997E-2</v>
      </c>
      <c r="H123">
        <v>0.5</v>
      </c>
      <c r="I123">
        <v>1E-4</v>
      </c>
      <c r="J123" t="b">
        <v>1</v>
      </c>
      <c r="K123">
        <v>1</v>
      </c>
      <c r="L123">
        <v>1500</v>
      </c>
      <c r="M123">
        <v>0.01</v>
      </c>
      <c r="N123">
        <v>0.154</v>
      </c>
      <c r="O123" t="s">
        <v>182</v>
      </c>
      <c r="P123" t="s">
        <v>183</v>
      </c>
      <c r="Q123" s="1">
        <v>-9.9370805336358394E-6</v>
      </c>
      <c r="R123" s="1">
        <v>3.2240612401571201E-6</v>
      </c>
      <c r="S123" s="1">
        <v>2.94689091210556E-5</v>
      </c>
      <c r="T123" s="1">
        <v>-1.07457241693991E-5</v>
      </c>
      <c r="U123">
        <v>1.00471452151187</v>
      </c>
      <c r="V123" s="1">
        <v>-1.2387385921613599E-15</v>
      </c>
      <c r="W123">
        <v>2.08090233288677E-2</v>
      </c>
      <c r="X123">
        <v>1.81213203936312</v>
      </c>
      <c r="Y123">
        <v>1.3309710167644</v>
      </c>
      <c r="Z123">
        <v>1.30767745215298E-2</v>
      </c>
      <c r="AA123">
        <v>1.05209296606251</v>
      </c>
      <c r="AB123" s="9">
        <f t="shared" si="17"/>
        <v>-0.36464614707170334</v>
      </c>
      <c r="AC123" s="9">
        <f t="shared" si="18"/>
        <v>-0.36225825454117166</v>
      </c>
      <c r="AD123" s="2">
        <f t="shared" si="19"/>
        <v>-6.5485198450818682E-3</v>
      </c>
      <c r="AE123" s="8">
        <f t="shared" si="20"/>
        <v>1.0547697272814124E-2</v>
      </c>
      <c r="AF123" s="2">
        <f t="shared" si="21"/>
        <v>8.1219061587792414E-4</v>
      </c>
      <c r="AG123" s="8">
        <f t="shared" si="22"/>
        <v>9.7355066569361996E-3</v>
      </c>
      <c r="AH123" s="7">
        <f t="shared" si="23"/>
        <v>8.342561352975579E-2</v>
      </c>
      <c r="AI123">
        <f t="shared" si="24"/>
        <v>1</v>
      </c>
      <c r="AJ123" s="10">
        <f t="shared" si="25"/>
        <v>9.7355066569361996E-3</v>
      </c>
    </row>
    <row r="124" spans="1:36" hidden="1" x14ac:dyDescent="0.25">
      <c r="A124" t="b">
        <v>0</v>
      </c>
      <c r="B124">
        <v>1000</v>
      </c>
      <c r="C124">
        <v>9.7355066569361996E-3</v>
      </c>
      <c r="D124" t="s">
        <v>52</v>
      </c>
      <c r="E124" t="b">
        <v>1</v>
      </c>
      <c r="F124" t="s">
        <v>53</v>
      </c>
      <c r="G124">
        <v>7.4999999999999997E-2</v>
      </c>
      <c r="H124">
        <v>0.5</v>
      </c>
      <c r="I124">
        <v>1E-4</v>
      </c>
      <c r="J124" t="b">
        <v>1</v>
      </c>
      <c r="K124">
        <v>1</v>
      </c>
      <c r="L124">
        <v>1500</v>
      </c>
      <c r="M124">
        <v>0.01</v>
      </c>
      <c r="N124">
        <v>0.154</v>
      </c>
      <c r="O124" t="s">
        <v>182</v>
      </c>
      <c r="P124" t="s">
        <v>184</v>
      </c>
      <c r="Q124" s="1">
        <v>-8.5169558624622607E-6</v>
      </c>
      <c r="R124" s="1">
        <v>2.7504920810339899E-6</v>
      </c>
      <c r="S124" s="1">
        <v>2.5257457584941901E-5</v>
      </c>
      <c r="T124" s="1">
        <v>-9.20997997496235E-6</v>
      </c>
      <c r="U124">
        <v>1.00471566792061</v>
      </c>
      <c r="V124" s="1">
        <v>-1.2385921466733399E-15</v>
      </c>
      <c r="W124">
        <v>1.97478799176822E-2</v>
      </c>
      <c r="X124">
        <v>1.81213186537532</v>
      </c>
      <c r="Y124">
        <v>1.3305567062564201</v>
      </c>
      <c r="Z124">
        <v>1.3076796741747099E-2</v>
      </c>
      <c r="AA124">
        <v>1.04710812420975</v>
      </c>
      <c r="AB124" s="9">
        <f t="shared" si="17"/>
        <v>-0.36464398461281372</v>
      </c>
      <c r="AC124" s="9">
        <f t="shared" si="18"/>
        <v>-0.36225825454117166</v>
      </c>
      <c r="AD124" s="2">
        <f t="shared" si="19"/>
        <v>-6.542628350705626E-3</v>
      </c>
      <c r="AE124" s="8">
        <f t="shared" si="20"/>
        <v>1.0546961167551936E-2</v>
      </c>
      <c r="AF124" s="2">
        <f t="shared" si="21"/>
        <v>8.1145451061573684E-4</v>
      </c>
      <c r="AG124" s="8">
        <f t="shared" si="22"/>
        <v>9.7355066569361996E-3</v>
      </c>
      <c r="AH124" s="7">
        <f t="shared" si="23"/>
        <v>8.3350003159579231E-2</v>
      </c>
      <c r="AI124">
        <f t="shared" si="24"/>
        <v>1</v>
      </c>
      <c r="AJ124" s="10">
        <f t="shared" si="25"/>
        <v>9.7355066569361996E-3</v>
      </c>
    </row>
    <row r="125" spans="1:36" hidden="1" x14ac:dyDescent="0.25">
      <c r="A125" t="b">
        <v>0</v>
      </c>
      <c r="B125">
        <v>1000</v>
      </c>
      <c r="C125">
        <v>9.7355066569361996E-3</v>
      </c>
      <c r="D125" t="s">
        <v>52</v>
      </c>
      <c r="E125" t="b">
        <v>1</v>
      </c>
      <c r="F125" t="s">
        <v>53</v>
      </c>
      <c r="G125">
        <v>7.4999999999999997E-2</v>
      </c>
      <c r="H125">
        <v>0.5</v>
      </c>
      <c r="I125">
        <v>1E-4</v>
      </c>
      <c r="J125" t="b">
        <v>1</v>
      </c>
      <c r="K125">
        <v>1</v>
      </c>
      <c r="L125">
        <v>1500</v>
      </c>
      <c r="M125">
        <v>0.01</v>
      </c>
      <c r="N125">
        <v>0.154</v>
      </c>
      <c r="O125" t="s">
        <v>182</v>
      </c>
      <c r="P125" t="s">
        <v>185</v>
      </c>
      <c r="Q125" s="1">
        <v>-9.9370805336371997E-6</v>
      </c>
      <c r="R125" s="1">
        <v>3.2593824851423502E-6</v>
      </c>
      <c r="S125" s="1">
        <v>2.9468909121062001E-5</v>
      </c>
      <c r="T125" s="1">
        <v>-1.07457241695575E-5</v>
      </c>
      <c r="U125">
        <v>1.0047145215108</v>
      </c>
      <c r="V125" s="1">
        <v>-1.2387385915240699E-15</v>
      </c>
      <c r="W125">
        <v>2.08002557638081E-2</v>
      </c>
      <c r="X125">
        <v>1.81213203936363</v>
      </c>
      <c r="Y125">
        <v>1.3351264488160599</v>
      </c>
      <c r="Z125">
        <v>1.3076774521445801E-2</v>
      </c>
      <c r="AA125">
        <v>1.0637461823055101</v>
      </c>
      <c r="AB125" s="9">
        <f t="shared" si="17"/>
        <v>-0.36464614707699927</v>
      </c>
      <c r="AC125" s="9">
        <f t="shared" si="18"/>
        <v>-0.36225825454117166</v>
      </c>
      <c r="AD125" s="2">
        <f t="shared" si="19"/>
        <v>-6.5485198595102156E-3</v>
      </c>
      <c r="AE125" s="8">
        <f t="shared" si="20"/>
        <v>1.0547697274616864E-2</v>
      </c>
      <c r="AF125" s="2">
        <f t="shared" si="21"/>
        <v>8.1219061768066439E-4</v>
      </c>
      <c r="AG125" s="8">
        <f t="shared" si="22"/>
        <v>9.7355066569361996E-3</v>
      </c>
      <c r="AH125" s="7">
        <f t="shared" si="23"/>
        <v>8.3425613714927474E-2</v>
      </c>
      <c r="AI125">
        <f t="shared" si="24"/>
        <v>1</v>
      </c>
      <c r="AJ125" s="10">
        <f t="shared" si="25"/>
        <v>9.7355066569361996E-3</v>
      </c>
    </row>
    <row r="126" spans="1:36" hidden="1" x14ac:dyDescent="0.25">
      <c r="A126" t="b">
        <v>0</v>
      </c>
      <c r="B126">
        <v>1000</v>
      </c>
      <c r="C126">
        <v>9.7355066569361996E-3</v>
      </c>
      <c r="D126" t="s">
        <v>52</v>
      </c>
      <c r="E126" t="b">
        <v>1</v>
      </c>
      <c r="F126" t="s">
        <v>53</v>
      </c>
      <c r="G126">
        <v>7.4999999999999997E-2</v>
      </c>
      <c r="H126">
        <v>0.5</v>
      </c>
      <c r="I126">
        <v>1E-4</v>
      </c>
      <c r="J126" t="b">
        <v>1</v>
      </c>
      <c r="K126">
        <v>1</v>
      </c>
      <c r="L126">
        <v>1500</v>
      </c>
      <c r="M126">
        <v>0.01</v>
      </c>
      <c r="N126">
        <v>0.154</v>
      </c>
      <c r="O126" t="s">
        <v>182</v>
      </c>
      <c r="P126" t="s">
        <v>186</v>
      </c>
      <c r="Q126" s="1">
        <v>-1.9874149263610501E-5</v>
      </c>
      <c r="R126" s="1">
        <v>6.4233496713409099E-6</v>
      </c>
      <c r="S126" s="1">
        <v>5.8937782778534701E-5</v>
      </c>
      <c r="T126" s="1">
        <v>-2.14913967377056E-5</v>
      </c>
      <c r="U126">
        <v>1.00470649994576</v>
      </c>
      <c r="V126" s="1">
        <v>-1.2388316835607299E-15</v>
      </c>
      <c r="W126">
        <v>2.0705020055076299E-2</v>
      </c>
      <c r="X126">
        <v>1.81213160146278</v>
      </c>
      <c r="Y126">
        <v>1.32993814561409</v>
      </c>
      <c r="Z126">
        <v>1.3076736093534699E-2</v>
      </c>
      <c r="AA126">
        <v>1.0480036735127001</v>
      </c>
      <c r="AB126" s="9">
        <f t="shared" si="17"/>
        <v>-0.36464549096564969</v>
      </c>
      <c r="AC126" s="9">
        <f t="shared" si="18"/>
        <v>-0.36225825454117166</v>
      </c>
      <c r="AD126" s="2">
        <f t="shared" si="19"/>
        <v>-6.5467323294089441E-3</v>
      </c>
      <c r="AE126" s="8">
        <f t="shared" si="20"/>
        <v>1.0547473932908769E-2</v>
      </c>
      <c r="AF126" s="2">
        <f t="shared" si="21"/>
        <v>8.1196727597256969E-4</v>
      </c>
      <c r="AG126" s="8">
        <f t="shared" si="22"/>
        <v>9.7355066569361996E-3</v>
      </c>
      <c r="AH126" s="7">
        <f t="shared" si="23"/>
        <v>8.3402672771434261E-2</v>
      </c>
      <c r="AI126">
        <f t="shared" si="24"/>
        <v>1</v>
      </c>
      <c r="AJ126" s="10">
        <f t="shared" si="25"/>
        <v>9.7355066569361996E-3</v>
      </c>
    </row>
    <row r="127" spans="1:36" hidden="1" x14ac:dyDescent="0.25">
      <c r="A127" t="b">
        <v>0</v>
      </c>
      <c r="B127">
        <v>1000</v>
      </c>
      <c r="C127">
        <v>9.7355066569361996E-3</v>
      </c>
      <c r="D127" t="s">
        <v>52</v>
      </c>
      <c r="E127" t="b">
        <v>1</v>
      </c>
      <c r="F127" t="s">
        <v>53</v>
      </c>
      <c r="G127">
        <v>7.4999999999999997E-2</v>
      </c>
      <c r="H127">
        <v>0.5</v>
      </c>
      <c r="I127">
        <v>1E-4</v>
      </c>
      <c r="J127" t="b">
        <v>1</v>
      </c>
      <c r="K127">
        <v>1</v>
      </c>
      <c r="L127">
        <v>1500</v>
      </c>
      <c r="M127">
        <v>0.01</v>
      </c>
      <c r="N127">
        <v>0.154</v>
      </c>
      <c r="O127" t="s">
        <v>183</v>
      </c>
      <c r="P127" t="s">
        <v>185</v>
      </c>
      <c r="Q127" s="1">
        <v>-1E-10</v>
      </c>
      <c r="R127" s="1">
        <v>3.5857859264204398E-12</v>
      </c>
      <c r="S127" s="1">
        <v>1.0672830756720401E-17</v>
      </c>
      <c r="T127" s="1">
        <v>-1.7553952796170101E-16</v>
      </c>
      <c r="U127">
        <v>1.00470650003436</v>
      </c>
      <c r="V127">
        <v>0</v>
      </c>
      <c r="W127">
        <v>6.8474548152970896E-2</v>
      </c>
      <c r="X127">
        <v>2</v>
      </c>
      <c r="Y127">
        <v>4.0005664077720198E-3</v>
      </c>
      <c r="Z127">
        <v>2.5000000000000001E-4</v>
      </c>
      <c r="AA127">
        <v>4.7933529738364098E-3</v>
      </c>
      <c r="AB127" s="9">
        <f t="shared" si="17"/>
        <v>-16.447326108977077</v>
      </c>
      <c r="AC127" s="9">
        <f t="shared" si="18"/>
        <v>-0.36225825454117166</v>
      </c>
      <c r="AD127" s="2">
        <f t="shared" si="19"/>
        <v>-0.97797464146202773</v>
      </c>
      <c r="AE127" s="8">
        <f t="shared" si="20"/>
        <v>-1.2287632799044863</v>
      </c>
      <c r="AF127" s="2">
        <f t="shared" si="21"/>
        <v>-1.2384987865614225</v>
      </c>
      <c r="AG127" s="8">
        <f t="shared" si="22"/>
        <v>9.7355066569361996E-3</v>
      </c>
      <c r="AH127" s="7">
        <f t="shared" si="23"/>
        <v>-127.21462068736162</v>
      </c>
      <c r="AI127">
        <f t="shared" si="24"/>
        <v>1</v>
      </c>
      <c r="AJ127" s="10">
        <f t="shared" si="25"/>
        <v>9.7355066569361996E-3</v>
      </c>
    </row>
    <row r="128" spans="1:36" hidden="1" x14ac:dyDescent="0.25">
      <c r="A128" t="b">
        <v>0</v>
      </c>
      <c r="B128">
        <v>1000</v>
      </c>
      <c r="C128">
        <v>9.7355066569361996E-3</v>
      </c>
      <c r="D128" t="s">
        <v>52</v>
      </c>
      <c r="E128" t="b">
        <v>1</v>
      </c>
      <c r="F128" t="s">
        <v>53</v>
      </c>
      <c r="G128">
        <v>7.4999999999999997E-2</v>
      </c>
      <c r="H128">
        <v>0.5</v>
      </c>
      <c r="I128">
        <v>1E-4</v>
      </c>
      <c r="J128" t="b">
        <v>1</v>
      </c>
      <c r="K128">
        <v>1</v>
      </c>
      <c r="L128">
        <v>1500</v>
      </c>
      <c r="M128">
        <v>0.01</v>
      </c>
      <c r="N128">
        <v>0.154</v>
      </c>
      <c r="O128" t="s">
        <v>183</v>
      </c>
      <c r="P128" t="s">
        <v>186</v>
      </c>
      <c r="Q128" s="1">
        <v>-9.9370687704458605E-6</v>
      </c>
      <c r="R128" s="1">
        <v>3.2282364520403801E-6</v>
      </c>
      <c r="S128" s="1">
        <v>2.9468873657471999E-5</v>
      </c>
      <c r="T128" s="1">
        <v>-1.0745672567952199E-5</v>
      </c>
      <c r="U128">
        <v>1.00469847846932</v>
      </c>
      <c r="V128" s="1">
        <v>-1.2389641430682699E-15</v>
      </c>
      <c r="W128">
        <v>2.02307831835794E-2</v>
      </c>
      <c r="X128">
        <v>1.8121319020601301</v>
      </c>
      <c r="Y128">
        <v>1.33204042621062</v>
      </c>
      <c r="Z128">
        <v>1.30767843816394E-2</v>
      </c>
      <c r="AA128">
        <v>1.05344002893651</v>
      </c>
      <c r="AB128" s="9">
        <f t="shared" si="17"/>
        <v>-0.36464483484687149</v>
      </c>
      <c r="AC128" s="9">
        <f t="shared" si="18"/>
        <v>-0.36225825454117166</v>
      </c>
      <c r="AD128" s="2">
        <f t="shared" si="19"/>
        <v>-6.5449447726362298E-3</v>
      </c>
      <c r="AE128" s="8">
        <f t="shared" si="20"/>
        <v>1.0547250588770719E-2</v>
      </c>
      <c r="AF128" s="2">
        <f t="shared" si="21"/>
        <v>8.1174393183451946E-4</v>
      </c>
      <c r="AG128" s="8">
        <f t="shared" si="22"/>
        <v>9.7355066569361996E-3</v>
      </c>
      <c r="AH128" s="7">
        <f t="shared" si="23"/>
        <v>8.3379731578343788E-2</v>
      </c>
      <c r="AI128">
        <f t="shared" si="24"/>
        <v>1</v>
      </c>
      <c r="AJ128" s="10">
        <f t="shared" si="25"/>
        <v>9.7355066569361996E-3</v>
      </c>
    </row>
    <row r="129" spans="1:36" hidden="1" x14ac:dyDescent="0.25">
      <c r="A129" t="b">
        <v>0</v>
      </c>
      <c r="B129">
        <v>1000</v>
      </c>
      <c r="C129">
        <v>9.7355066569361996E-3</v>
      </c>
      <c r="D129" t="s">
        <v>52</v>
      </c>
      <c r="E129" t="b">
        <v>1</v>
      </c>
      <c r="F129" t="s">
        <v>53</v>
      </c>
      <c r="G129">
        <v>7.4999999999999997E-2</v>
      </c>
      <c r="H129">
        <v>0.5</v>
      </c>
      <c r="I129">
        <v>1E-4</v>
      </c>
      <c r="J129" t="b">
        <v>1</v>
      </c>
      <c r="K129">
        <v>1</v>
      </c>
      <c r="L129">
        <v>1500</v>
      </c>
      <c r="M129">
        <v>0.01</v>
      </c>
      <c r="N129">
        <v>0.154</v>
      </c>
      <c r="O129" t="s">
        <v>184</v>
      </c>
      <c r="P129" t="s">
        <v>185</v>
      </c>
      <c r="Q129" s="1">
        <v>-1.4201246761644101E-6</v>
      </c>
      <c r="R129" s="1">
        <v>4.5410970458602998E-7</v>
      </c>
      <c r="S129" s="1">
        <v>4.2114515361223698E-6</v>
      </c>
      <c r="T129" s="1">
        <v>-1.53574419448201E-6</v>
      </c>
      <c r="U129">
        <v>1.0047076464431</v>
      </c>
      <c r="V129" s="1">
        <v>-1.23806045908353E-15</v>
      </c>
      <c r="W129">
        <v>1.69303206642386E-2</v>
      </c>
      <c r="X129">
        <v>1.8121337150955701</v>
      </c>
      <c r="Y129">
        <v>1.33008589138553</v>
      </c>
      <c r="Z129">
        <v>1.30767154290786E-2</v>
      </c>
      <c r="AA129">
        <v>1.03652181835394</v>
      </c>
      <c r="AB129" s="9">
        <f t="shared" si="17"/>
        <v>-0.36465911605764867</v>
      </c>
      <c r="AC129" s="9">
        <f t="shared" si="18"/>
        <v>-0.36225825454117166</v>
      </c>
      <c r="AD129" s="2">
        <f t="shared" si="19"/>
        <v>-6.5838516322664908E-3</v>
      </c>
      <c r="AE129" s="8">
        <f t="shared" si="20"/>
        <v>1.0552111963657169E-2</v>
      </c>
      <c r="AF129" s="2">
        <f t="shared" si="21"/>
        <v>8.1660530672096956E-4</v>
      </c>
      <c r="AG129" s="8">
        <f t="shared" si="22"/>
        <v>9.7355066569361996E-3</v>
      </c>
      <c r="AH129" s="7">
        <f t="shared" si="23"/>
        <v>8.3879076405249803E-2</v>
      </c>
      <c r="AI129">
        <f t="shared" si="24"/>
        <v>1</v>
      </c>
      <c r="AJ129" s="10">
        <f t="shared" si="25"/>
        <v>9.7355066569361996E-3</v>
      </c>
    </row>
    <row r="130" spans="1:36" hidden="1" x14ac:dyDescent="0.25">
      <c r="A130" t="b">
        <v>0</v>
      </c>
      <c r="B130">
        <v>1000</v>
      </c>
      <c r="C130">
        <v>9.7355066569361996E-3</v>
      </c>
      <c r="D130" t="s">
        <v>52</v>
      </c>
      <c r="E130" t="b">
        <v>1</v>
      </c>
      <c r="F130" t="s">
        <v>53</v>
      </c>
      <c r="G130">
        <v>7.4999999999999997E-2</v>
      </c>
      <c r="H130">
        <v>0.5</v>
      </c>
      <c r="I130">
        <v>1E-4</v>
      </c>
      <c r="J130" t="b">
        <v>1</v>
      </c>
      <c r="K130">
        <v>1</v>
      </c>
      <c r="L130">
        <v>1500</v>
      </c>
      <c r="M130">
        <v>0.01</v>
      </c>
      <c r="N130">
        <v>0.154</v>
      </c>
      <c r="O130" t="s">
        <v>184</v>
      </c>
      <c r="P130" t="s">
        <v>186</v>
      </c>
      <c r="Q130" s="1">
        <v>-1.1357193440817001E-5</v>
      </c>
      <c r="R130" s="1">
        <v>3.6463774149707899E-6</v>
      </c>
      <c r="S130" s="1">
        <v>3.3680325193593099E-5</v>
      </c>
      <c r="T130" s="1">
        <v>-1.22814167628703E-5</v>
      </c>
      <c r="U130">
        <v>1.00469962487806</v>
      </c>
      <c r="V130" s="1">
        <v>-1.2406065239793099E-15</v>
      </c>
      <c r="W130">
        <v>1.6672814921173101E-2</v>
      </c>
      <c r="X130">
        <v>1.8121320361418001</v>
      </c>
      <c r="Y130">
        <v>1.33183577036376</v>
      </c>
      <c r="Z130">
        <v>1.30767648856892E-2</v>
      </c>
      <c r="AA130">
        <v>1.04075094225868</v>
      </c>
      <c r="AB130" s="9">
        <f t="shared" si="17"/>
        <v>-0.36464662060942793</v>
      </c>
      <c r="AC130" s="9">
        <f t="shared" si="18"/>
        <v>-0.36225825454117166</v>
      </c>
      <c r="AD130" s="2">
        <f t="shared" si="19"/>
        <v>-6.5498099619424321E-3</v>
      </c>
      <c r="AE130" s="8">
        <f t="shared" si="20"/>
        <v>1.0547858466130718E-2</v>
      </c>
      <c r="AF130" s="2">
        <f t="shared" si="21"/>
        <v>8.1235180919451803E-4</v>
      </c>
      <c r="AG130" s="8">
        <f t="shared" si="22"/>
        <v>9.7355066569361996E-3</v>
      </c>
      <c r="AH130" s="7">
        <f t="shared" si="23"/>
        <v>8.344217078992458E-2</v>
      </c>
      <c r="AI130">
        <f t="shared" si="24"/>
        <v>1</v>
      </c>
      <c r="AJ130" s="10">
        <f t="shared" si="25"/>
        <v>9.7355066569361996E-3</v>
      </c>
    </row>
    <row r="131" spans="1:36" hidden="1" x14ac:dyDescent="0.25">
      <c r="A131" t="b">
        <v>0</v>
      </c>
      <c r="B131">
        <v>1000</v>
      </c>
      <c r="C131">
        <v>9.7355066569361996E-3</v>
      </c>
      <c r="D131" t="s">
        <v>52</v>
      </c>
      <c r="E131" t="b">
        <v>1</v>
      </c>
      <c r="F131" t="s">
        <v>53</v>
      </c>
      <c r="G131">
        <v>7.4999999999999997E-2</v>
      </c>
      <c r="H131">
        <v>0.5</v>
      </c>
      <c r="I131">
        <v>1E-4</v>
      </c>
      <c r="J131" t="b">
        <v>1</v>
      </c>
      <c r="K131">
        <v>1</v>
      </c>
      <c r="L131">
        <v>1500</v>
      </c>
      <c r="M131">
        <v>0.01</v>
      </c>
      <c r="N131">
        <v>0.154</v>
      </c>
      <c r="O131" t="s">
        <v>185</v>
      </c>
      <c r="P131" t="s">
        <v>186</v>
      </c>
      <c r="Q131" s="1">
        <v>-9.93706877044408E-6</v>
      </c>
      <c r="R131" s="1">
        <v>3.2344533071138999E-6</v>
      </c>
      <c r="S131" s="1">
        <v>2.9468873657463898E-5</v>
      </c>
      <c r="T131" s="1">
        <v>-1.0745672567759199E-5</v>
      </c>
      <c r="U131">
        <v>1.00469847846825</v>
      </c>
      <c r="V131" s="1">
        <v>-1.2389641421804001E-15</v>
      </c>
      <c r="W131">
        <v>2.0663459515904301E-2</v>
      </c>
      <c r="X131">
        <v>1.8121319020595199</v>
      </c>
      <c r="Y131">
        <v>1.33217520697132</v>
      </c>
      <c r="Z131">
        <v>1.30767843817453E-2</v>
      </c>
      <c r="AA131">
        <v>1.05552577844587</v>
      </c>
      <c r="AB131" s="9">
        <f t="shared" si="17"/>
        <v>-0.36464483484042248</v>
      </c>
      <c r="AC131" s="9">
        <f t="shared" si="18"/>
        <v>-0.36225825454117166</v>
      </c>
      <c r="AD131" s="2">
        <f t="shared" si="19"/>
        <v>-6.5449447550662843E-3</v>
      </c>
      <c r="AE131" s="8">
        <f t="shared" si="20"/>
        <v>1.0547250586575446E-2</v>
      </c>
      <c r="AF131" s="2">
        <f t="shared" si="21"/>
        <v>8.1174392963924598E-4</v>
      </c>
      <c r="AG131" s="8">
        <f t="shared" si="22"/>
        <v>9.7355066569361996E-3</v>
      </c>
      <c r="AH131" s="7">
        <f t="shared" si="23"/>
        <v>8.3379731352852343E-2</v>
      </c>
      <c r="AI131">
        <f t="shared" si="24"/>
        <v>1</v>
      </c>
      <c r="AJ131" s="10">
        <f t="shared" si="25"/>
        <v>9.7355066569361996E-3</v>
      </c>
    </row>
    <row r="132" spans="1:36" hidden="1" x14ac:dyDescent="0.25">
      <c r="A132" t="b">
        <v>0</v>
      </c>
      <c r="B132">
        <v>1000</v>
      </c>
      <c r="C132">
        <v>9.7355066569360001E-3</v>
      </c>
      <c r="D132" t="s">
        <v>52</v>
      </c>
      <c r="E132" t="b">
        <v>1</v>
      </c>
      <c r="F132" t="s">
        <v>53</v>
      </c>
      <c r="G132">
        <v>7.4999999999999997E-2</v>
      </c>
      <c r="H132">
        <v>0.5</v>
      </c>
      <c r="I132">
        <v>1E-4</v>
      </c>
      <c r="J132" t="b">
        <v>1</v>
      </c>
      <c r="K132">
        <v>2</v>
      </c>
      <c r="L132">
        <v>1500</v>
      </c>
      <c r="M132">
        <v>0.01</v>
      </c>
      <c r="N132">
        <v>0.154</v>
      </c>
      <c r="O132" t="s">
        <v>187</v>
      </c>
      <c r="P132" t="s">
        <v>188</v>
      </c>
      <c r="Q132" s="1">
        <v>-5.5630529538612598E-6</v>
      </c>
      <c r="R132" s="1">
        <v>8.9928050741831302E-8</v>
      </c>
      <c r="S132" s="1">
        <v>1.66901446581239E-5</v>
      </c>
      <c r="T132" s="1">
        <v>-2.27606597213683E-5</v>
      </c>
      <c r="U132">
        <v>2.0021578121230799</v>
      </c>
      <c r="V132">
        <v>0</v>
      </c>
      <c r="W132">
        <v>1.1307419468726801E-3</v>
      </c>
      <c r="X132">
        <v>2</v>
      </c>
      <c r="Y132">
        <v>7.3537777393757095E-2</v>
      </c>
      <c r="Z132">
        <v>2.5000000000000001E-4</v>
      </c>
      <c r="AA132">
        <v>6.4749040365651697E-2</v>
      </c>
      <c r="AB132" s="9">
        <f t="shared" si="17"/>
        <v>-0.34092963523670816</v>
      </c>
      <c r="AC132" s="9">
        <f t="shared" si="18"/>
        <v>-0.34061723520723985</v>
      </c>
      <c r="AD132" s="2">
        <f t="shared" si="19"/>
        <v>-9.1631819935922287E-4</v>
      </c>
      <c r="AE132" s="8">
        <f t="shared" si="20"/>
        <v>2.5385284439417713E-3</v>
      </c>
      <c r="AF132" s="2">
        <f t="shared" si="21"/>
        <v>1.0465177970777131E-4</v>
      </c>
      <c r="AG132" s="8">
        <f t="shared" si="22"/>
        <v>2.433876664234E-3</v>
      </c>
      <c r="AH132" s="7">
        <f t="shared" si="23"/>
        <v>4.2997979826026954E-2</v>
      </c>
      <c r="AI132">
        <f t="shared" si="24"/>
        <v>2</v>
      </c>
      <c r="AJ132" s="10">
        <f t="shared" si="25"/>
        <v>9.7355066569360001E-3</v>
      </c>
    </row>
    <row r="133" spans="1:36" hidden="1" x14ac:dyDescent="0.25">
      <c r="A133" t="b">
        <v>0</v>
      </c>
      <c r="B133">
        <v>1000</v>
      </c>
      <c r="C133">
        <v>9.7355066569360001E-3</v>
      </c>
      <c r="D133" t="s">
        <v>52</v>
      </c>
      <c r="E133" t="b">
        <v>1</v>
      </c>
      <c r="F133" t="s">
        <v>53</v>
      </c>
      <c r="G133">
        <v>7.4999999999999997E-2</v>
      </c>
      <c r="H133">
        <v>0.5</v>
      </c>
      <c r="I133">
        <v>1E-4</v>
      </c>
      <c r="J133" t="b">
        <v>1</v>
      </c>
      <c r="K133">
        <v>2</v>
      </c>
      <c r="L133">
        <v>1500</v>
      </c>
      <c r="M133">
        <v>0.01</v>
      </c>
      <c r="N133">
        <v>0.154</v>
      </c>
      <c r="O133" t="s">
        <v>187</v>
      </c>
      <c r="P133" t="s">
        <v>189</v>
      </c>
      <c r="Q133" s="1">
        <v>-4.4462946625908698E-5</v>
      </c>
      <c r="R133" s="1">
        <v>4.0499246965073497E-9</v>
      </c>
      <c r="S133">
        <v>1.3346483770637201E-4</v>
      </c>
      <c r="T133">
        <v>-1.81986694060842E-4</v>
      </c>
      <c r="U133">
        <v>2.0020981646795302</v>
      </c>
      <c r="V133" s="1">
        <v>6.9746935464658399E-16</v>
      </c>
      <c r="W133" s="1">
        <v>7.0129229041942699E-6</v>
      </c>
      <c r="X133">
        <v>2.0197827241945099</v>
      </c>
      <c r="Y133">
        <v>4.15577515303813E-4</v>
      </c>
      <c r="Z133">
        <v>2.3292810704640498E-3</v>
      </c>
      <c r="AA133">
        <v>3.7147545068162501E-4</v>
      </c>
      <c r="AB133" s="9">
        <f t="shared" si="17"/>
        <v>-0.34088883856664182</v>
      </c>
      <c r="AC133" s="9">
        <f t="shared" si="18"/>
        <v>-0.34061723520723985</v>
      </c>
      <c r="AD133" s="2">
        <f t="shared" si="19"/>
        <v>-7.9675052003458369E-4</v>
      </c>
      <c r="AE133" s="8">
        <f t="shared" si="20"/>
        <v>2.5248606102876345E-3</v>
      </c>
      <c r="AF133" s="2">
        <f t="shared" si="21"/>
        <v>9.0983946053634513E-5</v>
      </c>
      <c r="AG133" s="8">
        <f t="shared" si="22"/>
        <v>2.433876664234E-3</v>
      </c>
      <c r="AH133" s="7">
        <f t="shared" si="23"/>
        <v>3.7382315788901888E-2</v>
      </c>
      <c r="AI133">
        <f t="shared" si="24"/>
        <v>2</v>
      </c>
      <c r="AJ133" s="10">
        <f t="shared" si="25"/>
        <v>9.7355066569360001E-3</v>
      </c>
    </row>
    <row r="134" spans="1:36" hidden="1" x14ac:dyDescent="0.25">
      <c r="A134" t="b">
        <v>0</v>
      </c>
      <c r="B134">
        <v>1000</v>
      </c>
      <c r="C134">
        <v>9.7355066569360001E-3</v>
      </c>
      <c r="D134" t="s">
        <v>52</v>
      </c>
      <c r="E134" t="b">
        <v>1</v>
      </c>
      <c r="F134" t="s">
        <v>53</v>
      </c>
      <c r="G134">
        <v>7.4999999999999997E-2</v>
      </c>
      <c r="H134">
        <v>0.5</v>
      </c>
      <c r="I134">
        <v>1E-4</v>
      </c>
      <c r="J134" t="b">
        <v>1</v>
      </c>
      <c r="K134">
        <v>2</v>
      </c>
      <c r="L134">
        <v>1500</v>
      </c>
      <c r="M134">
        <v>0.01</v>
      </c>
      <c r="N134">
        <v>0.154</v>
      </c>
      <c r="O134" t="s">
        <v>187</v>
      </c>
      <c r="P134" t="s">
        <v>190</v>
      </c>
      <c r="Q134" s="1">
        <v>-5.5630529538612598E-6</v>
      </c>
      <c r="R134" s="1">
        <v>8.9928050742092996E-8</v>
      </c>
      <c r="S134" s="1">
        <v>1.6690144658129599E-5</v>
      </c>
      <c r="T134" s="1">
        <v>-2.2760659721584601E-5</v>
      </c>
      <c r="U134">
        <v>2.0021578121230799</v>
      </c>
      <c r="V134">
        <v>0</v>
      </c>
      <c r="W134">
        <v>1.13074194687597E-3</v>
      </c>
      <c r="X134">
        <v>2</v>
      </c>
      <c r="Y134">
        <v>7.3537777393971104E-2</v>
      </c>
      <c r="Z134">
        <v>2.5000000000000001E-4</v>
      </c>
      <c r="AA134">
        <v>6.4749040365840102E-2</v>
      </c>
      <c r="AB134" s="9">
        <f t="shared" si="17"/>
        <v>-0.34092963523983172</v>
      </c>
      <c r="AC134" s="9">
        <f t="shared" si="18"/>
        <v>-0.34061723520723985</v>
      </c>
      <c r="AD134" s="2">
        <f t="shared" si="19"/>
        <v>-9.1631820851278967E-4</v>
      </c>
      <c r="AE134" s="8">
        <f t="shared" si="20"/>
        <v>2.5385284449882558E-3</v>
      </c>
      <c r="AF134" s="2">
        <f t="shared" si="21"/>
        <v>1.0465178075425583E-4</v>
      </c>
      <c r="AG134" s="8">
        <f t="shared" si="22"/>
        <v>2.433876664234E-3</v>
      </c>
      <c r="AH134" s="7">
        <f t="shared" si="23"/>
        <v>4.2997980255993079E-2</v>
      </c>
      <c r="AI134">
        <f t="shared" si="24"/>
        <v>2</v>
      </c>
      <c r="AJ134" s="10">
        <f t="shared" si="25"/>
        <v>9.7355066569360001E-3</v>
      </c>
    </row>
    <row r="135" spans="1:36" hidden="1" x14ac:dyDescent="0.25">
      <c r="A135" t="b">
        <v>0</v>
      </c>
      <c r="B135">
        <v>1000</v>
      </c>
      <c r="C135">
        <v>9.7355066569360001E-3</v>
      </c>
      <c r="D135" t="s">
        <v>52</v>
      </c>
      <c r="E135" t="b">
        <v>1</v>
      </c>
      <c r="F135" t="s">
        <v>53</v>
      </c>
      <c r="G135">
        <v>7.4999999999999997E-2</v>
      </c>
      <c r="H135">
        <v>0.5</v>
      </c>
      <c r="I135">
        <v>1E-4</v>
      </c>
      <c r="J135" t="b">
        <v>1</v>
      </c>
      <c r="K135">
        <v>2</v>
      </c>
      <c r="L135">
        <v>1500</v>
      </c>
      <c r="M135">
        <v>0.01</v>
      </c>
      <c r="N135">
        <v>0.154</v>
      </c>
      <c r="O135" t="s">
        <v>187</v>
      </c>
      <c r="P135" t="s">
        <v>191</v>
      </c>
      <c r="Q135" s="1">
        <v>-1.1126104946032601E-5</v>
      </c>
      <c r="R135" s="1">
        <v>1.7980355643276299E-7</v>
      </c>
      <c r="S135" s="1">
        <v>3.33802863705955E-5</v>
      </c>
      <c r="T135" s="1">
        <v>-4.55212943050226E-5</v>
      </c>
      <c r="U135">
        <v>2.00214928601071</v>
      </c>
      <c r="V135">
        <v>0</v>
      </c>
      <c r="W135">
        <v>1.1540452485100201E-3</v>
      </c>
      <c r="X135">
        <v>2</v>
      </c>
      <c r="Y135">
        <v>7.3497934650836497E-2</v>
      </c>
      <c r="Z135">
        <v>2.5000000000000001E-4</v>
      </c>
      <c r="AA135">
        <v>6.4729980542443402E-2</v>
      </c>
      <c r="AB135" s="9">
        <f t="shared" si="17"/>
        <v>-0.34092947705447219</v>
      </c>
      <c r="AC135" s="9">
        <f t="shared" si="18"/>
        <v>-0.34061723520723985</v>
      </c>
      <c r="AD135" s="2">
        <f t="shared" si="19"/>
        <v>-9.1585465102639319E-4</v>
      </c>
      <c r="AE135" s="8">
        <f t="shared" si="20"/>
        <v>2.5384754484927283E-3</v>
      </c>
      <c r="AF135" s="2">
        <f t="shared" si="21"/>
        <v>1.0459878425872829E-4</v>
      </c>
      <c r="AG135" s="8">
        <f t="shared" si="22"/>
        <v>2.433876664234E-3</v>
      </c>
      <c r="AH135" s="7">
        <f t="shared" si="23"/>
        <v>4.2976205736229477E-2</v>
      </c>
      <c r="AI135">
        <f t="shared" si="24"/>
        <v>2</v>
      </c>
      <c r="AJ135" s="10">
        <f t="shared" si="25"/>
        <v>9.7355066569360001E-3</v>
      </c>
    </row>
    <row r="136" spans="1:36" hidden="1" x14ac:dyDescent="0.25">
      <c r="A136" t="b">
        <v>0</v>
      </c>
      <c r="B136">
        <v>1000</v>
      </c>
      <c r="C136">
        <v>9.7355066569360001E-3</v>
      </c>
      <c r="D136" t="s">
        <v>52</v>
      </c>
      <c r="E136" t="b">
        <v>1</v>
      </c>
      <c r="F136" t="s">
        <v>53</v>
      </c>
      <c r="G136">
        <v>7.4999999999999997E-2</v>
      </c>
      <c r="H136">
        <v>0.5</v>
      </c>
      <c r="I136">
        <v>1E-4</v>
      </c>
      <c r="J136" t="b">
        <v>1</v>
      </c>
      <c r="K136">
        <v>2</v>
      </c>
      <c r="L136">
        <v>1500</v>
      </c>
      <c r="M136">
        <v>0.01</v>
      </c>
      <c r="N136">
        <v>0.154</v>
      </c>
      <c r="O136" t="s">
        <v>187</v>
      </c>
      <c r="P136" t="s">
        <v>192</v>
      </c>
      <c r="Q136" s="1">
        <v>-5.0023151596427298E-5</v>
      </c>
      <c r="R136" s="1">
        <v>4.5913946731688397E-9</v>
      </c>
      <c r="S136">
        <v>1.5015495881191799E-4</v>
      </c>
      <c r="T136">
        <v>-2.0474715279561399E-4</v>
      </c>
      <c r="U136">
        <v>2.0020896381260802</v>
      </c>
      <c r="V136" s="1">
        <v>6.9844463415749499E-16</v>
      </c>
      <c r="W136" s="1">
        <v>7.5727666752850402E-6</v>
      </c>
      <c r="X136">
        <v>2.0197952490309201</v>
      </c>
      <c r="Y136">
        <v>4.1578980437428898E-4</v>
      </c>
      <c r="Z136">
        <v>2.3293759109339002E-3</v>
      </c>
      <c r="AA136">
        <v>3.7434101819471102E-4</v>
      </c>
      <c r="AB136" s="9">
        <f t="shared" si="17"/>
        <v>-0.34089309206910279</v>
      </c>
      <c r="AC136" s="9">
        <f t="shared" si="18"/>
        <v>-0.34061723520723985</v>
      </c>
      <c r="AD136" s="2">
        <f t="shared" si="19"/>
        <v>-8.0921810468082001E-4</v>
      </c>
      <c r="AE136" s="8">
        <f t="shared" si="20"/>
        <v>2.5262856151725887E-3</v>
      </c>
      <c r="AF136" s="2">
        <f t="shared" si="21"/>
        <v>9.240895093858871E-5</v>
      </c>
      <c r="AG136" s="8">
        <f t="shared" si="22"/>
        <v>2.433876664234E-3</v>
      </c>
      <c r="AH136" s="7">
        <f t="shared" si="23"/>
        <v>3.7967803503170548E-2</v>
      </c>
      <c r="AI136">
        <f t="shared" si="24"/>
        <v>2</v>
      </c>
      <c r="AJ136" s="10">
        <f t="shared" si="25"/>
        <v>9.7355066569360001E-3</v>
      </c>
    </row>
    <row r="137" spans="1:36" hidden="1" x14ac:dyDescent="0.25">
      <c r="A137" t="b">
        <v>0</v>
      </c>
      <c r="B137">
        <v>1000</v>
      </c>
      <c r="C137">
        <v>9.7355066569360001E-3</v>
      </c>
      <c r="D137" t="s">
        <v>52</v>
      </c>
      <c r="E137" t="b">
        <v>1</v>
      </c>
      <c r="F137" t="s">
        <v>53</v>
      </c>
      <c r="G137">
        <v>7.4999999999999997E-2</v>
      </c>
      <c r="H137">
        <v>0.5</v>
      </c>
      <c r="I137">
        <v>1E-4</v>
      </c>
      <c r="J137" t="b">
        <v>1</v>
      </c>
      <c r="K137">
        <v>2</v>
      </c>
      <c r="L137">
        <v>1500</v>
      </c>
      <c r="M137">
        <v>0.01</v>
      </c>
      <c r="N137">
        <v>0.154</v>
      </c>
      <c r="O137" t="s">
        <v>187</v>
      </c>
      <c r="P137" t="s">
        <v>193</v>
      </c>
      <c r="Q137" s="1">
        <v>-4.4462947190018499E-5</v>
      </c>
      <c r="R137" s="1">
        <v>4.0805177224697099E-9</v>
      </c>
      <c r="S137">
        <v>1.33464837706376E-4</v>
      </c>
      <c r="T137">
        <v>-1.8198669406107099E-4</v>
      </c>
      <c r="U137">
        <v>2.0020981646804601</v>
      </c>
      <c r="V137" s="1">
        <v>7.1576803876179303E-16</v>
      </c>
      <c r="W137" s="1">
        <v>7.0694796871219799E-6</v>
      </c>
      <c r="X137">
        <v>2.0197827854871502</v>
      </c>
      <c r="Y137">
        <v>4.1621310984403802E-4</v>
      </c>
      <c r="Z137">
        <v>2.3292292823965401E-3</v>
      </c>
      <c r="AA137">
        <v>3.7428310152605698E-4</v>
      </c>
      <c r="AB137" s="9">
        <f t="shared" si="17"/>
        <v>-0.34088883856706059</v>
      </c>
      <c r="AC137" s="9">
        <f t="shared" si="18"/>
        <v>-0.34061723520723985</v>
      </c>
      <c r="AD137" s="2">
        <f t="shared" si="19"/>
        <v>-7.9675052126204626E-4</v>
      </c>
      <c r="AE137" s="8">
        <f t="shared" si="20"/>
        <v>2.5248606104279329E-3</v>
      </c>
      <c r="AF137" s="2">
        <f t="shared" si="21"/>
        <v>9.0983946193932876E-5</v>
      </c>
      <c r="AG137" s="8">
        <f t="shared" si="22"/>
        <v>2.433876664234E-3</v>
      </c>
      <c r="AH137" s="7">
        <f t="shared" si="23"/>
        <v>3.7382315846545874E-2</v>
      </c>
      <c r="AI137">
        <f t="shared" si="24"/>
        <v>2</v>
      </c>
      <c r="AJ137" s="10">
        <f t="shared" si="25"/>
        <v>9.7355066569360001E-3</v>
      </c>
    </row>
    <row r="138" spans="1:36" hidden="1" x14ac:dyDescent="0.25">
      <c r="A138" t="b">
        <v>0</v>
      </c>
      <c r="B138">
        <v>1000</v>
      </c>
      <c r="C138">
        <v>9.7355066569360001E-3</v>
      </c>
      <c r="D138" t="s">
        <v>52</v>
      </c>
      <c r="E138" t="b">
        <v>1</v>
      </c>
      <c r="F138" t="s">
        <v>53</v>
      </c>
      <c r="G138">
        <v>7.4999999999999997E-2</v>
      </c>
      <c r="H138">
        <v>0.5</v>
      </c>
      <c r="I138">
        <v>1E-4</v>
      </c>
      <c r="J138" t="b">
        <v>1</v>
      </c>
      <c r="K138">
        <v>2</v>
      </c>
      <c r="L138">
        <v>1500</v>
      </c>
      <c r="M138">
        <v>0.01</v>
      </c>
      <c r="N138">
        <v>0.154</v>
      </c>
      <c r="O138" t="s">
        <v>187</v>
      </c>
      <c r="P138" t="s">
        <v>194</v>
      </c>
      <c r="Q138" s="1">
        <v>-5.0023151599167402E-5</v>
      </c>
      <c r="R138" s="1">
        <v>4.6002929423441396E-9</v>
      </c>
      <c r="S138">
        <v>1.50154958811923E-4</v>
      </c>
      <c r="T138">
        <v>-2.0474715279576801E-4</v>
      </c>
      <c r="U138">
        <v>2.0020896381269102</v>
      </c>
      <c r="V138" s="1">
        <v>7.0983536177806996E-16</v>
      </c>
      <c r="W138" s="1">
        <v>7.5143110881738202E-6</v>
      </c>
      <c r="X138">
        <v>2.01979524929004</v>
      </c>
      <c r="Y138">
        <v>4.1601004281927902E-4</v>
      </c>
      <c r="Z138">
        <v>2.32937568666856E-3</v>
      </c>
      <c r="AA138">
        <v>3.7506595367929997E-4</v>
      </c>
      <c r="AB138" s="9">
        <f t="shared" si="17"/>
        <v>-0.34089309206934781</v>
      </c>
      <c r="AC138" s="9">
        <f t="shared" si="18"/>
        <v>-0.34061723520723985</v>
      </c>
      <c r="AD138" s="2">
        <f t="shared" si="19"/>
        <v>-8.0921810539902328E-4</v>
      </c>
      <c r="AE138" s="8">
        <f t="shared" si="20"/>
        <v>2.5262856152546897E-3</v>
      </c>
      <c r="AF138" s="2">
        <f t="shared" si="21"/>
        <v>9.2408951020689703E-5</v>
      </c>
      <c r="AG138" s="8">
        <f t="shared" si="22"/>
        <v>2.433876664234E-3</v>
      </c>
      <c r="AH138" s="7">
        <f t="shared" si="23"/>
        <v>3.7967803536903148E-2</v>
      </c>
      <c r="AI138">
        <f t="shared" si="24"/>
        <v>2</v>
      </c>
      <c r="AJ138" s="10">
        <f t="shared" si="25"/>
        <v>9.7355066569360001E-3</v>
      </c>
    </row>
    <row r="139" spans="1:36" hidden="1" x14ac:dyDescent="0.25">
      <c r="A139" t="b">
        <v>0</v>
      </c>
      <c r="B139">
        <v>1000</v>
      </c>
      <c r="C139">
        <v>9.7355066569360001E-3</v>
      </c>
      <c r="D139" t="s">
        <v>52</v>
      </c>
      <c r="E139" t="b">
        <v>1</v>
      </c>
      <c r="F139" t="s">
        <v>53</v>
      </c>
      <c r="G139">
        <v>7.4999999999999997E-2</v>
      </c>
      <c r="H139">
        <v>0.5</v>
      </c>
      <c r="I139">
        <v>1E-4</v>
      </c>
      <c r="J139" t="b">
        <v>1</v>
      </c>
      <c r="K139">
        <v>2</v>
      </c>
      <c r="L139">
        <v>1500</v>
      </c>
      <c r="M139">
        <v>0.01</v>
      </c>
      <c r="N139">
        <v>0.154</v>
      </c>
      <c r="O139" t="s">
        <v>187</v>
      </c>
      <c r="P139" t="s">
        <v>195</v>
      </c>
      <c r="Q139" s="1">
        <v>-8.8925791528806996E-5</v>
      </c>
      <c r="R139" s="1">
        <v>8.1289775350478401E-9</v>
      </c>
      <c r="S139">
        <v>2.66929487093618E-4</v>
      </c>
      <c r="T139">
        <v>-3.63971781156907E-4</v>
      </c>
      <c r="U139">
        <v>2.0020299871486502</v>
      </c>
      <c r="V139" s="1">
        <v>7.4376455565338602E-16</v>
      </c>
      <c r="W139" s="1">
        <v>7.0050428035160203E-6</v>
      </c>
      <c r="X139">
        <v>2.0197768585821501</v>
      </c>
      <c r="Y139">
        <v>4.1646208719887799E-4</v>
      </c>
      <c r="Z139">
        <v>2.3310631207553202E-3</v>
      </c>
      <c r="AA139">
        <v>3.7281112921699698E-4</v>
      </c>
      <c r="AB139" s="9">
        <f t="shared" si="17"/>
        <v>-0.34088757401805347</v>
      </c>
      <c r="AC139" s="9">
        <f t="shared" si="18"/>
        <v>-0.34061723520723985</v>
      </c>
      <c r="AD139" s="2">
        <f t="shared" si="19"/>
        <v>-7.9304389898149363E-4</v>
      </c>
      <c r="AE139" s="8">
        <f t="shared" si="20"/>
        <v>2.5244369630441268E-3</v>
      </c>
      <c r="AF139" s="2">
        <f t="shared" si="21"/>
        <v>9.0560298810126762E-5</v>
      </c>
      <c r="AG139" s="8">
        <f t="shared" si="22"/>
        <v>2.433876664234E-3</v>
      </c>
      <c r="AH139" s="7">
        <f t="shared" si="23"/>
        <v>3.7208253047870968E-2</v>
      </c>
      <c r="AI139">
        <f t="shared" si="24"/>
        <v>2</v>
      </c>
      <c r="AJ139" s="10">
        <f t="shared" si="25"/>
        <v>9.7355066569360001E-3</v>
      </c>
    </row>
    <row r="140" spans="1:36" hidden="1" x14ac:dyDescent="0.25">
      <c r="A140" t="b">
        <v>0</v>
      </c>
      <c r="B140">
        <v>1000</v>
      </c>
      <c r="C140">
        <v>9.7355066569360001E-3</v>
      </c>
      <c r="D140" t="s">
        <v>52</v>
      </c>
      <c r="E140" t="b">
        <v>1</v>
      </c>
      <c r="F140" t="s">
        <v>53</v>
      </c>
      <c r="G140">
        <v>7.4999999999999997E-2</v>
      </c>
      <c r="H140">
        <v>0.5</v>
      </c>
      <c r="I140">
        <v>1E-4</v>
      </c>
      <c r="J140" t="b">
        <v>1</v>
      </c>
      <c r="K140">
        <v>2</v>
      </c>
      <c r="L140">
        <v>1500</v>
      </c>
      <c r="M140">
        <v>0.01</v>
      </c>
      <c r="N140">
        <v>0.154</v>
      </c>
      <c r="O140" t="s">
        <v>188</v>
      </c>
      <c r="P140" t="s">
        <v>189</v>
      </c>
      <c r="Q140" s="1">
        <v>-3.8902729284022801E-5</v>
      </c>
      <c r="R140" s="1">
        <v>3.6590140511568599E-9</v>
      </c>
      <c r="S140">
        <v>1.1677469304824601E-4</v>
      </c>
      <c r="T140">
        <v>-1.5922603433947901E-4</v>
      </c>
      <c r="U140">
        <v>2.0020896386318201</v>
      </c>
      <c r="V140" s="1">
        <v>7.1862505652742099E-16</v>
      </c>
      <c r="W140" s="1">
        <v>8.6497348813158003E-6</v>
      </c>
      <c r="X140">
        <v>2.01976498554856</v>
      </c>
      <c r="Y140">
        <v>4.1627925510257901E-4</v>
      </c>
      <c r="Z140">
        <v>2.3296317864522301E-3</v>
      </c>
      <c r="AA140">
        <v>3.8358710498369298E-4</v>
      </c>
      <c r="AB140" s="9">
        <f t="shared" si="17"/>
        <v>-0.34088300766008872</v>
      </c>
      <c r="AC140" s="9">
        <f t="shared" si="18"/>
        <v>-0.34061723520723985</v>
      </c>
      <c r="AD140" s="2">
        <f t="shared" si="19"/>
        <v>-7.7965884739517044E-4</v>
      </c>
      <c r="AE140" s="8">
        <f t="shared" si="20"/>
        <v>2.5229071513682747E-3</v>
      </c>
      <c r="AF140" s="2">
        <f t="shared" si="21"/>
        <v>8.9030487134274684E-5</v>
      </c>
      <c r="AG140" s="8">
        <f t="shared" si="22"/>
        <v>2.433876664234E-3</v>
      </c>
      <c r="AH140" s="7">
        <f t="shared" si="23"/>
        <v>3.6579703664768377E-2</v>
      </c>
      <c r="AI140">
        <f t="shared" si="24"/>
        <v>2</v>
      </c>
      <c r="AJ140" s="10">
        <f t="shared" si="25"/>
        <v>9.7355066569360001E-3</v>
      </c>
    </row>
    <row r="141" spans="1:36" hidden="1" x14ac:dyDescent="0.25">
      <c r="A141" t="b">
        <v>0</v>
      </c>
      <c r="B141">
        <v>1000</v>
      </c>
      <c r="C141">
        <v>9.7355066569360001E-3</v>
      </c>
      <c r="D141" t="s">
        <v>52</v>
      </c>
      <c r="E141" t="b">
        <v>1</v>
      </c>
      <c r="F141" t="s">
        <v>53</v>
      </c>
      <c r="G141">
        <v>7.4999999999999997E-2</v>
      </c>
      <c r="H141">
        <v>0.5</v>
      </c>
      <c r="I141">
        <v>1E-4</v>
      </c>
      <c r="J141" t="b">
        <v>1</v>
      </c>
      <c r="K141">
        <v>2</v>
      </c>
      <c r="L141">
        <v>1500</v>
      </c>
      <c r="M141">
        <v>0.01</v>
      </c>
      <c r="N141">
        <v>0.154</v>
      </c>
      <c r="O141" t="s">
        <v>188</v>
      </c>
      <c r="P141" t="s">
        <v>190</v>
      </c>
      <c r="Q141" s="1">
        <v>-1E-10</v>
      </c>
      <c r="R141" s="1">
        <v>3.58578597281012E-12</v>
      </c>
      <c r="S141" s="1">
        <v>5.6720193214911803E-18</v>
      </c>
      <c r="T141" s="1">
        <v>-1.1170503141479499E-16</v>
      </c>
      <c r="U141">
        <v>2.00214928607538</v>
      </c>
      <c r="V141">
        <v>0</v>
      </c>
      <c r="W141">
        <v>6.8474549038833293E-2</v>
      </c>
      <c r="X141">
        <v>2</v>
      </c>
      <c r="Y141">
        <v>4.0005664595277697E-3</v>
      </c>
      <c r="Z141">
        <v>2.5000000000000001E-4</v>
      </c>
      <c r="AA141">
        <v>4.7933530358485101E-3</v>
      </c>
      <c r="AB141" s="9">
        <f t="shared" si="17"/>
        <v>-4.9235124689873064</v>
      </c>
      <c r="AC141" s="9">
        <f t="shared" si="18"/>
        <v>-0.34061723520723985</v>
      </c>
      <c r="AD141" s="2">
        <f t="shared" si="19"/>
        <v>-0.93081824462662532</v>
      </c>
      <c r="AE141" s="8">
        <f t="shared" si="20"/>
        <v>-2.8865799033177653</v>
      </c>
      <c r="AF141" s="2">
        <f t="shared" si="21"/>
        <v>-2.8890137799819993</v>
      </c>
      <c r="AG141" s="8">
        <f t="shared" si="22"/>
        <v>2.433876664234E-3</v>
      </c>
      <c r="AH141" s="7">
        <f t="shared" si="23"/>
        <v>-1187.0008954998721</v>
      </c>
      <c r="AI141">
        <f t="shared" si="24"/>
        <v>2</v>
      </c>
      <c r="AJ141" s="10">
        <f t="shared" si="25"/>
        <v>9.7355066569360001E-3</v>
      </c>
    </row>
    <row r="142" spans="1:36" hidden="1" x14ac:dyDescent="0.25">
      <c r="A142" t="b">
        <v>0</v>
      </c>
      <c r="B142">
        <v>1000</v>
      </c>
      <c r="C142">
        <v>9.7355066569360001E-3</v>
      </c>
      <c r="D142" t="s">
        <v>52</v>
      </c>
      <c r="E142" t="b">
        <v>1</v>
      </c>
      <c r="F142" t="s">
        <v>53</v>
      </c>
      <c r="G142">
        <v>7.4999999999999997E-2</v>
      </c>
      <c r="H142">
        <v>0.5</v>
      </c>
      <c r="I142">
        <v>1E-4</v>
      </c>
      <c r="J142" t="b">
        <v>1</v>
      </c>
      <c r="K142">
        <v>2</v>
      </c>
      <c r="L142">
        <v>1500</v>
      </c>
      <c r="M142">
        <v>0.01</v>
      </c>
      <c r="N142">
        <v>0.154</v>
      </c>
      <c r="O142" t="s">
        <v>188</v>
      </c>
      <c r="P142" t="s">
        <v>191</v>
      </c>
      <c r="Q142" s="1">
        <v>-5.5630519921882197E-6</v>
      </c>
      <c r="R142" s="1">
        <v>9.0489820725057497E-8</v>
      </c>
      <c r="S142" s="1">
        <v>1.6690141712477701E-5</v>
      </c>
      <c r="T142" s="1">
        <v>-2.2760634584061099E-5</v>
      </c>
      <c r="U142">
        <v>2.0021407599630101</v>
      </c>
      <c r="V142">
        <v>0</v>
      </c>
      <c r="W142">
        <v>1.1513648454968199E-3</v>
      </c>
      <c r="X142">
        <v>2</v>
      </c>
      <c r="Y142">
        <v>7.3633198207390602E-2</v>
      </c>
      <c r="Z142">
        <v>2.5000000000000001E-4</v>
      </c>
      <c r="AA142">
        <v>6.5153296816681805E-2</v>
      </c>
      <c r="AB142" s="9">
        <f t="shared" si="17"/>
        <v>-0.34092931887817707</v>
      </c>
      <c r="AC142" s="9">
        <f t="shared" si="18"/>
        <v>-0.34061723520723985</v>
      </c>
      <c r="AD142" s="2">
        <f t="shared" si="19"/>
        <v>-9.1539111967287035E-4</v>
      </c>
      <c r="AE142" s="8">
        <f t="shared" si="20"/>
        <v>2.5384224550396468E-3</v>
      </c>
      <c r="AF142" s="2">
        <f t="shared" si="21"/>
        <v>1.0454579080564682E-4</v>
      </c>
      <c r="AG142" s="8">
        <f t="shared" si="22"/>
        <v>2.433876664234E-3</v>
      </c>
      <c r="AH142" s="7">
        <f t="shared" si="23"/>
        <v>4.2954432466507056E-2</v>
      </c>
      <c r="AI142">
        <f t="shared" si="24"/>
        <v>2</v>
      </c>
      <c r="AJ142" s="10">
        <f t="shared" si="25"/>
        <v>9.7355066569360001E-3</v>
      </c>
    </row>
    <row r="143" spans="1:36" hidden="1" x14ac:dyDescent="0.25">
      <c r="A143" t="b">
        <v>0</v>
      </c>
      <c r="B143">
        <v>1000</v>
      </c>
      <c r="C143">
        <v>9.7355066569360001E-3</v>
      </c>
      <c r="D143" t="s">
        <v>52</v>
      </c>
      <c r="E143" t="b">
        <v>1</v>
      </c>
      <c r="F143" t="s">
        <v>53</v>
      </c>
      <c r="G143">
        <v>7.4999999999999997E-2</v>
      </c>
      <c r="H143">
        <v>0.5</v>
      </c>
      <c r="I143">
        <v>1E-4</v>
      </c>
      <c r="J143" t="b">
        <v>1</v>
      </c>
      <c r="K143">
        <v>2</v>
      </c>
      <c r="L143">
        <v>1500</v>
      </c>
      <c r="M143">
        <v>0.01</v>
      </c>
      <c r="N143">
        <v>0.154</v>
      </c>
      <c r="O143" t="s">
        <v>188</v>
      </c>
      <c r="P143" t="s">
        <v>192</v>
      </c>
      <c r="Q143" s="1">
        <v>-4.4462933887714999E-5</v>
      </c>
      <c r="R143" s="1">
        <v>4.0489512546935003E-9</v>
      </c>
      <c r="S143">
        <v>1.33464814153797E-4</v>
      </c>
      <c r="T143">
        <v>-1.8198649307439401E-4</v>
      </c>
      <c r="U143">
        <v>2.0020811120783799</v>
      </c>
      <c r="V143" s="1">
        <v>7.2895679322817196E-16</v>
      </c>
      <c r="W143" s="1">
        <v>7.0987883668360199E-6</v>
      </c>
      <c r="X143">
        <v>2.0197812551348702</v>
      </c>
      <c r="Y143">
        <v>4.1562019360445003E-4</v>
      </c>
      <c r="Z143">
        <v>2.32972833721105E-3</v>
      </c>
      <c r="AA143">
        <v>3.7139044843261399E-4</v>
      </c>
      <c r="AB143" s="9">
        <f t="shared" si="17"/>
        <v>-0.34088852224505306</v>
      </c>
      <c r="AC143" s="9">
        <f t="shared" si="18"/>
        <v>-0.34061723520723985</v>
      </c>
      <c r="AD143" s="2">
        <f t="shared" si="19"/>
        <v>-7.958233267184589E-4</v>
      </c>
      <c r="AE143" s="8">
        <f t="shared" si="20"/>
        <v>2.5247546366517909E-3</v>
      </c>
      <c r="AF143" s="2">
        <f t="shared" si="21"/>
        <v>9.087797241779088E-5</v>
      </c>
      <c r="AG143" s="8">
        <f t="shared" si="22"/>
        <v>2.433876664234E-3</v>
      </c>
      <c r="AH143" s="7">
        <f t="shared" si="23"/>
        <v>3.7338774701795495E-2</v>
      </c>
      <c r="AI143">
        <f t="shared" si="24"/>
        <v>2</v>
      </c>
      <c r="AJ143" s="10">
        <f t="shared" si="25"/>
        <v>9.7355066569360001E-3</v>
      </c>
    </row>
    <row r="144" spans="1:36" hidden="1" x14ac:dyDescent="0.25">
      <c r="A144" t="b">
        <v>0</v>
      </c>
      <c r="B144">
        <v>1000</v>
      </c>
      <c r="C144">
        <v>9.7355066569360001E-3</v>
      </c>
      <c r="D144" t="s">
        <v>52</v>
      </c>
      <c r="E144" t="b">
        <v>1</v>
      </c>
      <c r="F144" t="s">
        <v>53</v>
      </c>
      <c r="G144">
        <v>7.4999999999999997E-2</v>
      </c>
      <c r="H144">
        <v>0.5</v>
      </c>
      <c r="I144">
        <v>1E-4</v>
      </c>
      <c r="J144" t="b">
        <v>1</v>
      </c>
      <c r="K144">
        <v>2</v>
      </c>
      <c r="L144">
        <v>1500</v>
      </c>
      <c r="M144">
        <v>0.01</v>
      </c>
      <c r="N144">
        <v>0.154</v>
      </c>
      <c r="O144" t="s">
        <v>188</v>
      </c>
      <c r="P144" t="s">
        <v>193</v>
      </c>
      <c r="Q144" s="1">
        <v>-3.8902729199585298E-5</v>
      </c>
      <c r="R144" s="1">
        <v>3.6574256243454901E-9</v>
      </c>
      <c r="S144">
        <v>1.16774693048249E-4</v>
      </c>
      <c r="T144">
        <v>-1.5922603433958399E-4</v>
      </c>
      <c r="U144">
        <v>2.0020896386327598</v>
      </c>
      <c r="V144" s="1">
        <v>7.4774141470269996E-16</v>
      </c>
      <c r="W144" s="1">
        <v>8.3862655289697502E-6</v>
      </c>
      <c r="X144">
        <v>2.01976497506746</v>
      </c>
      <c r="Y144">
        <v>4.1663449603763901E-4</v>
      </c>
      <c r="Z144">
        <v>2.3296406532657102E-3</v>
      </c>
      <c r="AA144">
        <v>3.8342026941752799E-4</v>
      </c>
      <c r="AB144" s="9">
        <f t="shared" si="17"/>
        <v>-0.34088300766030472</v>
      </c>
      <c r="AC144" s="9">
        <f t="shared" si="18"/>
        <v>-0.34061723520723985</v>
      </c>
      <c r="AD144" s="2">
        <f t="shared" si="19"/>
        <v>-7.7965884802833063E-4</v>
      </c>
      <c r="AE144" s="8">
        <f t="shared" si="20"/>
        <v>2.5229071514406552E-3</v>
      </c>
      <c r="AF144" s="2">
        <f t="shared" si="21"/>
        <v>8.9030487206655153E-5</v>
      </c>
      <c r="AG144" s="8">
        <f t="shared" si="22"/>
        <v>2.433876664234E-3</v>
      </c>
      <c r="AH144" s="7">
        <f t="shared" si="23"/>
        <v>3.6579703694507137E-2</v>
      </c>
      <c r="AI144">
        <f t="shared" si="24"/>
        <v>2</v>
      </c>
      <c r="AJ144" s="10">
        <f t="shared" si="25"/>
        <v>9.7355066569360001E-3</v>
      </c>
    </row>
    <row r="145" spans="1:36" hidden="1" x14ac:dyDescent="0.25">
      <c r="A145" t="b">
        <v>0</v>
      </c>
      <c r="B145">
        <v>1000</v>
      </c>
      <c r="C145">
        <v>9.7355066569360001E-3</v>
      </c>
      <c r="D145" t="s">
        <v>52</v>
      </c>
      <c r="E145" t="b">
        <v>1</v>
      </c>
      <c r="F145" t="s">
        <v>53</v>
      </c>
      <c r="G145">
        <v>7.4999999999999997E-2</v>
      </c>
      <c r="H145">
        <v>0.5</v>
      </c>
      <c r="I145">
        <v>1E-4</v>
      </c>
      <c r="J145" t="b">
        <v>1</v>
      </c>
      <c r="K145">
        <v>2</v>
      </c>
      <c r="L145">
        <v>1500</v>
      </c>
      <c r="M145">
        <v>0.01</v>
      </c>
      <c r="N145">
        <v>0.154</v>
      </c>
      <c r="O145" t="s">
        <v>188</v>
      </c>
      <c r="P145" t="s">
        <v>194</v>
      </c>
      <c r="Q145" s="1">
        <v>-4.44629339050082E-5</v>
      </c>
      <c r="R145" s="1">
        <v>4.0542685892872599E-9</v>
      </c>
      <c r="S145">
        <v>1.3346481415380199E-4</v>
      </c>
      <c r="T145">
        <v>-1.81986493074552E-4</v>
      </c>
      <c r="U145">
        <v>2.0020811120792001</v>
      </c>
      <c r="V145" s="1">
        <v>7.2920014948334203E-16</v>
      </c>
      <c r="W145" s="1">
        <v>7.0659897240210498E-6</v>
      </c>
      <c r="X145">
        <v>2.0197812570538898</v>
      </c>
      <c r="Y145">
        <v>4.1576604009554898E-4</v>
      </c>
      <c r="Z145">
        <v>2.32972673449562E-3</v>
      </c>
      <c r="AA145">
        <v>3.7186707591784602E-4</v>
      </c>
      <c r="AB145" s="9">
        <f t="shared" si="17"/>
        <v>-0.34088852224533628</v>
      </c>
      <c r="AC145" s="9">
        <f t="shared" si="18"/>
        <v>-0.34061723520723985</v>
      </c>
      <c r="AD145" s="2">
        <f t="shared" si="19"/>
        <v>-7.9582332754868368E-4</v>
      </c>
      <c r="AE145" s="8">
        <f t="shared" si="20"/>
        <v>2.5247546367466616E-3</v>
      </c>
      <c r="AF145" s="2">
        <f t="shared" si="21"/>
        <v>9.0877972512661605E-5</v>
      </c>
      <c r="AG145" s="8">
        <f t="shared" si="22"/>
        <v>2.433876664234E-3</v>
      </c>
      <c r="AH145" s="7">
        <f t="shared" si="23"/>
        <v>3.7338774740774759E-2</v>
      </c>
      <c r="AI145">
        <f t="shared" si="24"/>
        <v>2</v>
      </c>
      <c r="AJ145" s="10">
        <f t="shared" si="25"/>
        <v>9.7355066569360001E-3</v>
      </c>
    </row>
    <row r="146" spans="1:36" hidden="1" x14ac:dyDescent="0.25">
      <c r="A146" t="b">
        <v>0</v>
      </c>
      <c r="B146">
        <v>1000</v>
      </c>
      <c r="C146">
        <v>9.7355066569360001E-3</v>
      </c>
      <c r="D146" t="s">
        <v>52</v>
      </c>
      <c r="E146" t="b">
        <v>1</v>
      </c>
      <c r="F146" t="s">
        <v>53</v>
      </c>
      <c r="G146">
        <v>7.4999999999999997E-2</v>
      </c>
      <c r="H146">
        <v>0.5</v>
      </c>
      <c r="I146">
        <v>1E-4</v>
      </c>
      <c r="J146" t="b">
        <v>1</v>
      </c>
      <c r="K146">
        <v>2</v>
      </c>
      <c r="L146">
        <v>1500</v>
      </c>
      <c r="M146">
        <v>0.01</v>
      </c>
      <c r="N146">
        <v>0.154</v>
      </c>
      <c r="O146" t="s">
        <v>188</v>
      </c>
      <c r="P146" t="s">
        <v>195</v>
      </c>
      <c r="Q146" s="1">
        <v>-8.3365573215970294E-5</v>
      </c>
      <c r="R146" s="1">
        <v>7.7862700124356905E-9</v>
      </c>
      <c r="S146">
        <v>2.50239342435496E-4</v>
      </c>
      <c r="T146">
        <v>-3.4121112143562198E-4</v>
      </c>
      <c r="U146">
        <v>2.0020214611009499</v>
      </c>
      <c r="V146" s="1">
        <v>7.6698892760922702E-16</v>
      </c>
      <c r="W146" s="1">
        <v>7.6616570409469505E-6</v>
      </c>
      <c r="X146">
        <v>2.0197681332739101</v>
      </c>
      <c r="Y146">
        <v>4.1775925673388E-4</v>
      </c>
      <c r="Z146">
        <v>2.33139320609524E-3</v>
      </c>
      <c r="AA146">
        <v>3.8091349677042002E-4</v>
      </c>
      <c r="AB146" s="9">
        <f t="shared" si="17"/>
        <v>-0.34088476867259165</v>
      </c>
      <c r="AC146" s="9">
        <f t="shared" si="18"/>
        <v>-0.34061723520723985</v>
      </c>
      <c r="AD146" s="2">
        <f t="shared" si="19"/>
        <v>-7.8482082491859728E-4</v>
      </c>
      <c r="AE146" s="8">
        <f t="shared" si="20"/>
        <v>2.5234971215334491E-3</v>
      </c>
      <c r="AF146" s="2">
        <f t="shared" si="21"/>
        <v>8.9620457299449067E-5</v>
      </c>
      <c r="AG146" s="8">
        <f t="shared" si="22"/>
        <v>2.433876664234E-3</v>
      </c>
      <c r="AH146" s="7">
        <f t="shared" si="23"/>
        <v>3.6822103032757743E-2</v>
      </c>
      <c r="AI146">
        <f t="shared" si="24"/>
        <v>2</v>
      </c>
      <c r="AJ146" s="10">
        <f t="shared" si="25"/>
        <v>9.7355066569360001E-3</v>
      </c>
    </row>
    <row r="147" spans="1:36" hidden="1" x14ac:dyDescent="0.25">
      <c r="A147" t="b">
        <v>0</v>
      </c>
      <c r="B147">
        <v>1000</v>
      </c>
      <c r="C147">
        <v>9.7355066569360001E-3</v>
      </c>
      <c r="D147" t="s">
        <v>52</v>
      </c>
      <c r="E147" t="b">
        <v>1</v>
      </c>
      <c r="F147" t="s">
        <v>53</v>
      </c>
      <c r="G147">
        <v>7.4999999999999997E-2</v>
      </c>
      <c r="H147">
        <v>0.5</v>
      </c>
      <c r="I147">
        <v>1E-4</v>
      </c>
      <c r="J147" t="b">
        <v>1</v>
      </c>
      <c r="K147">
        <v>2</v>
      </c>
      <c r="L147">
        <v>1500</v>
      </c>
      <c r="M147">
        <v>0.01</v>
      </c>
      <c r="N147">
        <v>0.154</v>
      </c>
      <c r="O147" t="s">
        <v>189</v>
      </c>
      <c r="P147" t="s">
        <v>192</v>
      </c>
      <c r="Q147" s="1">
        <v>-5.5630452635112897E-6</v>
      </c>
      <c r="R147" s="1">
        <v>9.0889125430608499E-8</v>
      </c>
      <c r="S147" s="1">
        <v>1.6690121105548801E-5</v>
      </c>
      <c r="T147" s="1">
        <v>-2.2760458734853102E-5</v>
      </c>
      <c r="U147">
        <v>2.0020214646348302</v>
      </c>
      <c r="V147">
        <v>0</v>
      </c>
      <c r="W147">
        <v>1.1687155700411901E-3</v>
      </c>
      <c r="X147">
        <v>2</v>
      </c>
      <c r="Y147">
        <v>7.3689181225834996E-2</v>
      </c>
      <c r="Z147">
        <v>2.5000000000000001E-4</v>
      </c>
      <c r="AA147">
        <v>6.5440670654116503E-2</v>
      </c>
      <c r="AB147" s="9">
        <f t="shared" si="17"/>
        <v>-0.34092710578484292</v>
      </c>
      <c r="AC147" s="9">
        <f t="shared" si="18"/>
        <v>-0.34061723520723985</v>
      </c>
      <c r="AD147" s="2">
        <f t="shared" si="19"/>
        <v>-9.0890566442269893E-4</v>
      </c>
      <c r="AE147" s="8">
        <f t="shared" si="20"/>
        <v>2.5376810078793196E-3</v>
      </c>
      <c r="AF147" s="2">
        <f t="shared" si="21"/>
        <v>1.0380434364531954E-4</v>
      </c>
      <c r="AG147" s="8">
        <f t="shared" si="22"/>
        <v>2.433876664234E-3</v>
      </c>
      <c r="AH147" s="7">
        <f t="shared" si="23"/>
        <v>4.2649796175267284E-2</v>
      </c>
      <c r="AI147">
        <f t="shared" si="24"/>
        <v>2</v>
      </c>
      <c r="AJ147" s="10">
        <f t="shared" si="25"/>
        <v>9.7355066569360001E-3</v>
      </c>
    </row>
    <row r="148" spans="1:36" hidden="1" x14ac:dyDescent="0.25">
      <c r="A148" t="b">
        <v>0</v>
      </c>
      <c r="B148">
        <v>1000</v>
      </c>
      <c r="C148">
        <v>9.7355066569360001E-3</v>
      </c>
      <c r="D148" t="s">
        <v>52</v>
      </c>
      <c r="E148" t="b">
        <v>1</v>
      </c>
      <c r="F148" t="s">
        <v>53</v>
      </c>
      <c r="G148">
        <v>7.4999999999999997E-2</v>
      </c>
      <c r="H148">
        <v>0.5</v>
      </c>
      <c r="I148">
        <v>1E-4</v>
      </c>
      <c r="J148" t="b">
        <v>1</v>
      </c>
      <c r="K148">
        <v>2</v>
      </c>
      <c r="L148">
        <v>1500</v>
      </c>
      <c r="M148">
        <v>0.01</v>
      </c>
      <c r="N148">
        <v>0.154</v>
      </c>
      <c r="O148" t="s">
        <v>189</v>
      </c>
      <c r="P148" t="s">
        <v>193</v>
      </c>
      <c r="Q148" s="1">
        <v>-1E-10</v>
      </c>
      <c r="R148" s="1">
        <v>3.58578598583251E-12</v>
      </c>
      <c r="S148" s="1">
        <v>7.3931735265847896E-18</v>
      </c>
      <c r="T148" s="1">
        <v>-2.5753183799122899E-16</v>
      </c>
      <c r="U148">
        <v>2.0020299911891999</v>
      </c>
      <c r="V148">
        <v>0</v>
      </c>
      <c r="W148">
        <v>6.8474549287510095E-2</v>
      </c>
      <c r="X148">
        <v>2</v>
      </c>
      <c r="Y148">
        <v>4.0005664740565003E-3</v>
      </c>
      <c r="Z148">
        <v>2.5000000000000001E-4</v>
      </c>
      <c r="AA148">
        <v>4.7933530532563804E-3</v>
      </c>
      <c r="AB148" s="9">
        <f t="shared" si="17"/>
        <v>-8.7084334306905387</v>
      </c>
      <c r="AC148" s="9">
        <f t="shared" si="18"/>
        <v>-0.34061723520723985</v>
      </c>
      <c r="AD148" s="2">
        <f t="shared" si="19"/>
        <v>-0.96088650870237746</v>
      </c>
      <c r="AE148" s="8">
        <f t="shared" si="20"/>
        <v>-1.5581291409763738</v>
      </c>
      <c r="AF148" s="2">
        <f t="shared" si="21"/>
        <v>-1.5605630176406078</v>
      </c>
      <c r="AG148" s="8">
        <f t="shared" si="22"/>
        <v>2.433876664234E-3</v>
      </c>
      <c r="AH148" s="7">
        <f t="shared" si="23"/>
        <v>-641.1840996601012</v>
      </c>
      <c r="AI148">
        <f t="shared" si="24"/>
        <v>2</v>
      </c>
      <c r="AJ148" s="10">
        <f t="shared" si="25"/>
        <v>9.7355066569360001E-3</v>
      </c>
    </row>
    <row r="149" spans="1:36" hidden="1" x14ac:dyDescent="0.25">
      <c r="A149" t="b">
        <v>0</v>
      </c>
      <c r="B149">
        <v>1000</v>
      </c>
      <c r="C149">
        <v>9.7355066569360001E-3</v>
      </c>
      <c r="D149" t="s">
        <v>52</v>
      </c>
      <c r="E149" t="b">
        <v>1</v>
      </c>
      <c r="F149" t="s">
        <v>53</v>
      </c>
      <c r="G149">
        <v>7.4999999999999997E-2</v>
      </c>
      <c r="H149">
        <v>0.5</v>
      </c>
      <c r="I149">
        <v>1E-4</v>
      </c>
      <c r="J149" t="b">
        <v>1</v>
      </c>
      <c r="K149">
        <v>2</v>
      </c>
      <c r="L149">
        <v>1500</v>
      </c>
      <c r="M149">
        <v>0.01</v>
      </c>
      <c r="N149">
        <v>0.154</v>
      </c>
      <c r="O149" t="s">
        <v>189</v>
      </c>
      <c r="P149" t="s">
        <v>194</v>
      </c>
      <c r="Q149" s="1">
        <v>-5.5630452635112897E-6</v>
      </c>
      <c r="R149" s="1">
        <v>9.0889125436465904E-8</v>
      </c>
      <c r="S149" s="1">
        <v>1.66901211055543E-5</v>
      </c>
      <c r="T149" s="1">
        <v>-2.2760458735093202E-5</v>
      </c>
      <c r="U149">
        <v>2.00202146463565</v>
      </c>
      <c r="V149">
        <v>0</v>
      </c>
      <c r="W149">
        <v>1.1687155701165101E-3</v>
      </c>
      <c r="X149">
        <v>2</v>
      </c>
      <c r="Y149">
        <v>7.3689181230583906E-2</v>
      </c>
      <c r="Z149">
        <v>2.5000000000000001E-4</v>
      </c>
      <c r="AA149">
        <v>6.5440670658333894E-2</v>
      </c>
      <c r="AB149" s="9">
        <f t="shared" si="17"/>
        <v>-0.34092710578832702</v>
      </c>
      <c r="AC149" s="9">
        <f t="shared" si="18"/>
        <v>-0.34061723520723985</v>
      </c>
      <c r="AD149" s="2">
        <f t="shared" si="19"/>
        <v>-9.0890567463286498E-4</v>
      </c>
      <c r="AE149" s="8">
        <f t="shared" si="20"/>
        <v>2.537681009046589E-3</v>
      </c>
      <c r="AF149" s="2">
        <f t="shared" si="21"/>
        <v>1.0380434481258895E-4</v>
      </c>
      <c r="AG149" s="8">
        <f t="shared" si="22"/>
        <v>2.433876664234E-3</v>
      </c>
      <c r="AH149" s="7">
        <f t="shared" si="23"/>
        <v>4.2649796654859948E-2</v>
      </c>
      <c r="AI149">
        <f t="shared" si="24"/>
        <v>2</v>
      </c>
      <c r="AJ149" s="10">
        <f t="shared" si="25"/>
        <v>9.7355066569360001E-3</v>
      </c>
    </row>
    <row r="150" spans="1:36" hidden="1" x14ac:dyDescent="0.25">
      <c r="A150" t="b">
        <v>0</v>
      </c>
      <c r="B150">
        <v>1000</v>
      </c>
      <c r="C150">
        <v>9.7355066569360001E-3</v>
      </c>
      <c r="D150" t="s">
        <v>52</v>
      </c>
      <c r="E150" t="b">
        <v>1</v>
      </c>
      <c r="F150" t="s">
        <v>53</v>
      </c>
      <c r="G150">
        <v>7.4999999999999997E-2</v>
      </c>
      <c r="H150">
        <v>0.5</v>
      </c>
      <c r="I150">
        <v>1E-4</v>
      </c>
      <c r="J150" t="b">
        <v>1</v>
      </c>
      <c r="K150">
        <v>2</v>
      </c>
      <c r="L150">
        <v>1500</v>
      </c>
      <c r="M150">
        <v>0.01</v>
      </c>
      <c r="N150">
        <v>0.154</v>
      </c>
      <c r="O150" t="s">
        <v>189</v>
      </c>
      <c r="P150" t="s">
        <v>195</v>
      </c>
      <c r="Q150" s="1">
        <v>-4.4462844971006503E-5</v>
      </c>
      <c r="R150" s="1">
        <v>4.0757771270122799E-9</v>
      </c>
      <c r="S150">
        <v>1.33464649387251E-4</v>
      </c>
      <c r="T150">
        <v>-1.8198508709615899E-4</v>
      </c>
      <c r="U150">
        <v>2.0019618136573998</v>
      </c>
      <c r="V150" s="1">
        <v>7.14149768090385E-16</v>
      </c>
      <c r="W150" s="1">
        <v>7.0806277035053498E-6</v>
      </c>
      <c r="X150">
        <v>2.0197710003737601</v>
      </c>
      <c r="Y150">
        <v>4.1720087000113001E-4</v>
      </c>
      <c r="Z150">
        <v>2.3328389173913199E-3</v>
      </c>
      <c r="AA150">
        <v>3.7384180886210802E-4</v>
      </c>
      <c r="AB150" s="9">
        <f t="shared" si="17"/>
        <v>-0.34088630946784404</v>
      </c>
      <c r="AC150" s="9">
        <f t="shared" si="18"/>
        <v>-0.34061723520723985</v>
      </c>
      <c r="AD150" s="2">
        <f t="shared" si="19"/>
        <v>-7.8933724567653574E-4</v>
      </c>
      <c r="AE150" s="8">
        <f t="shared" si="20"/>
        <v>2.5240133156155791E-3</v>
      </c>
      <c r="AF150" s="2">
        <f t="shared" si="21"/>
        <v>9.0136651381579093E-5</v>
      </c>
      <c r="AG150" s="8">
        <f t="shared" si="22"/>
        <v>2.433876664234E-3</v>
      </c>
      <c r="AH150" s="7">
        <f t="shared" si="23"/>
        <v>3.7034190230813231E-2</v>
      </c>
      <c r="AI150">
        <f t="shared" si="24"/>
        <v>2</v>
      </c>
      <c r="AJ150" s="10">
        <f t="shared" si="25"/>
        <v>9.7355066569360001E-3</v>
      </c>
    </row>
    <row r="151" spans="1:36" hidden="1" x14ac:dyDescent="0.25">
      <c r="A151" t="b">
        <v>0</v>
      </c>
      <c r="B151">
        <v>1000</v>
      </c>
      <c r="C151">
        <v>9.7355066569360001E-3</v>
      </c>
      <c r="D151" t="s">
        <v>52</v>
      </c>
      <c r="E151" t="b">
        <v>1</v>
      </c>
      <c r="F151" t="s">
        <v>53</v>
      </c>
      <c r="G151">
        <v>7.4999999999999997E-2</v>
      </c>
      <c r="H151">
        <v>0.5</v>
      </c>
      <c r="I151">
        <v>1E-4</v>
      </c>
      <c r="J151" t="b">
        <v>1</v>
      </c>
      <c r="K151">
        <v>2</v>
      </c>
      <c r="L151">
        <v>1500</v>
      </c>
      <c r="M151">
        <v>0.01</v>
      </c>
      <c r="N151">
        <v>0.154</v>
      </c>
      <c r="O151" t="s">
        <v>190</v>
      </c>
      <c r="P151" t="s">
        <v>191</v>
      </c>
      <c r="Q151" s="1">
        <v>-5.5630519921882197E-6</v>
      </c>
      <c r="R151" s="1">
        <v>9.0489820719628505E-8</v>
      </c>
      <c r="S151" s="1">
        <v>1.66901417124737E-5</v>
      </c>
      <c r="T151" s="1">
        <v>-2.2760634583880298E-5</v>
      </c>
      <c r="U151">
        <v>2.0021407599630101</v>
      </c>
      <c r="V151">
        <v>0</v>
      </c>
      <c r="W151">
        <v>1.15136484542774E-3</v>
      </c>
      <c r="X151">
        <v>2</v>
      </c>
      <c r="Y151">
        <v>7.3633198202972899E-2</v>
      </c>
      <c r="Z151">
        <v>2.5000000000000001E-4</v>
      </c>
      <c r="AA151">
        <v>6.5153296812772807E-2</v>
      </c>
      <c r="AB151" s="9">
        <f t="shared" si="17"/>
        <v>-0.34092931887555061</v>
      </c>
      <c r="AC151" s="9">
        <f t="shared" si="18"/>
        <v>-0.34061723520723985</v>
      </c>
      <c r="AD151" s="2">
        <f t="shared" si="19"/>
        <v>-9.1539111197613821E-4</v>
      </c>
      <c r="AE151" s="8">
        <f t="shared" si="20"/>
        <v>2.5384224541596992E-3</v>
      </c>
      <c r="AF151" s="2">
        <f t="shared" si="21"/>
        <v>1.0454578992569923E-4</v>
      </c>
      <c r="AG151" s="8">
        <f t="shared" si="22"/>
        <v>2.433876664234E-3</v>
      </c>
      <c r="AH151" s="7">
        <f t="shared" si="23"/>
        <v>4.2954432104965481E-2</v>
      </c>
      <c r="AI151">
        <f t="shared" si="24"/>
        <v>2</v>
      </c>
      <c r="AJ151" s="10">
        <f t="shared" si="25"/>
        <v>9.7355066569360001E-3</v>
      </c>
    </row>
    <row r="152" spans="1:36" hidden="1" x14ac:dyDescent="0.25">
      <c r="A152" t="b">
        <v>0</v>
      </c>
      <c r="B152">
        <v>1000</v>
      </c>
      <c r="C152">
        <v>9.7355066569360001E-3</v>
      </c>
      <c r="D152" t="s">
        <v>52</v>
      </c>
      <c r="E152" t="b">
        <v>1</v>
      </c>
      <c r="F152" t="s">
        <v>53</v>
      </c>
      <c r="G152">
        <v>7.4999999999999997E-2</v>
      </c>
      <c r="H152">
        <v>0.5</v>
      </c>
      <c r="I152">
        <v>1E-4</v>
      </c>
      <c r="J152" t="b">
        <v>1</v>
      </c>
      <c r="K152">
        <v>2</v>
      </c>
      <c r="L152">
        <v>1500</v>
      </c>
      <c r="M152">
        <v>0.01</v>
      </c>
      <c r="N152">
        <v>0.154</v>
      </c>
      <c r="O152" t="s">
        <v>190</v>
      </c>
      <c r="P152" t="s">
        <v>192</v>
      </c>
      <c r="Q152" s="1">
        <v>-4.4462933891192997E-5</v>
      </c>
      <c r="R152" s="1">
        <v>4.0282244697185797E-9</v>
      </c>
      <c r="S152">
        <v>1.33464814153796E-4</v>
      </c>
      <c r="T152">
        <v>-1.8198649307428301E-4</v>
      </c>
      <c r="U152">
        <v>2.0020811120783799</v>
      </c>
      <c r="V152" s="1">
        <v>7.1212263494459597E-16</v>
      </c>
      <c r="W152" s="1">
        <v>6.9070616758053499E-6</v>
      </c>
      <c r="X152">
        <v>2.01978125553567</v>
      </c>
      <c r="Y152">
        <v>4.1542404349271899E-4</v>
      </c>
      <c r="Z152">
        <v>2.3297280019091799E-3</v>
      </c>
      <c r="AA152">
        <v>3.6948867953243597E-4</v>
      </c>
      <c r="AB152" s="9">
        <f t="shared" si="17"/>
        <v>-0.34088852224484772</v>
      </c>
      <c r="AC152" s="9">
        <f t="shared" si="18"/>
        <v>-0.34061723520723985</v>
      </c>
      <c r="AD152" s="2">
        <f t="shared" si="19"/>
        <v>-7.95823326116607E-4</v>
      </c>
      <c r="AE152" s="8">
        <f t="shared" si="20"/>
        <v>2.5247546365830056E-3</v>
      </c>
      <c r="AF152" s="2">
        <f t="shared" si="21"/>
        <v>9.0877972349005624E-5</v>
      </c>
      <c r="AG152" s="8">
        <f t="shared" si="22"/>
        <v>2.433876664234E-3</v>
      </c>
      <c r="AH152" s="7">
        <f t="shared" si="23"/>
        <v>3.7338774673533887E-2</v>
      </c>
      <c r="AI152">
        <f t="shared" si="24"/>
        <v>2</v>
      </c>
      <c r="AJ152" s="10">
        <f t="shared" si="25"/>
        <v>9.7355066569360001E-3</v>
      </c>
    </row>
    <row r="153" spans="1:36" hidden="1" x14ac:dyDescent="0.25">
      <c r="A153" t="b">
        <v>0</v>
      </c>
      <c r="B153">
        <v>1000</v>
      </c>
      <c r="C153">
        <v>9.7355066569360001E-3</v>
      </c>
      <c r="D153" t="s">
        <v>52</v>
      </c>
      <c r="E153" t="b">
        <v>1</v>
      </c>
      <c r="F153" t="s">
        <v>53</v>
      </c>
      <c r="G153">
        <v>7.4999999999999997E-2</v>
      </c>
      <c r="H153">
        <v>0.5</v>
      </c>
      <c r="I153">
        <v>1E-4</v>
      </c>
      <c r="J153" t="b">
        <v>1</v>
      </c>
      <c r="K153">
        <v>2</v>
      </c>
      <c r="L153">
        <v>1500</v>
      </c>
      <c r="M153">
        <v>0.01</v>
      </c>
      <c r="N153">
        <v>0.154</v>
      </c>
      <c r="O153" t="s">
        <v>190</v>
      </c>
      <c r="P153" t="s">
        <v>193</v>
      </c>
      <c r="Q153" s="1">
        <v>-3.8902729288398302E-5</v>
      </c>
      <c r="R153" s="1">
        <v>3.67802571412165E-9</v>
      </c>
      <c r="S153">
        <v>1.16774693048243E-4</v>
      </c>
      <c r="T153">
        <v>-1.59226034339447E-4</v>
      </c>
      <c r="U153">
        <v>2.0020896386327598</v>
      </c>
      <c r="V153" s="1">
        <v>7.3739901587307397E-16</v>
      </c>
      <c r="W153" s="1">
        <v>8.6249551044845208E-6</v>
      </c>
      <c r="X153">
        <v>2.0197649860529401</v>
      </c>
      <c r="Y153">
        <v>4.1684702696542097E-4</v>
      </c>
      <c r="Z153">
        <v>2.32963136205059E-3</v>
      </c>
      <c r="AA153">
        <v>3.8558175105378901E-4</v>
      </c>
      <c r="AB153" s="9">
        <f t="shared" si="17"/>
        <v>-0.34088300766002899</v>
      </c>
      <c r="AC153" s="9">
        <f t="shared" si="18"/>
        <v>-0.34061723520723985</v>
      </c>
      <c r="AD153" s="2">
        <f t="shared" si="19"/>
        <v>-7.7965884722008827E-4</v>
      </c>
      <c r="AE153" s="8">
        <f t="shared" si="20"/>
        <v>2.5229071513482885E-3</v>
      </c>
      <c r="AF153" s="2">
        <f t="shared" si="21"/>
        <v>8.9030487114288501E-5</v>
      </c>
      <c r="AG153" s="8">
        <f t="shared" si="22"/>
        <v>2.433876664234E-3</v>
      </c>
      <c r="AH153" s="7">
        <f t="shared" si="23"/>
        <v>3.657970365655671E-2</v>
      </c>
      <c r="AI153">
        <f t="shared" si="24"/>
        <v>2</v>
      </c>
      <c r="AJ153" s="10">
        <f t="shared" si="25"/>
        <v>9.7355066569360001E-3</v>
      </c>
    </row>
    <row r="154" spans="1:36" hidden="1" x14ac:dyDescent="0.25">
      <c r="A154" t="b">
        <v>0</v>
      </c>
      <c r="B154">
        <v>1000</v>
      </c>
      <c r="C154">
        <v>9.7355066569360001E-3</v>
      </c>
      <c r="D154" t="s">
        <v>52</v>
      </c>
      <c r="E154" t="b">
        <v>1</v>
      </c>
      <c r="F154" t="s">
        <v>53</v>
      </c>
      <c r="G154">
        <v>7.4999999999999997E-2</v>
      </c>
      <c r="H154">
        <v>0.5</v>
      </c>
      <c r="I154">
        <v>1E-4</v>
      </c>
      <c r="J154" t="b">
        <v>1</v>
      </c>
      <c r="K154">
        <v>2</v>
      </c>
      <c r="L154">
        <v>1500</v>
      </c>
      <c r="M154">
        <v>0.01</v>
      </c>
      <c r="N154">
        <v>0.154</v>
      </c>
      <c r="O154" t="s">
        <v>190</v>
      </c>
      <c r="P154" t="s">
        <v>194</v>
      </c>
      <c r="Q154" s="1">
        <v>-4.4462933887628202E-5</v>
      </c>
      <c r="R154" s="1">
        <v>4.0791083190533604E-9</v>
      </c>
      <c r="S154">
        <v>1.3346481415380001E-4</v>
      </c>
      <c r="T154">
        <v>-1.8198649307439699E-4</v>
      </c>
      <c r="U154">
        <v>2.0020811120792099</v>
      </c>
      <c r="V154" s="1">
        <v>7.2302052389341005E-16</v>
      </c>
      <c r="W154" s="1">
        <v>7.0758500197297303E-6</v>
      </c>
      <c r="X154">
        <v>2.0197812551540202</v>
      </c>
      <c r="Y154">
        <v>4.1629858932180599E-4</v>
      </c>
      <c r="Z154">
        <v>2.3297283299301098E-3</v>
      </c>
      <c r="AA154">
        <v>3.741508379811E-4</v>
      </c>
      <c r="AB154" s="9">
        <f t="shared" si="17"/>
        <v>-0.34088852224505095</v>
      </c>
      <c r="AC154" s="9">
        <f t="shared" si="18"/>
        <v>-0.34061723520723985</v>
      </c>
      <c r="AD154" s="2">
        <f t="shared" si="19"/>
        <v>-7.9582332671235267E-4</v>
      </c>
      <c r="AE154" s="8">
        <f t="shared" si="20"/>
        <v>2.5247546366510961E-3</v>
      </c>
      <c r="AF154" s="2">
        <f t="shared" si="21"/>
        <v>9.0877972417096123E-5</v>
      </c>
      <c r="AG154" s="8">
        <f t="shared" si="22"/>
        <v>2.433876664234E-3</v>
      </c>
      <c r="AH154" s="7">
        <f t="shared" si="23"/>
        <v>3.7338774701510036E-2</v>
      </c>
      <c r="AI154">
        <f t="shared" si="24"/>
        <v>2</v>
      </c>
      <c r="AJ154" s="10">
        <f t="shared" si="25"/>
        <v>9.7355066569360001E-3</v>
      </c>
    </row>
    <row r="155" spans="1:36" hidden="1" x14ac:dyDescent="0.25">
      <c r="A155" t="b">
        <v>0</v>
      </c>
      <c r="B155">
        <v>1000</v>
      </c>
      <c r="C155">
        <v>9.7355066569360001E-3</v>
      </c>
      <c r="D155" t="s">
        <v>52</v>
      </c>
      <c r="E155" t="b">
        <v>1</v>
      </c>
      <c r="F155" t="s">
        <v>53</v>
      </c>
      <c r="G155">
        <v>7.4999999999999997E-2</v>
      </c>
      <c r="H155">
        <v>0.5</v>
      </c>
      <c r="I155">
        <v>1E-4</v>
      </c>
      <c r="J155" t="b">
        <v>1</v>
      </c>
      <c r="K155">
        <v>2</v>
      </c>
      <c r="L155">
        <v>1500</v>
      </c>
      <c r="M155">
        <v>0.01</v>
      </c>
      <c r="N155">
        <v>0.154</v>
      </c>
      <c r="O155" t="s">
        <v>190</v>
      </c>
      <c r="P155" t="s">
        <v>195</v>
      </c>
      <c r="Q155" s="1">
        <v>-8.3365573217946605E-5</v>
      </c>
      <c r="R155" s="1">
        <v>7.7955477764650098E-9</v>
      </c>
      <c r="S155">
        <v>2.50239342435494E-4</v>
      </c>
      <c r="T155">
        <v>-3.4121112143554202E-4</v>
      </c>
      <c r="U155">
        <v>2.0020214611009499</v>
      </c>
      <c r="V155" s="1">
        <v>7.2418711075593096E-16</v>
      </c>
      <c r="W155" s="1">
        <v>7.5665535625159104E-6</v>
      </c>
      <c r="X155">
        <v>2.0197681334443298</v>
      </c>
      <c r="Y155">
        <v>4.1808270468477902E-4</v>
      </c>
      <c r="Z155">
        <v>2.3313930812899901E-3</v>
      </c>
      <c r="AA155">
        <v>3.8135866230020702E-4</v>
      </c>
      <c r="AB155" s="9">
        <f t="shared" si="17"/>
        <v>-0.34088476867251449</v>
      </c>
      <c r="AC155" s="9">
        <f t="shared" si="18"/>
        <v>-0.34061723520723985</v>
      </c>
      <c r="AD155" s="2">
        <f t="shared" si="19"/>
        <v>-7.8482082469244485E-4</v>
      </c>
      <c r="AE155" s="8">
        <f t="shared" si="20"/>
        <v>2.5234971215076112E-3</v>
      </c>
      <c r="AF155" s="2">
        <f t="shared" si="21"/>
        <v>8.9620457273611228E-5</v>
      </c>
      <c r="AG155" s="8">
        <f t="shared" si="22"/>
        <v>2.433876664234E-3</v>
      </c>
      <c r="AH155" s="7">
        <f t="shared" si="23"/>
        <v>3.6822103022141825E-2</v>
      </c>
      <c r="AI155">
        <f t="shared" si="24"/>
        <v>2</v>
      </c>
      <c r="AJ155" s="10">
        <f t="shared" si="25"/>
        <v>9.7355066569360001E-3</v>
      </c>
    </row>
    <row r="156" spans="1:36" hidden="1" x14ac:dyDescent="0.25">
      <c r="A156" t="b">
        <v>0</v>
      </c>
      <c r="B156">
        <v>1000</v>
      </c>
      <c r="C156">
        <v>9.7355066569360001E-3</v>
      </c>
      <c r="D156" t="s">
        <v>52</v>
      </c>
      <c r="E156" t="b">
        <v>1</v>
      </c>
      <c r="F156" t="s">
        <v>53</v>
      </c>
      <c r="G156">
        <v>7.4999999999999997E-2</v>
      </c>
      <c r="H156">
        <v>0.5</v>
      </c>
      <c r="I156">
        <v>1E-4</v>
      </c>
      <c r="J156" t="b">
        <v>1</v>
      </c>
      <c r="K156">
        <v>2</v>
      </c>
      <c r="L156">
        <v>1500</v>
      </c>
      <c r="M156">
        <v>0.01</v>
      </c>
      <c r="N156">
        <v>0.154</v>
      </c>
      <c r="O156" t="s">
        <v>191</v>
      </c>
      <c r="P156" t="s">
        <v>192</v>
      </c>
      <c r="Q156" s="1">
        <v>-3.8902717723535499E-5</v>
      </c>
      <c r="R156" s="1">
        <v>3.70407882041229E-9</v>
      </c>
      <c r="S156">
        <v>1.16774672441326E-4</v>
      </c>
      <c r="T156">
        <v>-1.5922585849068301E-4</v>
      </c>
      <c r="U156">
        <v>2.0020725859660198</v>
      </c>
      <c r="V156" s="1">
        <v>7.3618769546393103E-16</v>
      </c>
      <c r="W156" s="1">
        <v>8.8683581970378594E-6</v>
      </c>
      <c r="X156">
        <v>2.0197634650363101</v>
      </c>
      <c r="Y156">
        <v>4.1732648602506398E-4</v>
      </c>
      <c r="Z156">
        <v>2.3301225749673398E-3</v>
      </c>
      <c r="AA156">
        <v>3.8831443759261699E-4</v>
      </c>
      <c r="AB156" s="9">
        <f t="shared" si="17"/>
        <v>-0.34088269134449256</v>
      </c>
      <c r="AC156" s="9">
        <f t="shared" si="18"/>
        <v>-0.34061723520723985</v>
      </c>
      <c r="AD156" s="2">
        <f t="shared" si="19"/>
        <v>-7.7873163992492334E-4</v>
      </c>
      <c r="AE156" s="8">
        <f t="shared" si="20"/>
        <v>2.522801180153072E-3</v>
      </c>
      <c r="AF156" s="2">
        <f t="shared" si="21"/>
        <v>8.8924515919071995E-5</v>
      </c>
      <c r="AG156" s="8">
        <f t="shared" si="22"/>
        <v>2.433876664234E-3</v>
      </c>
      <c r="AH156" s="7">
        <f t="shared" si="23"/>
        <v>3.6536163572223862E-2</v>
      </c>
      <c r="AI156">
        <f t="shared" si="24"/>
        <v>2</v>
      </c>
      <c r="AJ156" s="10">
        <f t="shared" si="25"/>
        <v>9.7355066569360001E-3</v>
      </c>
    </row>
    <row r="157" spans="1:36" hidden="1" x14ac:dyDescent="0.25">
      <c r="A157" t="b">
        <v>0</v>
      </c>
      <c r="B157">
        <v>1000</v>
      </c>
      <c r="C157">
        <v>9.7355066569360001E-3</v>
      </c>
      <c r="D157" t="s">
        <v>52</v>
      </c>
      <c r="E157" t="b">
        <v>1</v>
      </c>
      <c r="F157" t="s">
        <v>53</v>
      </c>
      <c r="G157">
        <v>7.4999999999999997E-2</v>
      </c>
      <c r="H157">
        <v>0.5</v>
      </c>
      <c r="I157">
        <v>1E-4</v>
      </c>
      <c r="J157" t="b">
        <v>1</v>
      </c>
      <c r="K157">
        <v>2</v>
      </c>
      <c r="L157">
        <v>1500</v>
      </c>
      <c r="M157">
        <v>0.01</v>
      </c>
      <c r="N157">
        <v>0.154</v>
      </c>
      <c r="O157" t="s">
        <v>191</v>
      </c>
      <c r="P157" t="s">
        <v>193</v>
      </c>
      <c r="Q157" s="1">
        <v>-3.3342513222742001E-5</v>
      </c>
      <c r="R157" s="1">
        <v>3.08501997889669E-9</v>
      </c>
      <c r="S157">
        <v>1.0008455133577499E-4</v>
      </c>
      <c r="T157">
        <v>-1.3646539975576999E-4</v>
      </c>
      <c r="U157">
        <v>2.0020811125203899</v>
      </c>
      <c r="V157" s="1">
        <v>7.1940825845771896E-16</v>
      </c>
      <c r="W157" s="1">
        <v>8.0549868769103201E-6</v>
      </c>
      <c r="X157">
        <v>2.0197415301816402</v>
      </c>
      <c r="Y157">
        <v>4.1544967254770299E-4</v>
      </c>
      <c r="Z157">
        <v>2.3300631729267001E-3</v>
      </c>
      <c r="AA157">
        <v>3.77336302061911E-4</v>
      </c>
      <c r="AB157" s="9">
        <f t="shared" si="17"/>
        <v>-0.34087528478281431</v>
      </c>
      <c r="AC157" s="9">
        <f t="shared" si="18"/>
        <v>-0.34061723520723985</v>
      </c>
      <c r="AD157" s="2">
        <f t="shared" si="19"/>
        <v>-7.5702049134740435E-4</v>
      </c>
      <c r="AE157" s="8">
        <f t="shared" si="20"/>
        <v>2.5203198598336756E-3</v>
      </c>
      <c r="AF157" s="2">
        <f t="shared" si="21"/>
        <v>8.6443195599675629E-5</v>
      </c>
      <c r="AG157" s="8">
        <f t="shared" si="22"/>
        <v>2.433876664234E-3</v>
      </c>
      <c r="AH157" s="7">
        <f t="shared" si="23"/>
        <v>3.5516670532227401E-2</v>
      </c>
      <c r="AI157">
        <f t="shared" si="24"/>
        <v>2</v>
      </c>
      <c r="AJ157" s="10">
        <f t="shared" si="25"/>
        <v>9.7355066569360001E-3</v>
      </c>
    </row>
    <row r="158" spans="1:36" hidden="1" x14ac:dyDescent="0.25">
      <c r="A158" t="b">
        <v>0</v>
      </c>
      <c r="B158">
        <v>1000</v>
      </c>
      <c r="C158">
        <v>9.7355066569360001E-3</v>
      </c>
      <c r="D158" t="s">
        <v>52</v>
      </c>
      <c r="E158" t="b">
        <v>1</v>
      </c>
      <c r="F158" t="s">
        <v>53</v>
      </c>
      <c r="G158">
        <v>7.4999999999999997E-2</v>
      </c>
      <c r="H158">
        <v>0.5</v>
      </c>
      <c r="I158">
        <v>1E-4</v>
      </c>
      <c r="J158" t="b">
        <v>1</v>
      </c>
      <c r="K158">
        <v>2</v>
      </c>
      <c r="L158">
        <v>1500</v>
      </c>
      <c r="M158">
        <v>0.01</v>
      </c>
      <c r="N158">
        <v>0.154</v>
      </c>
      <c r="O158" t="s">
        <v>191</v>
      </c>
      <c r="P158" t="s">
        <v>194</v>
      </c>
      <c r="Q158" s="1">
        <v>-3.89027182227896E-5</v>
      </c>
      <c r="R158" s="1">
        <v>3.66002902223038E-9</v>
      </c>
      <c r="S158">
        <v>1.1677467244133E-4</v>
      </c>
      <c r="T158">
        <v>-1.5922585849086101E-4</v>
      </c>
      <c r="U158">
        <v>2.00207258596684</v>
      </c>
      <c r="V158" s="1">
        <v>7.1374992561727905E-16</v>
      </c>
      <c r="W158" s="1">
        <v>8.6195506321160394E-6</v>
      </c>
      <c r="X158">
        <v>2.0197635271004102</v>
      </c>
      <c r="Y158">
        <v>4.1648096495278998E-4</v>
      </c>
      <c r="Z158">
        <v>2.3300701581821801E-3</v>
      </c>
      <c r="AA158">
        <v>3.8369205510038501E-4</v>
      </c>
      <c r="AB158" s="9">
        <f t="shared" si="17"/>
        <v>-0.34088269134486199</v>
      </c>
      <c r="AC158" s="9">
        <f t="shared" si="18"/>
        <v>-0.34061723520723985</v>
      </c>
      <c r="AD158" s="2">
        <f t="shared" si="19"/>
        <v>-7.7873164100783487E-4</v>
      </c>
      <c r="AE158" s="8">
        <f t="shared" si="20"/>
        <v>2.5228011802768302E-3</v>
      </c>
      <c r="AF158" s="2">
        <f t="shared" si="21"/>
        <v>8.8924516042830203E-5</v>
      </c>
      <c r="AG158" s="8">
        <f t="shared" si="22"/>
        <v>2.433876664234E-3</v>
      </c>
      <c r="AH158" s="7">
        <f t="shared" si="23"/>
        <v>3.6536163623072042E-2</v>
      </c>
      <c r="AI158">
        <f t="shared" si="24"/>
        <v>2</v>
      </c>
      <c r="AJ158" s="10">
        <f t="shared" si="25"/>
        <v>9.7355066569360001E-3</v>
      </c>
    </row>
    <row r="159" spans="1:36" hidden="1" x14ac:dyDescent="0.25">
      <c r="A159" t="b">
        <v>0</v>
      </c>
      <c r="B159">
        <v>1000</v>
      </c>
      <c r="C159">
        <v>9.7355066569360001E-3</v>
      </c>
      <c r="D159" t="s">
        <v>52</v>
      </c>
      <c r="E159" t="b">
        <v>1</v>
      </c>
      <c r="F159" t="s">
        <v>53</v>
      </c>
      <c r="G159">
        <v>7.4999999999999997E-2</v>
      </c>
      <c r="H159">
        <v>0.5</v>
      </c>
      <c r="I159">
        <v>1E-4</v>
      </c>
      <c r="J159" t="b">
        <v>1</v>
      </c>
      <c r="K159">
        <v>2</v>
      </c>
      <c r="L159">
        <v>1500</v>
      </c>
      <c r="M159">
        <v>0.01</v>
      </c>
      <c r="N159">
        <v>0.154</v>
      </c>
      <c r="O159" t="s">
        <v>191</v>
      </c>
      <c r="P159" t="s">
        <v>195</v>
      </c>
      <c r="Q159" s="1">
        <v>-7.7805358154150005E-5</v>
      </c>
      <c r="R159" s="1">
        <v>7.3693782412893203E-9</v>
      </c>
      <c r="S159">
        <v>2.3354920072302099E-4</v>
      </c>
      <c r="T159">
        <v>-3.1845048685167498E-4</v>
      </c>
      <c r="U159">
        <v>2.0020129349885898</v>
      </c>
      <c r="V159" s="1">
        <v>6.8991053944718699E-16</v>
      </c>
      <c r="W159" s="1">
        <v>8.7191579194115892E-6</v>
      </c>
      <c r="X159">
        <v>2.01975836898455</v>
      </c>
      <c r="Y159">
        <v>4.1749483623306302E-4</v>
      </c>
      <c r="Z159">
        <v>2.33165141494549E-3</v>
      </c>
      <c r="AA159">
        <v>3.86273377859592E-4</v>
      </c>
      <c r="AB159" s="9">
        <f t="shared" si="17"/>
        <v>-0.34088158497847221</v>
      </c>
      <c r="AC159" s="9">
        <f t="shared" si="18"/>
        <v>-0.34061723520723985</v>
      </c>
      <c r="AD159" s="2">
        <f t="shared" si="19"/>
        <v>-7.7548856518327991E-4</v>
      </c>
      <c r="AE159" s="8">
        <f t="shared" si="20"/>
        <v>2.5224305285084666E-3</v>
      </c>
      <c r="AF159" s="2">
        <f t="shared" si="21"/>
        <v>8.855386427446656E-5</v>
      </c>
      <c r="AG159" s="8">
        <f t="shared" si="22"/>
        <v>2.433876664234E-3</v>
      </c>
      <c r="AH159" s="7">
        <f t="shared" si="23"/>
        <v>3.6383874982562688E-2</v>
      </c>
      <c r="AI159">
        <f t="shared" si="24"/>
        <v>2</v>
      </c>
      <c r="AJ159" s="10">
        <f t="shared" si="25"/>
        <v>9.7355066569360001E-3</v>
      </c>
    </row>
    <row r="160" spans="1:36" hidden="1" x14ac:dyDescent="0.25">
      <c r="A160" t="b">
        <v>0</v>
      </c>
      <c r="B160">
        <v>1000</v>
      </c>
      <c r="C160">
        <v>9.7355066569360001E-3</v>
      </c>
      <c r="D160" t="s">
        <v>52</v>
      </c>
      <c r="E160" t="b">
        <v>1</v>
      </c>
      <c r="F160" t="s">
        <v>53</v>
      </c>
      <c r="G160">
        <v>7.4999999999999997E-2</v>
      </c>
      <c r="H160">
        <v>0.5</v>
      </c>
      <c r="I160">
        <v>1E-4</v>
      </c>
      <c r="J160" t="b">
        <v>1</v>
      </c>
      <c r="K160">
        <v>2</v>
      </c>
      <c r="L160">
        <v>1500</v>
      </c>
      <c r="M160">
        <v>0.01</v>
      </c>
      <c r="N160">
        <v>0.154</v>
      </c>
      <c r="O160" t="s">
        <v>192</v>
      </c>
      <c r="P160" t="s">
        <v>194</v>
      </c>
      <c r="Q160" s="1">
        <v>-1E-10</v>
      </c>
      <c r="R160" s="1">
        <v>3.58578598302893E-12</v>
      </c>
      <c r="S160" s="1">
        <v>5.3123033530717502E-18</v>
      </c>
      <c r="T160" s="1">
        <v>-1.36517130489622E-16</v>
      </c>
      <c r="U160">
        <v>2.0020129380822098</v>
      </c>
      <c r="V160">
        <v>0</v>
      </c>
      <c r="W160">
        <v>6.8474549233972795E-2</v>
      </c>
      <c r="X160">
        <v>2</v>
      </c>
      <c r="Y160">
        <v>4.0005664709286204E-3</v>
      </c>
      <c r="Z160">
        <v>2.5000000000000001E-4</v>
      </c>
      <c r="AA160">
        <v>4.7933530495086604E-3</v>
      </c>
      <c r="AB160" s="9">
        <f t="shared" si="17"/>
        <v>-6.4245733637689977</v>
      </c>
      <c r="AC160" s="9">
        <f t="shared" si="18"/>
        <v>-0.34061723520723985</v>
      </c>
      <c r="AD160" s="2">
        <f t="shared" si="19"/>
        <v>-0.94698212380480695</v>
      </c>
      <c r="AE160" s="8">
        <f t="shared" si="20"/>
        <v>-1.9704843268276373</v>
      </c>
      <c r="AF160" s="2">
        <f t="shared" si="21"/>
        <v>-1.9729182034918713</v>
      </c>
      <c r="AG160" s="8">
        <f t="shared" si="22"/>
        <v>2.433876664234E-3</v>
      </c>
      <c r="AH160" s="7">
        <f t="shared" si="23"/>
        <v>-810.60730499784654</v>
      </c>
      <c r="AI160">
        <f t="shared" si="24"/>
        <v>2</v>
      </c>
      <c r="AJ160" s="10">
        <f t="shared" si="25"/>
        <v>9.7355066569360001E-3</v>
      </c>
    </row>
    <row r="161" spans="1:36" hidden="1" x14ac:dyDescent="0.25">
      <c r="A161" t="b">
        <v>0</v>
      </c>
      <c r="B161">
        <v>1000</v>
      </c>
      <c r="C161">
        <v>9.7355066569360001E-3</v>
      </c>
      <c r="D161" t="s">
        <v>52</v>
      </c>
      <c r="E161" t="b">
        <v>1</v>
      </c>
      <c r="F161" t="s">
        <v>53</v>
      </c>
      <c r="G161">
        <v>7.4999999999999997E-2</v>
      </c>
      <c r="H161">
        <v>0.5</v>
      </c>
      <c r="I161">
        <v>1E-4</v>
      </c>
      <c r="J161" t="b">
        <v>1</v>
      </c>
      <c r="K161">
        <v>2</v>
      </c>
      <c r="L161">
        <v>1500</v>
      </c>
      <c r="M161">
        <v>0.01</v>
      </c>
      <c r="N161">
        <v>0.154</v>
      </c>
      <c r="O161" t="s">
        <v>192</v>
      </c>
      <c r="P161" t="s">
        <v>195</v>
      </c>
      <c r="Q161" s="1">
        <v>-3.8902639681208503E-5</v>
      </c>
      <c r="R161" s="1">
        <v>3.6240623747939401E-9</v>
      </c>
      <c r="S161">
        <v>1.16774528281695E-4</v>
      </c>
      <c r="T161">
        <v>-1.59224628361104E-4</v>
      </c>
      <c r="U161">
        <v>2.00195328710396</v>
      </c>
      <c r="V161" s="1">
        <v>7.2373284383030398E-16</v>
      </c>
      <c r="W161" s="1">
        <v>8.54587120458362E-6</v>
      </c>
      <c r="X161">
        <v>2.0197531796563899</v>
      </c>
      <c r="Y161">
        <v>4.1675889018416503E-4</v>
      </c>
      <c r="Z161">
        <v>2.3332590037218001E-3</v>
      </c>
      <c r="AA161">
        <v>3.7991698038935298E-4</v>
      </c>
      <c r="AB161" s="9">
        <f t="shared" si="17"/>
        <v>-0.34088047861132587</v>
      </c>
      <c r="AC161" s="9">
        <f t="shared" si="18"/>
        <v>-0.34061723520723985</v>
      </c>
      <c r="AD161" s="2">
        <f t="shared" si="19"/>
        <v>-7.7224546608944955E-4</v>
      </c>
      <c r="AE161" s="8">
        <f t="shared" si="20"/>
        <v>2.5220598767607349E-3</v>
      </c>
      <c r="AF161" s="2">
        <f t="shared" si="21"/>
        <v>8.8183212526734851E-5</v>
      </c>
      <c r="AG161" s="8">
        <f t="shared" si="22"/>
        <v>2.433876664234E-3</v>
      </c>
      <c r="AH161" s="7">
        <f t="shared" si="23"/>
        <v>3.6231586350530316E-2</v>
      </c>
      <c r="AI161">
        <f t="shared" si="24"/>
        <v>2</v>
      </c>
      <c r="AJ161" s="10">
        <f t="shared" si="25"/>
        <v>9.7355066569360001E-3</v>
      </c>
    </row>
    <row r="162" spans="1:36" hidden="1" x14ac:dyDescent="0.25">
      <c r="A162" t="b">
        <v>0</v>
      </c>
      <c r="B162">
        <v>1000</v>
      </c>
      <c r="C162">
        <v>9.7355066569360001E-3</v>
      </c>
      <c r="D162" t="s">
        <v>52</v>
      </c>
      <c r="E162" t="b">
        <v>1</v>
      </c>
      <c r="F162" t="s">
        <v>53</v>
      </c>
      <c r="G162">
        <v>7.4999999999999997E-2</v>
      </c>
      <c r="H162">
        <v>0.5</v>
      </c>
      <c r="I162">
        <v>1E-4</v>
      </c>
      <c r="J162" t="b">
        <v>1</v>
      </c>
      <c r="K162">
        <v>2</v>
      </c>
      <c r="L162">
        <v>1500</v>
      </c>
      <c r="M162">
        <v>0.01</v>
      </c>
      <c r="N162">
        <v>0.154</v>
      </c>
      <c r="O162" t="s">
        <v>193</v>
      </c>
      <c r="P162" t="s">
        <v>194</v>
      </c>
      <c r="Q162" s="1">
        <v>-5.5630452635112897E-6</v>
      </c>
      <c r="R162" s="1">
        <v>9.0889125420288396E-8</v>
      </c>
      <c r="S162" s="1">
        <v>1.6690121105550699E-5</v>
      </c>
      <c r="T162" s="1">
        <v>-2.2760458734868101E-5</v>
      </c>
      <c r="U162">
        <v>2.0020214646365799</v>
      </c>
      <c r="V162">
        <v>0</v>
      </c>
      <c r="W162">
        <v>1.1687155699084801E-3</v>
      </c>
      <c r="X162">
        <v>2</v>
      </c>
      <c r="Y162">
        <v>7.3689181217467897E-2</v>
      </c>
      <c r="Z162">
        <v>2.5000000000000001E-4</v>
      </c>
      <c r="AA162">
        <v>6.54406706466861E-2</v>
      </c>
      <c r="AB162" s="9">
        <f t="shared" si="17"/>
        <v>-0.34092710578502883</v>
      </c>
      <c r="AC162" s="9">
        <f t="shared" si="18"/>
        <v>-0.34061723520723985</v>
      </c>
      <c r="AD162" s="2">
        <f t="shared" si="19"/>
        <v>-9.0890566496748537E-4</v>
      </c>
      <c r="AE162" s="8">
        <f t="shared" si="20"/>
        <v>2.5376810079415849E-3</v>
      </c>
      <c r="AF162" s="2">
        <f t="shared" si="21"/>
        <v>1.0380434370758484E-4</v>
      </c>
      <c r="AG162" s="8">
        <f t="shared" si="22"/>
        <v>2.433876664234E-3</v>
      </c>
      <c r="AH162" s="7">
        <f t="shared" si="23"/>
        <v>4.2649796200850049E-2</v>
      </c>
      <c r="AI162">
        <f t="shared" si="24"/>
        <v>2</v>
      </c>
      <c r="AJ162" s="10">
        <f t="shared" si="25"/>
        <v>9.7355066569360001E-3</v>
      </c>
    </row>
    <row r="163" spans="1:36" hidden="1" x14ac:dyDescent="0.25">
      <c r="A163" t="b">
        <v>0</v>
      </c>
      <c r="B163">
        <v>1000</v>
      </c>
      <c r="C163">
        <v>9.7355066569360001E-3</v>
      </c>
      <c r="D163" t="s">
        <v>52</v>
      </c>
      <c r="E163" t="b">
        <v>1</v>
      </c>
      <c r="F163" t="s">
        <v>53</v>
      </c>
      <c r="G163">
        <v>7.4999999999999997E-2</v>
      </c>
      <c r="H163">
        <v>0.5</v>
      </c>
      <c r="I163">
        <v>1E-4</v>
      </c>
      <c r="J163" t="b">
        <v>1</v>
      </c>
      <c r="K163">
        <v>2</v>
      </c>
      <c r="L163">
        <v>1500</v>
      </c>
      <c r="M163">
        <v>0.01</v>
      </c>
      <c r="N163">
        <v>0.154</v>
      </c>
      <c r="O163" t="s">
        <v>193</v>
      </c>
      <c r="P163" t="s">
        <v>195</v>
      </c>
      <c r="Q163" s="1">
        <v>-4.4462844395690199E-5</v>
      </c>
      <c r="R163" s="1">
        <v>4.1051409920040103E-9</v>
      </c>
      <c r="S163">
        <v>1.3346464938724401E-4</v>
      </c>
      <c r="T163">
        <v>-1.8198508709585899E-4</v>
      </c>
      <c r="U163">
        <v>2.0019618136583301</v>
      </c>
      <c r="V163" s="1">
        <v>7.57419463116062E-16</v>
      </c>
      <c r="W163" s="1">
        <v>7.1112666564659098E-6</v>
      </c>
      <c r="X163">
        <v>2.0197709378578401</v>
      </c>
      <c r="Y163">
        <v>4.1789187204385302E-4</v>
      </c>
      <c r="Z163">
        <v>2.3328917182803199E-3</v>
      </c>
      <c r="AA163">
        <v>3.7653301417222998E-4</v>
      </c>
      <c r="AB163" s="9">
        <f t="shared" si="17"/>
        <v>-0.34088630946729997</v>
      </c>
      <c r="AC163" s="9">
        <f t="shared" si="18"/>
        <v>-0.34061723520723985</v>
      </c>
      <c r="AD163" s="2">
        <f t="shared" si="19"/>
        <v>-7.8933724408181138E-4</v>
      </c>
      <c r="AE163" s="8">
        <f t="shared" si="20"/>
        <v>2.5240133154333013E-3</v>
      </c>
      <c r="AF163" s="2">
        <f t="shared" si="21"/>
        <v>9.0136651199301289E-5</v>
      </c>
      <c r="AG163" s="8">
        <f t="shared" si="22"/>
        <v>2.433876664234E-3</v>
      </c>
      <c r="AH163" s="7">
        <f t="shared" si="23"/>
        <v>3.7034190155921264E-2</v>
      </c>
      <c r="AI163">
        <f t="shared" si="24"/>
        <v>2</v>
      </c>
      <c r="AJ163" s="10">
        <f t="shared" si="25"/>
        <v>9.7355066569360001E-3</v>
      </c>
    </row>
    <row r="164" spans="1:36" hidden="1" x14ac:dyDescent="0.25">
      <c r="A164" t="b">
        <v>0</v>
      </c>
      <c r="B164">
        <v>1000</v>
      </c>
      <c r="C164">
        <v>9.7355066569360001E-3</v>
      </c>
      <c r="D164" t="s">
        <v>52</v>
      </c>
      <c r="E164" t="b">
        <v>1</v>
      </c>
      <c r="F164" t="s">
        <v>53</v>
      </c>
      <c r="G164">
        <v>7.4999999999999997E-2</v>
      </c>
      <c r="H164">
        <v>0.5</v>
      </c>
      <c r="I164">
        <v>1E-4</v>
      </c>
      <c r="J164" t="b">
        <v>1</v>
      </c>
      <c r="K164">
        <v>2</v>
      </c>
      <c r="L164">
        <v>1500</v>
      </c>
      <c r="M164">
        <v>0.01</v>
      </c>
      <c r="N164">
        <v>0.154</v>
      </c>
      <c r="O164" t="s">
        <v>194</v>
      </c>
      <c r="P164" t="s">
        <v>195</v>
      </c>
      <c r="Q164" s="1">
        <v>-3.8902639417368101E-5</v>
      </c>
      <c r="R164" s="1">
        <v>3.7071791053571899E-9</v>
      </c>
      <c r="S164">
        <v>1.1677452828169E-4</v>
      </c>
      <c r="T164">
        <v>-1.59224628360918E-4</v>
      </c>
      <c r="U164">
        <v>2.0019532871047798</v>
      </c>
      <c r="V164" s="1">
        <v>7.2805540764133102E-16</v>
      </c>
      <c r="W164" s="1">
        <v>8.7206926812142699E-6</v>
      </c>
      <c r="X164">
        <v>2.01975314696646</v>
      </c>
      <c r="Y164">
        <v>4.1867307428261998E-4</v>
      </c>
      <c r="Z164">
        <v>2.33328663664438E-3</v>
      </c>
      <c r="AA164">
        <v>3.8862480758198502E-4</v>
      </c>
      <c r="AB164" s="9">
        <f t="shared" ref="AB164:AB227" si="26">T164/S164/K164^2</f>
        <v>-0.34088047861094228</v>
      </c>
      <c r="AC164" s="9">
        <f t="shared" ref="AC164:AC227" si="27">(1+10*C164/K164^2)/(-3-3*C164/K164^2)</f>
        <v>-0.34061723520723985</v>
      </c>
      <c r="AD164" s="2">
        <f t="shared" ref="AD164:AD227" si="28">(AC164/AB164-1)</f>
        <v>-7.7224546496512669E-4</v>
      </c>
      <c r="AE164" s="8">
        <f t="shared" ref="AE164:AE227" si="29">-(1+3*AB164)/(10+3*AB164)</f>
        <v>2.5220598766322409E-3</v>
      </c>
      <c r="AF164" s="2">
        <f t="shared" ref="AF164:AF227" si="30">(AE164-C164/K164^2)</f>
        <v>8.8183212398240847E-5</v>
      </c>
      <c r="AG164" s="8">
        <f t="shared" ref="AG164:AG227" si="31">C164/K164^2</f>
        <v>2.433876664234E-3</v>
      </c>
      <c r="AH164" s="7">
        <f t="shared" ref="AH164:AH227" si="32">AF164/AG164</f>
        <v>3.6231586297736346E-2</v>
      </c>
      <c r="AI164">
        <f t="shared" ref="AI164:AI227" si="33">K164</f>
        <v>2</v>
      </c>
      <c r="AJ164" s="10">
        <f t="shared" ref="AJ164:AJ227" si="34">C164</f>
        <v>9.7355066569360001E-3</v>
      </c>
    </row>
    <row r="165" spans="1:36" hidden="1" x14ac:dyDescent="0.25">
      <c r="A165" t="b">
        <v>0</v>
      </c>
      <c r="B165">
        <v>1000</v>
      </c>
      <c r="C165">
        <v>9.7355066569377001E-3</v>
      </c>
      <c r="D165" t="s">
        <v>52</v>
      </c>
      <c r="E165" t="b">
        <v>1</v>
      </c>
      <c r="F165" t="s">
        <v>53</v>
      </c>
      <c r="G165">
        <v>7.4999999999999997E-2</v>
      </c>
      <c r="H165">
        <v>0.5</v>
      </c>
      <c r="I165">
        <v>1E-4</v>
      </c>
      <c r="J165" t="b">
        <v>1</v>
      </c>
      <c r="K165">
        <v>4</v>
      </c>
      <c r="L165">
        <v>1500</v>
      </c>
      <c r="M165">
        <v>0.01</v>
      </c>
      <c r="N165">
        <v>0.154</v>
      </c>
      <c r="O165" t="s">
        <v>196</v>
      </c>
      <c r="P165" t="s">
        <v>197</v>
      </c>
      <c r="Q165" s="1">
        <v>-1.9515577620283502E-5</v>
      </c>
      <c r="R165" s="1">
        <v>3.79357603348792E-5</v>
      </c>
      <c r="S165" s="1">
        <v>6.6598040271797495E-5</v>
      </c>
      <c r="T165">
        <v>-3.5690627268785102E-4</v>
      </c>
      <c r="U165">
        <v>4.00055117044655</v>
      </c>
      <c r="V165" s="1">
        <v>9.9999999999999905E-15</v>
      </c>
      <c r="W165">
        <v>0.130121855652573</v>
      </c>
      <c r="X165">
        <v>2.4999999999999898</v>
      </c>
      <c r="Y165">
        <v>5.9426362544614202</v>
      </c>
      <c r="Z165">
        <v>0.49999999989958599</v>
      </c>
      <c r="AA165">
        <v>10.773156969074799</v>
      </c>
      <c r="AB165" s="9">
        <f t="shared" si="26"/>
        <v>-0.3349444210663502</v>
      </c>
      <c r="AC165" s="9">
        <f t="shared" si="27"/>
        <v>-0.3351576308027493</v>
      </c>
      <c r="AD165" s="2">
        <f t="shared" si="28"/>
        <v>6.3655258302341977E-4</v>
      </c>
      <c r="AE165" s="8">
        <f t="shared" si="29"/>
        <v>5.3731779971090876E-4</v>
      </c>
      <c r="AF165" s="2">
        <f t="shared" si="30"/>
        <v>-7.1151366347697496E-5</v>
      </c>
      <c r="AG165" s="8">
        <f t="shared" si="31"/>
        <v>6.0846916605860626E-4</v>
      </c>
      <c r="AH165" s="7">
        <f t="shared" si="32"/>
        <v>-0.11693504012468624</v>
      </c>
      <c r="AI165">
        <f t="shared" si="33"/>
        <v>4</v>
      </c>
      <c r="AJ165" s="10">
        <f t="shared" si="34"/>
        <v>9.7355066569377001E-3</v>
      </c>
    </row>
    <row r="166" spans="1:36" hidden="1" x14ac:dyDescent="0.25">
      <c r="A166" t="b">
        <v>0</v>
      </c>
      <c r="B166">
        <v>1000</v>
      </c>
      <c r="C166">
        <v>9.7355066569377001E-3</v>
      </c>
      <c r="D166" t="s">
        <v>52</v>
      </c>
      <c r="E166" t="b">
        <v>1</v>
      </c>
      <c r="F166" t="s">
        <v>53</v>
      </c>
      <c r="G166">
        <v>7.4999999999999997E-2</v>
      </c>
      <c r="H166">
        <v>0.5</v>
      </c>
      <c r="I166">
        <v>1E-4</v>
      </c>
      <c r="J166" t="b">
        <v>1</v>
      </c>
      <c r="K166">
        <v>4</v>
      </c>
      <c r="L166">
        <v>1500</v>
      </c>
      <c r="M166">
        <v>0.01</v>
      </c>
      <c r="N166">
        <v>0.154</v>
      </c>
      <c r="O166" t="s">
        <v>196</v>
      </c>
      <c r="P166" t="s">
        <v>198</v>
      </c>
      <c r="Q166">
        <v>-1.5601252465076299E-4</v>
      </c>
      <c r="R166">
        <v>3.01389346418536E-4</v>
      </c>
      <c r="S166">
        <v>5.3237520175206999E-4</v>
      </c>
      <c r="T166">
        <v>-2.8517908387802101E-3</v>
      </c>
      <c r="U166">
        <v>4.0000833815168697</v>
      </c>
      <c r="V166" s="1">
        <v>9.9999999999994494E-15</v>
      </c>
      <c r="W166">
        <v>0.12863732121371901</v>
      </c>
      <c r="X166">
        <v>2.4999999999999898</v>
      </c>
      <c r="Y166">
        <v>5.9168228184600498</v>
      </c>
      <c r="Z166">
        <v>0.49999999938752598</v>
      </c>
      <c r="AA166">
        <v>10.7023891715996</v>
      </c>
      <c r="AB166" s="9">
        <f t="shared" si="26"/>
        <v>-0.33479569829168909</v>
      </c>
      <c r="AC166" s="9">
        <f t="shared" si="27"/>
        <v>-0.3351576308027493</v>
      </c>
      <c r="AD166" s="2">
        <f t="shared" si="28"/>
        <v>1.0810548430191247E-3</v>
      </c>
      <c r="AE166" s="8">
        <f t="shared" si="29"/>
        <v>4.8769271436389667E-4</v>
      </c>
      <c r="AF166" s="2">
        <f t="shared" si="30"/>
        <v>-1.2077645169470959E-4</v>
      </c>
      <c r="AG166" s="8">
        <f t="shared" si="31"/>
        <v>6.0846916605860626E-4</v>
      </c>
      <c r="AH166" s="7">
        <f t="shared" si="32"/>
        <v>-0.19849231223505695</v>
      </c>
      <c r="AI166">
        <f t="shared" si="33"/>
        <v>4</v>
      </c>
      <c r="AJ166" s="10">
        <f t="shared" si="34"/>
        <v>9.7355066569377001E-3</v>
      </c>
    </row>
    <row r="167" spans="1:36" hidden="1" x14ac:dyDescent="0.25">
      <c r="A167" t="b">
        <v>0</v>
      </c>
      <c r="B167">
        <v>1000</v>
      </c>
      <c r="C167">
        <v>9.7355066569377001E-3</v>
      </c>
      <c r="D167" t="s">
        <v>52</v>
      </c>
      <c r="E167" t="b">
        <v>1</v>
      </c>
      <c r="F167" t="s">
        <v>53</v>
      </c>
      <c r="G167">
        <v>7.4999999999999997E-2</v>
      </c>
      <c r="H167">
        <v>0.5</v>
      </c>
      <c r="I167">
        <v>1E-4</v>
      </c>
      <c r="J167" t="b">
        <v>1</v>
      </c>
      <c r="K167">
        <v>4</v>
      </c>
      <c r="L167">
        <v>1500</v>
      </c>
      <c r="M167">
        <v>0.01</v>
      </c>
      <c r="N167">
        <v>0.154</v>
      </c>
      <c r="O167" t="s">
        <v>196</v>
      </c>
      <c r="P167" t="s">
        <v>199</v>
      </c>
      <c r="Q167" s="1">
        <v>-1.9515577620281699E-5</v>
      </c>
      <c r="R167" s="1">
        <v>3.7766740891471197E-5</v>
      </c>
      <c r="S167" s="1">
        <v>6.6598040271803296E-5</v>
      </c>
      <c r="T167">
        <v>-3.5690627268804298E-4</v>
      </c>
      <c r="U167">
        <v>4.0005511704470296</v>
      </c>
      <c r="V167" s="1">
        <v>9.9999999999999905E-15</v>
      </c>
      <c r="W167">
        <v>0.12856664123384201</v>
      </c>
      <c r="X167">
        <v>2.4999999999999898</v>
      </c>
      <c r="Y167">
        <v>5.9316334136450797</v>
      </c>
      <c r="Z167">
        <v>0.49999999989956201</v>
      </c>
      <c r="AA167">
        <v>10.7190200201649</v>
      </c>
      <c r="AB167" s="9">
        <f t="shared" si="26"/>
        <v>-0.33494442106650119</v>
      </c>
      <c r="AC167" s="9">
        <f t="shared" si="27"/>
        <v>-0.3351576308027493</v>
      </c>
      <c r="AD167" s="2">
        <f t="shared" si="28"/>
        <v>6.3655258257244718E-4</v>
      </c>
      <c r="AE167" s="8">
        <f t="shared" si="29"/>
        <v>5.3731779976129304E-4</v>
      </c>
      <c r="AF167" s="2">
        <f t="shared" si="30"/>
        <v>-7.1151366297313211E-5</v>
      </c>
      <c r="AG167" s="8">
        <f t="shared" si="31"/>
        <v>6.0846916605860626E-4</v>
      </c>
      <c r="AH167" s="7">
        <f t="shared" si="32"/>
        <v>-0.11693504004188124</v>
      </c>
      <c r="AI167">
        <f t="shared" si="33"/>
        <v>4</v>
      </c>
      <c r="AJ167" s="10">
        <f t="shared" si="34"/>
        <v>9.7355066569377001E-3</v>
      </c>
    </row>
    <row r="168" spans="1:36" hidden="1" x14ac:dyDescent="0.25">
      <c r="A168" t="b">
        <v>0</v>
      </c>
      <c r="B168">
        <v>1000</v>
      </c>
      <c r="C168">
        <v>9.7355066569377001E-3</v>
      </c>
      <c r="D168" t="s">
        <v>52</v>
      </c>
      <c r="E168" t="b">
        <v>1</v>
      </c>
      <c r="F168" t="s">
        <v>53</v>
      </c>
      <c r="G168">
        <v>7.4999999999999997E-2</v>
      </c>
      <c r="H168">
        <v>0.5</v>
      </c>
      <c r="I168">
        <v>1E-4</v>
      </c>
      <c r="J168" t="b">
        <v>1</v>
      </c>
      <c r="K168">
        <v>4</v>
      </c>
      <c r="L168">
        <v>1500</v>
      </c>
      <c r="M168">
        <v>0.01</v>
      </c>
      <c r="N168">
        <v>0.154</v>
      </c>
      <c r="O168" t="s">
        <v>196</v>
      </c>
      <c r="P168" t="s">
        <v>200</v>
      </c>
      <c r="Q168" s="1">
        <v>-3.90311630904546E-5</v>
      </c>
      <c r="R168" s="1">
        <v>7.7470024115683804E-5</v>
      </c>
      <c r="S168">
        <v>1.33196053523412E-4</v>
      </c>
      <c r="T168">
        <v>-7.1380983694224796E-4</v>
      </c>
      <c r="U168">
        <v>4.0004842580098599</v>
      </c>
      <c r="V168" s="1">
        <v>9.9999999999999905E-15</v>
      </c>
      <c r="W168">
        <v>0.13182776985164399</v>
      </c>
      <c r="X168">
        <v>2.4999999999999898</v>
      </c>
      <c r="Y168">
        <v>6.0735276540866696</v>
      </c>
      <c r="Z168">
        <v>0.499999999852973</v>
      </c>
      <c r="AA168">
        <v>10.9969629292066</v>
      </c>
      <c r="AB168" s="9">
        <f t="shared" si="26"/>
        <v>-0.33494321812657013</v>
      </c>
      <c r="AC168" s="9">
        <f t="shared" si="27"/>
        <v>-0.3351576308027493</v>
      </c>
      <c r="AD168" s="2">
        <f t="shared" si="28"/>
        <v>6.4014634294862205E-4</v>
      </c>
      <c r="AE168" s="8">
        <f t="shared" si="29"/>
        <v>5.3691638892218744E-4</v>
      </c>
      <c r="AF168" s="2">
        <f t="shared" si="30"/>
        <v>-7.1552777136418811E-5</v>
      </c>
      <c r="AG168" s="8">
        <f t="shared" si="31"/>
        <v>6.0846916605860626E-4</v>
      </c>
      <c r="AH168" s="7">
        <f t="shared" si="32"/>
        <v>-0.11759474617244126</v>
      </c>
      <c r="AI168">
        <f t="shared" si="33"/>
        <v>4</v>
      </c>
      <c r="AJ168" s="10">
        <f t="shared" si="34"/>
        <v>9.7355066569377001E-3</v>
      </c>
    </row>
    <row r="169" spans="1:36" hidden="1" x14ac:dyDescent="0.25">
      <c r="A169" t="b">
        <v>0</v>
      </c>
      <c r="B169">
        <v>1000</v>
      </c>
      <c r="C169">
        <v>9.7355066569377001E-3</v>
      </c>
      <c r="D169" t="s">
        <v>52</v>
      </c>
      <c r="E169" t="b">
        <v>1</v>
      </c>
      <c r="F169" t="s">
        <v>53</v>
      </c>
      <c r="G169">
        <v>7.4999999999999997E-2</v>
      </c>
      <c r="H169">
        <v>0.5</v>
      </c>
      <c r="I169">
        <v>1E-4</v>
      </c>
      <c r="J169" t="b">
        <v>1</v>
      </c>
      <c r="K169">
        <v>4</v>
      </c>
      <c r="L169">
        <v>1500</v>
      </c>
      <c r="M169">
        <v>0.01</v>
      </c>
      <c r="N169">
        <v>0.154</v>
      </c>
      <c r="O169" t="s">
        <v>196</v>
      </c>
      <c r="P169" t="s">
        <v>201</v>
      </c>
      <c r="Q169">
        <v>-1.755281649496E-4</v>
      </c>
      <c r="R169">
        <v>3.1895764689305001E-4</v>
      </c>
      <c r="S169">
        <v>5.9897302612856897E-4</v>
      </c>
      <c r="T169">
        <v>-3.2086754711361399E-3</v>
      </c>
      <c r="U169">
        <v>4.0000164569772698</v>
      </c>
      <c r="V169" s="1">
        <v>9.9999999999994399E-15</v>
      </c>
      <c r="W169">
        <v>0.118870459677221</v>
      </c>
      <c r="X169">
        <v>2.4999999999999898</v>
      </c>
      <c r="Y169">
        <v>5.6230231244457798</v>
      </c>
      <c r="Z169">
        <v>0.49999999937989198</v>
      </c>
      <c r="AA169">
        <v>10.046540039830999</v>
      </c>
      <c r="AB169" s="9">
        <f t="shared" si="26"/>
        <v>-0.33481009694577224</v>
      </c>
      <c r="AC169" s="9">
        <f t="shared" si="27"/>
        <v>-0.3351576308027493</v>
      </c>
      <c r="AD169" s="2">
        <f t="shared" si="28"/>
        <v>1.0380029161227711E-3</v>
      </c>
      <c r="AE169" s="8">
        <f t="shared" si="29"/>
        <v>4.9249697134846437E-4</v>
      </c>
      <c r="AF169" s="2">
        <f t="shared" si="30"/>
        <v>-1.1597219471014188E-4</v>
      </c>
      <c r="AG169" s="8">
        <f t="shared" si="31"/>
        <v>6.0846916605860626E-4</v>
      </c>
      <c r="AH169" s="7">
        <f t="shared" si="32"/>
        <v>-0.19059666648576196</v>
      </c>
      <c r="AI169">
        <f t="shared" si="33"/>
        <v>4</v>
      </c>
      <c r="AJ169" s="10">
        <f t="shared" si="34"/>
        <v>9.7355066569377001E-3</v>
      </c>
    </row>
    <row r="170" spans="1:36" hidden="1" x14ac:dyDescent="0.25">
      <c r="A170" t="b">
        <v>0</v>
      </c>
      <c r="B170">
        <v>1000</v>
      </c>
      <c r="C170">
        <v>9.7355066569377001E-3</v>
      </c>
      <c r="D170" t="s">
        <v>52</v>
      </c>
      <c r="E170" t="b">
        <v>1</v>
      </c>
      <c r="F170" t="s">
        <v>53</v>
      </c>
      <c r="G170">
        <v>7.4999999999999997E-2</v>
      </c>
      <c r="H170">
        <v>0.5</v>
      </c>
      <c r="I170">
        <v>1E-4</v>
      </c>
      <c r="J170" t="b">
        <v>1</v>
      </c>
      <c r="K170">
        <v>4</v>
      </c>
      <c r="L170">
        <v>1500</v>
      </c>
      <c r="M170">
        <v>0.01</v>
      </c>
      <c r="N170">
        <v>0.154</v>
      </c>
      <c r="O170" t="s">
        <v>196</v>
      </c>
      <c r="P170" t="s">
        <v>202</v>
      </c>
      <c r="Q170">
        <v>-1.56012524650767E-4</v>
      </c>
      <c r="R170">
        <v>3.0250391219971499E-4</v>
      </c>
      <c r="S170">
        <v>5.3237520175207498E-4</v>
      </c>
      <c r="T170">
        <v>-2.8517908387804599E-3</v>
      </c>
      <c r="U170">
        <v>4.0000833815162098</v>
      </c>
      <c r="V170" s="1">
        <v>9.9999999999994494E-15</v>
      </c>
      <c r="W170">
        <v>0.12902859607579401</v>
      </c>
      <c r="X170">
        <v>2.4999999999999898</v>
      </c>
      <c r="Y170">
        <v>5.93817473499917</v>
      </c>
      <c r="Z170">
        <v>0.49999999938752399</v>
      </c>
      <c r="AA170">
        <v>10.7419704183222</v>
      </c>
      <c r="AB170" s="9">
        <f t="shared" si="26"/>
        <v>-0.33479569829171529</v>
      </c>
      <c r="AC170" s="9">
        <f t="shared" si="27"/>
        <v>-0.3351576308027493</v>
      </c>
      <c r="AD170" s="2">
        <f t="shared" si="28"/>
        <v>1.0810548429407429E-3</v>
      </c>
      <c r="AE170" s="8">
        <f t="shared" si="29"/>
        <v>4.8769271437263892E-4</v>
      </c>
      <c r="AF170" s="2">
        <f t="shared" si="30"/>
        <v>-1.2077645168596734E-4</v>
      </c>
      <c r="AG170" s="8">
        <f t="shared" si="31"/>
        <v>6.0846916605860626E-4</v>
      </c>
      <c r="AH170" s="7">
        <f t="shared" si="32"/>
        <v>-0.19849231222068933</v>
      </c>
      <c r="AI170">
        <f t="shared" si="33"/>
        <v>4</v>
      </c>
      <c r="AJ170" s="10">
        <f t="shared" si="34"/>
        <v>9.7355066569377001E-3</v>
      </c>
    </row>
    <row r="171" spans="1:36" hidden="1" x14ac:dyDescent="0.25">
      <c r="A171" t="b">
        <v>0</v>
      </c>
      <c r="B171">
        <v>1000</v>
      </c>
      <c r="C171">
        <v>9.7355066569377001E-3</v>
      </c>
      <c r="D171" t="s">
        <v>52</v>
      </c>
      <c r="E171" t="b">
        <v>1</v>
      </c>
      <c r="F171" t="s">
        <v>53</v>
      </c>
      <c r="G171">
        <v>7.4999999999999997E-2</v>
      </c>
      <c r="H171">
        <v>0.5</v>
      </c>
      <c r="I171">
        <v>1E-4</v>
      </c>
      <c r="J171" t="b">
        <v>1</v>
      </c>
      <c r="K171">
        <v>4</v>
      </c>
      <c r="L171">
        <v>1500</v>
      </c>
      <c r="M171">
        <v>0.01</v>
      </c>
      <c r="N171">
        <v>0.154</v>
      </c>
      <c r="O171" t="s">
        <v>196</v>
      </c>
      <c r="P171" t="s">
        <v>203</v>
      </c>
      <c r="Q171">
        <v>-1.7552816494961101E-4</v>
      </c>
      <c r="R171">
        <v>3.1218826941741901E-4</v>
      </c>
      <c r="S171">
        <v>5.9897302612857504E-4</v>
      </c>
      <c r="T171">
        <v>-3.2086754711363298E-3</v>
      </c>
      <c r="U171">
        <v>4.0000164569775896</v>
      </c>
      <c r="V171" s="1">
        <v>9.9999999999994399E-15</v>
      </c>
      <c r="W171">
        <v>0.11728178266714601</v>
      </c>
      <c r="X171">
        <v>2.4999999999999898</v>
      </c>
      <c r="Y171">
        <v>5.4990824014637001</v>
      </c>
      <c r="Z171">
        <v>0.49999999937988499</v>
      </c>
      <c r="AA171">
        <v>9.8367226505473599</v>
      </c>
      <c r="AB171" s="9">
        <f t="shared" si="26"/>
        <v>-0.33481009694578867</v>
      </c>
      <c r="AC171" s="9">
        <f t="shared" si="27"/>
        <v>-0.3351576308027493</v>
      </c>
      <c r="AD171" s="2">
        <f t="shared" si="28"/>
        <v>1.0380029160736992E-3</v>
      </c>
      <c r="AE171" s="8">
        <f t="shared" si="29"/>
        <v>4.9249697135394686E-4</v>
      </c>
      <c r="AF171" s="2">
        <f t="shared" si="30"/>
        <v>-1.159721947046594E-4</v>
      </c>
      <c r="AG171" s="8">
        <f t="shared" si="31"/>
        <v>6.0846916605860626E-4</v>
      </c>
      <c r="AH171" s="7">
        <f t="shared" si="32"/>
        <v>-0.19059666647675166</v>
      </c>
      <c r="AI171">
        <f t="shared" si="33"/>
        <v>4</v>
      </c>
      <c r="AJ171" s="10">
        <f t="shared" si="34"/>
        <v>9.7355066569377001E-3</v>
      </c>
    </row>
    <row r="172" spans="1:36" hidden="1" x14ac:dyDescent="0.25">
      <c r="A172" t="b">
        <v>0</v>
      </c>
      <c r="B172">
        <v>1000</v>
      </c>
      <c r="C172">
        <v>9.7355066569377001E-3</v>
      </c>
      <c r="D172" t="s">
        <v>52</v>
      </c>
      <c r="E172" t="b">
        <v>1</v>
      </c>
      <c r="F172" t="s">
        <v>53</v>
      </c>
      <c r="G172">
        <v>7.4999999999999997E-2</v>
      </c>
      <c r="H172">
        <v>0.5</v>
      </c>
      <c r="I172">
        <v>1E-4</v>
      </c>
      <c r="J172" t="b">
        <v>1</v>
      </c>
      <c r="K172">
        <v>4</v>
      </c>
      <c r="L172">
        <v>1500</v>
      </c>
      <c r="M172">
        <v>0.01</v>
      </c>
      <c r="N172">
        <v>0.154</v>
      </c>
      <c r="O172" t="s">
        <v>196</v>
      </c>
      <c r="P172" t="s">
        <v>204</v>
      </c>
      <c r="Q172">
        <v>-3.1202555098069099E-4</v>
      </c>
      <c r="R172">
        <v>6.00177865255978E-4</v>
      </c>
      <c r="S172">
        <v>1.0647486784682999E-3</v>
      </c>
      <c r="T172">
        <v>-5.7034087717273696E-3</v>
      </c>
      <c r="U172">
        <v>3.9995485713066801</v>
      </c>
      <c r="V172" s="1">
        <v>9.9999999999999905E-15</v>
      </c>
      <c r="W172">
        <v>0.12842102786476001</v>
      </c>
      <c r="X172">
        <v>2.4999999999999898</v>
      </c>
      <c r="Y172">
        <v>5.8879392615903896</v>
      </c>
      <c r="Z172">
        <v>0.499999999999999</v>
      </c>
      <c r="AA172">
        <v>10.6578721044673</v>
      </c>
      <c r="AB172" s="9">
        <f t="shared" si="26"/>
        <v>-0.33478609125465408</v>
      </c>
      <c r="AC172" s="9">
        <f t="shared" si="27"/>
        <v>-0.3351576308027493</v>
      </c>
      <c r="AD172" s="2">
        <f t="shared" si="28"/>
        <v>1.1097819108996099E-3</v>
      </c>
      <c r="AE172" s="8">
        <f t="shared" si="29"/>
        <v>4.8448725467258491E-4</v>
      </c>
      <c r="AF172" s="2">
        <f t="shared" si="30"/>
        <v>-1.2398191138602134E-4</v>
      </c>
      <c r="AG172" s="8">
        <f t="shared" si="31"/>
        <v>6.0846916605860626E-4</v>
      </c>
      <c r="AH172" s="7">
        <f t="shared" si="32"/>
        <v>-0.20376038475231414</v>
      </c>
      <c r="AI172">
        <f t="shared" si="33"/>
        <v>4</v>
      </c>
      <c r="AJ172" s="10">
        <f t="shared" si="34"/>
        <v>9.7355066569377001E-3</v>
      </c>
    </row>
    <row r="173" spans="1:36" hidden="1" x14ac:dyDescent="0.25">
      <c r="A173" t="b">
        <v>0</v>
      </c>
      <c r="B173">
        <v>1000</v>
      </c>
      <c r="C173">
        <v>9.7355066569377001E-3</v>
      </c>
      <c r="D173" t="s">
        <v>52</v>
      </c>
      <c r="E173" t="b">
        <v>1</v>
      </c>
      <c r="F173" t="s">
        <v>53</v>
      </c>
      <c r="G173">
        <v>7.4999999999999997E-2</v>
      </c>
      <c r="H173">
        <v>0.5</v>
      </c>
      <c r="I173">
        <v>1E-4</v>
      </c>
      <c r="J173" t="b">
        <v>1</v>
      </c>
      <c r="K173">
        <v>4</v>
      </c>
      <c r="L173">
        <v>1500</v>
      </c>
      <c r="M173">
        <v>0.01</v>
      </c>
      <c r="N173">
        <v>0.154</v>
      </c>
      <c r="O173" t="s">
        <v>197</v>
      </c>
      <c r="P173" t="s">
        <v>198</v>
      </c>
      <c r="Q173">
        <v>-1.3649694705674301E-4</v>
      </c>
      <c r="R173">
        <v>2.7870017069965103E-4</v>
      </c>
      <c r="S173">
        <v>4.6577716148027502E-4</v>
      </c>
      <c r="T173">
        <v>-2.49488456609245E-3</v>
      </c>
      <c r="U173">
        <v>4.0000164708102499</v>
      </c>
      <c r="V173" s="1">
        <v>9.9999999999994699E-15</v>
      </c>
      <c r="W173">
        <v>0.13899616929139699</v>
      </c>
      <c r="X173">
        <v>2.4999999999999898</v>
      </c>
      <c r="Y173">
        <v>6.1843155780331003</v>
      </c>
      <c r="Z173">
        <v>0.49999999939484402</v>
      </c>
      <c r="AA173">
        <v>11.337328734621201</v>
      </c>
      <c r="AB173" s="9">
        <f t="shared" si="26"/>
        <v>-0.33477443351928182</v>
      </c>
      <c r="AC173" s="9">
        <f t="shared" si="27"/>
        <v>-0.3351576308027493</v>
      </c>
      <c r="AD173" s="2">
        <f t="shared" si="28"/>
        <v>1.1446432137578455E-3</v>
      </c>
      <c r="AE173" s="8">
        <f t="shared" si="29"/>
        <v>4.8059759174245081E-4</v>
      </c>
      <c r="AF173" s="2">
        <f t="shared" si="30"/>
        <v>-1.2787157431615545E-4</v>
      </c>
      <c r="AG173" s="8">
        <f t="shared" si="31"/>
        <v>6.0846916605860626E-4</v>
      </c>
      <c r="AH173" s="7">
        <f t="shared" si="32"/>
        <v>-0.2101529238440312</v>
      </c>
      <c r="AI173">
        <f t="shared" si="33"/>
        <v>4</v>
      </c>
      <c r="AJ173" s="10">
        <f t="shared" si="34"/>
        <v>9.7355066569377001E-3</v>
      </c>
    </row>
    <row r="174" spans="1:36" hidden="1" x14ac:dyDescent="0.25">
      <c r="A174" t="b">
        <v>0</v>
      </c>
      <c r="B174">
        <v>1000</v>
      </c>
      <c r="C174">
        <v>9.7355066569377001E-3</v>
      </c>
      <c r="D174" t="s">
        <v>52</v>
      </c>
      <c r="E174" t="b">
        <v>1</v>
      </c>
      <c r="F174" t="s">
        <v>53</v>
      </c>
      <c r="G174">
        <v>7.4999999999999997E-2</v>
      </c>
      <c r="H174">
        <v>0.5</v>
      </c>
      <c r="I174">
        <v>1E-4</v>
      </c>
      <c r="J174" t="b">
        <v>1</v>
      </c>
      <c r="K174">
        <v>4</v>
      </c>
      <c r="L174">
        <v>1500</v>
      </c>
      <c r="M174">
        <v>0.01</v>
      </c>
      <c r="N174">
        <v>0.154</v>
      </c>
      <c r="O174" t="s">
        <v>197</v>
      </c>
      <c r="P174" t="s">
        <v>199</v>
      </c>
      <c r="Q174" s="1">
        <v>-1E-10</v>
      </c>
      <c r="R174" s="1">
        <v>3.58578598085703E-12</v>
      </c>
      <c r="S174" s="1">
        <v>6.4534531112375599E-18</v>
      </c>
      <c r="T174" s="1">
        <v>-1.8703340953810799E-16</v>
      </c>
      <c r="U174">
        <v>4.0004842597404098</v>
      </c>
      <c r="V174">
        <v>0</v>
      </c>
      <c r="W174">
        <v>6.8474549192497805E-2</v>
      </c>
      <c r="X174">
        <v>2</v>
      </c>
      <c r="Y174">
        <v>4.0005664685054797E-3</v>
      </c>
      <c r="Z174">
        <v>2.5000000000000001E-4</v>
      </c>
      <c r="AA174">
        <v>4.79335304660533E-3</v>
      </c>
      <c r="AB174" s="9">
        <f t="shared" si="26"/>
        <v>-1.8113694939189031</v>
      </c>
      <c r="AC174" s="9">
        <f t="shared" si="27"/>
        <v>-0.3351576308027493</v>
      </c>
      <c r="AD174" s="2">
        <f t="shared" si="28"/>
        <v>-0.81497003679926461</v>
      </c>
      <c r="AE174" s="8">
        <f t="shared" si="29"/>
        <v>0.97113750163357271</v>
      </c>
      <c r="AF174" s="2">
        <f t="shared" si="30"/>
        <v>0.9705290324675141</v>
      </c>
      <c r="AG174" s="8">
        <f t="shared" si="31"/>
        <v>6.0846916605860626E-4</v>
      </c>
      <c r="AH174" s="7">
        <f t="shared" si="32"/>
        <v>1595.034040515432</v>
      </c>
      <c r="AI174">
        <f t="shared" si="33"/>
        <v>4</v>
      </c>
      <c r="AJ174" s="10">
        <f t="shared" si="34"/>
        <v>9.7355066569377001E-3</v>
      </c>
    </row>
    <row r="175" spans="1:36" hidden="1" x14ac:dyDescent="0.25">
      <c r="A175" t="b">
        <v>0</v>
      </c>
      <c r="B175">
        <v>1000</v>
      </c>
      <c r="C175">
        <v>9.7355066569377001E-3</v>
      </c>
      <c r="D175" t="s">
        <v>52</v>
      </c>
      <c r="E175" t="b">
        <v>1</v>
      </c>
      <c r="F175" t="s">
        <v>53</v>
      </c>
      <c r="G175">
        <v>7.4999999999999997E-2</v>
      </c>
      <c r="H175">
        <v>0.5</v>
      </c>
      <c r="I175">
        <v>1E-4</v>
      </c>
      <c r="J175" t="b">
        <v>1</v>
      </c>
      <c r="K175">
        <v>4</v>
      </c>
      <c r="L175">
        <v>1500</v>
      </c>
      <c r="M175">
        <v>0.01</v>
      </c>
      <c r="N175">
        <v>0.154</v>
      </c>
      <c r="O175" t="s">
        <v>197</v>
      </c>
      <c r="P175" t="s">
        <v>200</v>
      </c>
      <c r="Q175" s="1">
        <v>-1.95155854684868E-5</v>
      </c>
      <c r="R175" s="1">
        <v>3.8422470021353699E-5</v>
      </c>
      <c r="S175" s="1">
        <v>6.6598013251617999E-5</v>
      </c>
      <c r="T175">
        <v>-3.5690356425437401E-4</v>
      </c>
      <c r="U175">
        <v>4.0004173473032401</v>
      </c>
      <c r="V175" s="1">
        <v>9.9999999999999905E-15</v>
      </c>
      <c r="W175">
        <v>0.13196028959303299</v>
      </c>
      <c r="X175">
        <v>2.4999999999999898</v>
      </c>
      <c r="Y175">
        <v>6.0104666206985602</v>
      </c>
      <c r="Z175">
        <v>0.499999999899569</v>
      </c>
      <c r="AA175">
        <v>10.914009615974299</v>
      </c>
      <c r="AB175" s="9">
        <f t="shared" si="26"/>
        <v>-0.33494201518626293</v>
      </c>
      <c r="AC175" s="9">
        <f t="shared" si="27"/>
        <v>-0.3351576308027493</v>
      </c>
      <c r="AD175" s="2">
        <f t="shared" si="28"/>
        <v>6.4374013026236021E-4</v>
      </c>
      <c r="AE175" s="8">
        <f t="shared" si="29"/>
        <v>5.3651497827965431E-4</v>
      </c>
      <c r="AF175" s="2">
        <f t="shared" si="30"/>
        <v>-7.1954187778951943E-5</v>
      </c>
      <c r="AG175" s="8">
        <f t="shared" si="31"/>
        <v>6.0846916605860626E-4</v>
      </c>
      <c r="AH175" s="7">
        <f t="shared" si="32"/>
        <v>-0.11825445197994058</v>
      </c>
      <c r="AI175">
        <f t="shared" si="33"/>
        <v>4</v>
      </c>
      <c r="AJ175" s="10">
        <f t="shared" si="34"/>
        <v>9.7355066569377001E-3</v>
      </c>
    </row>
    <row r="176" spans="1:36" hidden="1" x14ac:dyDescent="0.25">
      <c r="A176" t="b">
        <v>0</v>
      </c>
      <c r="B176">
        <v>1000</v>
      </c>
      <c r="C176">
        <v>9.7355066569377001E-3</v>
      </c>
      <c r="D176" t="s">
        <v>52</v>
      </c>
      <c r="E176" t="b">
        <v>1</v>
      </c>
      <c r="F176" t="s">
        <v>53</v>
      </c>
      <c r="G176">
        <v>7.4999999999999997E-2</v>
      </c>
      <c r="H176">
        <v>0.5</v>
      </c>
      <c r="I176">
        <v>1E-4</v>
      </c>
      <c r="J176" t="b">
        <v>1</v>
      </c>
      <c r="K176">
        <v>4</v>
      </c>
      <c r="L176">
        <v>1500</v>
      </c>
      <c r="M176">
        <v>0.01</v>
      </c>
      <c r="N176">
        <v>0.154</v>
      </c>
      <c r="O176" t="s">
        <v>197</v>
      </c>
      <c r="P176" t="s">
        <v>201</v>
      </c>
      <c r="Q176">
        <v>-1.5601258735624499E-4</v>
      </c>
      <c r="R176">
        <v>3.0016423320997901E-4</v>
      </c>
      <c r="S176">
        <v>5.3237498585677497E-4</v>
      </c>
      <c r="T176">
        <v>-2.8517691984482302E-3</v>
      </c>
      <c r="U176">
        <v>3.99994954627065</v>
      </c>
      <c r="V176" s="1">
        <v>9.9999999999994494E-15</v>
      </c>
      <c r="W176">
        <v>0.129833784145994</v>
      </c>
      <c r="X176">
        <v>2.4999999999999898</v>
      </c>
      <c r="Y176">
        <v>5.8696852759753897</v>
      </c>
      <c r="Z176">
        <v>0.49999999938740097</v>
      </c>
      <c r="AA176">
        <v>10.6688619434803</v>
      </c>
      <c r="AB176" s="9">
        <f t="shared" si="26"/>
        <v>-0.3347932935206786</v>
      </c>
      <c r="AC176" s="9">
        <f t="shared" si="27"/>
        <v>-0.3351576308027493</v>
      </c>
      <c r="AD176" s="2">
        <f t="shared" si="28"/>
        <v>1.0882454610703363E-3</v>
      </c>
      <c r="AE176" s="8">
        <f t="shared" si="29"/>
        <v>4.8689034262037231E-4</v>
      </c>
      <c r="AF176" s="2">
        <f t="shared" si="30"/>
        <v>-1.2157882343823395E-4</v>
      </c>
      <c r="AG176" s="8">
        <f t="shared" si="31"/>
        <v>6.0846916605860626E-4</v>
      </c>
      <c r="AH176" s="7">
        <f t="shared" si="32"/>
        <v>-0.19981098504262379</v>
      </c>
      <c r="AI176">
        <f t="shared" si="33"/>
        <v>4</v>
      </c>
      <c r="AJ176" s="10">
        <f t="shared" si="34"/>
        <v>9.7355066569377001E-3</v>
      </c>
    </row>
    <row r="177" spans="1:36" hidden="1" x14ac:dyDescent="0.25">
      <c r="A177" t="b">
        <v>0</v>
      </c>
      <c r="B177">
        <v>1000</v>
      </c>
      <c r="C177">
        <v>9.7355066569377001E-3</v>
      </c>
      <c r="D177" t="s">
        <v>52</v>
      </c>
      <c r="E177" t="b">
        <v>1</v>
      </c>
      <c r="F177" t="s">
        <v>53</v>
      </c>
      <c r="G177">
        <v>7.4999999999999997E-2</v>
      </c>
      <c r="H177">
        <v>0.5</v>
      </c>
      <c r="I177">
        <v>1E-4</v>
      </c>
      <c r="J177" t="b">
        <v>1</v>
      </c>
      <c r="K177">
        <v>4</v>
      </c>
      <c r="L177">
        <v>1500</v>
      </c>
      <c r="M177">
        <v>0.01</v>
      </c>
      <c r="N177">
        <v>0.154</v>
      </c>
      <c r="O177" t="s">
        <v>197</v>
      </c>
      <c r="P177" t="s">
        <v>202</v>
      </c>
      <c r="Q177">
        <v>-1.3649694705673501E-4</v>
      </c>
      <c r="R177">
        <v>2.8101781075702998E-4</v>
      </c>
      <c r="S177">
        <v>4.6577716148028E-4</v>
      </c>
      <c r="T177">
        <v>-2.4948845660926399E-3</v>
      </c>
      <c r="U177">
        <v>4.0000164708095802</v>
      </c>
      <c r="V177" s="1">
        <v>9.9999999999994699E-15</v>
      </c>
      <c r="W177">
        <v>0.13811599848081599</v>
      </c>
      <c r="X177">
        <v>2.4999999999999898</v>
      </c>
      <c r="Y177">
        <v>6.2636234734983001</v>
      </c>
      <c r="Z177">
        <v>0.49999999939482198</v>
      </c>
      <c r="AA177">
        <v>11.4194306197207</v>
      </c>
      <c r="AB177" s="9">
        <f t="shared" si="26"/>
        <v>-0.33477443351930375</v>
      </c>
      <c r="AC177" s="9">
        <f t="shared" si="27"/>
        <v>-0.3351576308027493</v>
      </c>
      <c r="AD177" s="2">
        <f t="shared" si="28"/>
        <v>1.1446432136923423E-3</v>
      </c>
      <c r="AE177" s="8">
        <f t="shared" si="29"/>
        <v>4.8059759174976055E-4</v>
      </c>
      <c r="AF177" s="2">
        <f t="shared" si="30"/>
        <v>-1.278715743088457E-4</v>
      </c>
      <c r="AG177" s="8">
        <f t="shared" si="31"/>
        <v>6.0846916605860626E-4</v>
      </c>
      <c r="AH177" s="7">
        <f t="shared" si="32"/>
        <v>-0.21015292383201786</v>
      </c>
      <c r="AI177">
        <f t="shared" si="33"/>
        <v>4</v>
      </c>
      <c r="AJ177" s="10">
        <f t="shared" si="34"/>
        <v>9.7355066569377001E-3</v>
      </c>
    </row>
    <row r="178" spans="1:36" hidden="1" x14ac:dyDescent="0.25">
      <c r="A178" t="b">
        <v>0</v>
      </c>
      <c r="B178">
        <v>1000</v>
      </c>
      <c r="C178">
        <v>9.7355066569377001E-3</v>
      </c>
      <c r="D178" t="s">
        <v>52</v>
      </c>
      <c r="E178" t="b">
        <v>1</v>
      </c>
      <c r="F178" t="s">
        <v>53</v>
      </c>
      <c r="G178">
        <v>7.4999999999999997E-2</v>
      </c>
      <c r="H178">
        <v>0.5</v>
      </c>
      <c r="I178">
        <v>1E-4</v>
      </c>
      <c r="J178" t="b">
        <v>1</v>
      </c>
      <c r="K178">
        <v>4</v>
      </c>
      <c r="L178">
        <v>1500</v>
      </c>
      <c r="M178">
        <v>0.01</v>
      </c>
      <c r="N178">
        <v>0.154</v>
      </c>
      <c r="O178" t="s">
        <v>197</v>
      </c>
      <c r="P178" t="s">
        <v>203</v>
      </c>
      <c r="Q178">
        <v>-1.5601258735625399E-4</v>
      </c>
      <c r="R178">
        <v>3.0332176301203399E-4</v>
      </c>
      <c r="S178">
        <v>5.3237498585677996E-4</v>
      </c>
      <c r="T178">
        <v>-2.8517691984483598E-3</v>
      </c>
      <c r="U178">
        <v>3.9999495462709702</v>
      </c>
      <c r="V178" s="1">
        <v>9.9999999999994494E-15</v>
      </c>
      <c r="W178">
        <v>0.129516453949611</v>
      </c>
      <c r="X178">
        <v>2.4999999999999898</v>
      </c>
      <c r="Y178">
        <v>5.9522425554892102</v>
      </c>
      <c r="Z178">
        <v>0.49999999938740902</v>
      </c>
      <c r="AA178">
        <v>10.7715723912483</v>
      </c>
      <c r="AB178" s="9">
        <f t="shared" si="26"/>
        <v>-0.3347932935206907</v>
      </c>
      <c r="AC178" s="9">
        <f t="shared" si="27"/>
        <v>-0.3351576308027493</v>
      </c>
      <c r="AD178" s="2">
        <f t="shared" si="28"/>
        <v>1.088245461034143E-3</v>
      </c>
      <c r="AE178" s="8">
        <f t="shared" si="29"/>
        <v>4.8689034262439768E-4</v>
      </c>
      <c r="AF178" s="2">
        <f t="shared" si="30"/>
        <v>-1.2157882343420858E-4</v>
      </c>
      <c r="AG178" s="8">
        <f t="shared" si="31"/>
        <v>6.0846916605860626E-4</v>
      </c>
      <c r="AH178" s="7">
        <f t="shared" si="32"/>
        <v>-0.19981098503600822</v>
      </c>
      <c r="AI178">
        <f t="shared" si="33"/>
        <v>4</v>
      </c>
      <c r="AJ178" s="10">
        <f t="shared" si="34"/>
        <v>9.7355066569377001E-3</v>
      </c>
    </row>
    <row r="179" spans="1:36" hidden="1" x14ac:dyDescent="0.25">
      <c r="A179" t="b">
        <v>0</v>
      </c>
      <c r="B179">
        <v>1000</v>
      </c>
      <c r="C179">
        <v>9.7355066569377001E-3</v>
      </c>
      <c r="D179" t="s">
        <v>52</v>
      </c>
      <c r="E179" t="b">
        <v>1</v>
      </c>
      <c r="F179" t="s">
        <v>53</v>
      </c>
      <c r="G179">
        <v>7.4999999999999997E-2</v>
      </c>
      <c r="H179">
        <v>0.5</v>
      </c>
      <c r="I179">
        <v>1E-4</v>
      </c>
      <c r="J179" t="b">
        <v>1</v>
      </c>
      <c r="K179">
        <v>4</v>
      </c>
      <c r="L179">
        <v>1500</v>
      </c>
      <c r="M179">
        <v>0.01</v>
      </c>
      <c r="N179">
        <v>0.154</v>
      </c>
      <c r="O179" t="s">
        <v>197</v>
      </c>
      <c r="P179" t="s">
        <v>204</v>
      </c>
      <c r="Q179">
        <v>-2.92509973342281E-4</v>
      </c>
      <c r="R179">
        <v>6.1544188655743304E-4</v>
      </c>
      <c r="S179">
        <v>9.9815063819650904E-4</v>
      </c>
      <c r="T179">
        <v>-5.3465024990397604E-3</v>
      </c>
      <c r="U179">
        <v>3.9994816606000598</v>
      </c>
      <c r="V179" s="1">
        <v>9.9999999999999905E-15</v>
      </c>
      <c r="W179">
        <v>0.14157789364270701</v>
      </c>
      <c r="X179">
        <v>2.4999999999999898</v>
      </c>
      <c r="Y179">
        <v>6.3864692848300599</v>
      </c>
      <c r="Z179">
        <v>0.499999999999999</v>
      </c>
      <c r="AA179">
        <v>11.675163362306799</v>
      </c>
      <c r="AB179" s="9">
        <f t="shared" si="26"/>
        <v>-0.33477552726284848</v>
      </c>
      <c r="AC179" s="9">
        <f t="shared" si="27"/>
        <v>-0.3351576308027493</v>
      </c>
      <c r="AD179" s="2">
        <f t="shared" si="28"/>
        <v>1.1413723787545571E-3</v>
      </c>
      <c r="AE179" s="8">
        <f t="shared" si="29"/>
        <v>4.8096252358232174E-4</v>
      </c>
      <c r="AF179" s="2">
        <f t="shared" si="30"/>
        <v>-1.2750664247628452E-4</v>
      </c>
      <c r="AG179" s="8">
        <f t="shared" si="31"/>
        <v>6.0846916605860626E-4</v>
      </c>
      <c r="AH179" s="7">
        <f t="shared" si="32"/>
        <v>-0.20955316980516214</v>
      </c>
      <c r="AI179">
        <f t="shared" si="33"/>
        <v>4</v>
      </c>
      <c r="AJ179" s="10">
        <f t="shared" si="34"/>
        <v>9.7355066569377001E-3</v>
      </c>
    </row>
    <row r="180" spans="1:36" hidden="1" x14ac:dyDescent="0.25">
      <c r="A180" t="b">
        <v>0</v>
      </c>
      <c r="B180">
        <v>1000</v>
      </c>
      <c r="C180">
        <v>9.7355066569377001E-3</v>
      </c>
      <c r="D180" t="s">
        <v>52</v>
      </c>
      <c r="E180" t="b">
        <v>1</v>
      </c>
      <c r="F180" t="s">
        <v>53</v>
      </c>
      <c r="G180">
        <v>7.4999999999999997E-2</v>
      </c>
      <c r="H180">
        <v>0.5</v>
      </c>
      <c r="I180">
        <v>1E-4</v>
      </c>
      <c r="J180" t="b">
        <v>1</v>
      </c>
      <c r="K180">
        <v>4</v>
      </c>
      <c r="L180">
        <v>1500</v>
      </c>
      <c r="M180">
        <v>0.01</v>
      </c>
      <c r="N180">
        <v>0.154</v>
      </c>
      <c r="O180" t="s">
        <v>198</v>
      </c>
      <c r="P180" t="s">
        <v>201</v>
      </c>
      <c r="Q180" s="1">
        <v>-1.9515640325783301E-5</v>
      </c>
      <c r="R180" s="1">
        <v>3.7830344621321702E-5</v>
      </c>
      <c r="S180" s="1">
        <v>6.6597824376500304E-5</v>
      </c>
      <c r="T180">
        <v>-3.5688463235582397E-4</v>
      </c>
      <c r="U180">
        <v>3.9994817573409698</v>
      </c>
      <c r="V180" s="1">
        <v>9.9999999999999905E-15</v>
      </c>
      <c r="W180">
        <v>0.13081886511875099</v>
      </c>
      <c r="X180">
        <v>2.4999999999999898</v>
      </c>
      <c r="Y180">
        <v>5.9104458308093504</v>
      </c>
      <c r="Z180">
        <v>0.49999999989945898</v>
      </c>
      <c r="AA180">
        <v>10.7500237856311</v>
      </c>
      <c r="AB180" s="9">
        <f t="shared" si="26"/>
        <v>-0.33492519809865801</v>
      </c>
      <c r="AC180" s="9">
        <f t="shared" si="27"/>
        <v>-0.3351576308027493</v>
      </c>
      <c r="AD180" s="2">
        <f t="shared" si="28"/>
        <v>6.9398392659247854E-4</v>
      </c>
      <c r="AE180" s="8">
        <f t="shared" si="29"/>
        <v>5.309032971924164E-4</v>
      </c>
      <c r="AF180" s="2">
        <f t="shared" si="30"/>
        <v>-7.7565868866189859E-5</v>
      </c>
      <c r="AG180" s="8">
        <f t="shared" si="31"/>
        <v>6.0846916605860626E-4</v>
      </c>
      <c r="AH180" s="7">
        <f t="shared" si="32"/>
        <v>-0.12747707393067623</v>
      </c>
      <c r="AI180">
        <f t="shared" si="33"/>
        <v>4</v>
      </c>
      <c r="AJ180" s="10">
        <f t="shared" si="34"/>
        <v>9.7355066569377001E-3</v>
      </c>
    </row>
    <row r="181" spans="1:36" hidden="1" x14ac:dyDescent="0.25">
      <c r="A181" t="b">
        <v>0</v>
      </c>
      <c r="B181">
        <v>1000</v>
      </c>
      <c r="C181">
        <v>9.7355066569377001E-3</v>
      </c>
      <c r="D181" t="s">
        <v>52</v>
      </c>
      <c r="E181" t="b">
        <v>1</v>
      </c>
      <c r="F181" t="s">
        <v>53</v>
      </c>
      <c r="G181">
        <v>7.4999999999999997E-2</v>
      </c>
      <c r="H181">
        <v>0.5</v>
      </c>
      <c r="I181">
        <v>1E-4</v>
      </c>
      <c r="J181" t="b">
        <v>1</v>
      </c>
      <c r="K181">
        <v>4</v>
      </c>
      <c r="L181">
        <v>1500</v>
      </c>
      <c r="M181">
        <v>0.01</v>
      </c>
      <c r="N181">
        <v>0.154</v>
      </c>
      <c r="O181" t="s">
        <v>198</v>
      </c>
      <c r="P181" t="s">
        <v>202</v>
      </c>
      <c r="Q181" s="1">
        <v>-1E-10</v>
      </c>
      <c r="R181" s="1">
        <v>3.5857859878446499E-12</v>
      </c>
      <c r="S181" s="1">
        <v>7.5844834864060495E-18</v>
      </c>
      <c r="T181" s="1">
        <v>-2.7615386569986902E-16</v>
      </c>
      <c r="U181">
        <v>3.9995486818799</v>
      </c>
      <c r="V181">
        <v>0</v>
      </c>
      <c r="W181">
        <v>6.8474549325934303E-2</v>
      </c>
      <c r="X181">
        <v>2</v>
      </c>
      <c r="Y181">
        <v>4.0005664763013999E-3</v>
      </c>
      <c r="Z181">
        <v>2.5000000000000001E-4</v>
      </c>
      <c r="AA181">
        <v>4.7933530559461498E-3</v>
      </c>
      <c r="AB181" s="9">
        <f t="shared" si="26"/>
        <v>-2.2756482543836851</v>
      </c>
      <c r="AC181" s="9">
        <f t="shared" si="27"/>
        <v>-0.3351576308027493</v>
      </c>
      <c r="AD181" s="2">
        <f t="shared" si="28"/>
        <v>-0.85271993149331415</v>
      </c>
      <c r="AE181" s="8">
        <f t="shared" si="29"/>
        <v>1.8363830214747852</v>
      </c>
      <c r="AF181" s="2">
        <f t="shared" si="30"/>
        <v>1.8357745523087265</v>
      </c>
      <c r="AG181" s="8">
        <f t="shared" si="31"/>
        <v>6.0846916605860626E-4</v>
      </c>
      <c r="AH181" s="7">
        <f t="shared" si="32"/>
        <v>3017.037928478876</v>
      </c>
      <c r="AI181">
        <f t="shared" si="33"/>
        <v>4</v>
      </c>
      <c r="AJ181" s="10">
        <f t="shared" si="34"/>
        <v>9.7355066569377001E-3</v>
      </c>
    </row>
    <row r="182" spans="1:36" hidden="1" x14ac:dyDescent="0.25">
      <c r="A182" t="b">
        <v>0</v>
      </c>
      <c r="B182">
        <v>1000</v>
      </c>
      <c r="C182">
        <v>9.7355066569377001E-3</v>
      </c>
      <c r="D182" t="s">
        <v>52</v>
      </c>
      <c r="E182" t="b">
        <v>1</v>
      </c>
      <c r="F182" t="s">
        <v>53</v>
      </c>
      <c r="G182">
        <v>7.4999999999999997E-2</v>
      </c>
      <c r="H182">
        <v>0.5</v>
      </c>
      <c r="I182">
        <v>1E-4</v>
      </c>
      <c r="J182" t="b">
        <v>1</v>
      </c>
      <c r="K182">
        <v>4</v>
      </c>
      <c r="L182">
        <v>1500</v>
      </c>
      <c r="M182">
        <v>0.01</v>
      </c>
      <c r="N182">
        <v>0.154</v>
      </c>
      <c r="O182" t="s">
        <v>198</v>
      </c>
      <c r="P182" t="s">
        <v>203</v>
      </c>
      <c r="Q182" s="1">
        <v>-1.9515640325779401E-5</v>
      </c>
      <c r="R182" s="1">
        <v>3.76240805856545E-5</v>
      </c>
      <c r="S182" s="1">
        <v>6.6597824376502595E-5</v>
      </c>
      <c r="T182">
        <v>-3.5688463235592697E-4</v>
      </c>
      <c r="U182">
        <v>3.9994817573412802</v>
      </c>
      <c r="V182" s="1">
        <v>9.9999999999999905E-15</v>
      </c>
      <c r="W182">
        <v>0.12935339548994501</v>
      </c>
      <c r="X182">
        <v>2.4999999999999898</v>
      </c>
      <c r="Y182">
        <v>5.8908579036170599</v>
      </c>
      <c r="Z182">
        <v>0.499999999899435</v>
      </c>
      <c r="AA182">
        <v>10.6868625568612</v>
      </c>
      <c r="AB182" s="9">
        <f t="shared" si="26"/>
        <v>-0.33492519809874316</v>
      </c>
      <c r="AC182" s="9">
        <f t="shared" si="27"/>
        <v>-0.3351576308027493</v>
      </c>
      <c r="AD182" s="2">
        <f t="shared" si="28"/>
        <v>6.9398392633801542E-4</v>
      </c>
      <c r="AE182" s="8">
        <f t="shared" si="29"/>
        <v>5.3090329722084364E-4</v>
      </c>
      <c r="AF182" s="2">
        <f t="shared" si="30"/>
        <v>-7.756586883776262E-5</v>
      </c>
      <c r="AG182" s="8">
        <f t="shared" si="31"/>
        <v>6.0846916605860626E-4</v>
      </c>
      <c r="AH182" s="7">
        <f t="shared" si="32"/>
        <v>-0.12747707388395696</v>
      </c>
      <c r="AI182">
        <f t="shared" si="33"/>
        <v>4</v>
      </c>
      <c r="AJ182" s="10">
        <f t="shared" si="34"/>
        <v>9.7355066569377001E-3</v>
      </c>
    </row>
    <row r="183" spans="1:36" hidden="1" x14ac:dyDescent="0.25">
      <c r="A183" t="b">
        <v>0</v>
      </c>
      <c r="B183">
        <v>1000</v>
      </c>
      <c r="C183">
        <v>9.7355066569377001E-3</v>
      </c>
      <c r="D183" t="s">
        <v>52</v>
      </c>
      <c r="E183" t="b">
        <v>1</v>
      </c>
      <c r="F183" t="s">
        <v>53</v>
      </c>
      <c r="G183">
        <v>7.4999999999999997E-2</v>
      </c>
      <c r="H183">
        <v>0.5</v>
      </c>
      <c r="I183">
        <v>1E-4</v>
      </c>
      <c r="J183" t="b">
        <v>1</v>
      </c>
      <c r="K183">
        <v>4</v>
      </c>
      <c r="L183">
        <v>1500</v>
      </c>
      <c r="M183">
        <v>0.01</v>
      </c>
      <c r="N183">
        <v>0.154</v>
      </c>
      <c r="O183" t="s">
        <v>198</v>
      </c>
      <c r="P183" t="s">
        <v>204</v>
      </c>
      <c r="Q183">
        <v>-1.5601302565439E-4</v>
      </c>
      <c r="R183">
        <v>3.0280236642357098E-4</v>
      </c>
      <c r="S183">
        <v>5.3237347671623305E-4</v>
      </c>
      <c r="T183">
        <v>-2.8516179329472202E-3</v>
      </c>
      <c r="U183">
        <v>3.9990138716703698</v>
      </c>
      <c r="V183" s="1">
        <v>9.9999999999994494E-15</v>
      </c>
      <c r="W183">
        <v>0.13057044217420899</v>
      </c>
      <c r="X183">
        <v>2.4999999999999898</v>
      </c>
      <c r="Y183">
        <v>5.9230233096370801</v>
      </c>
      <c r="Z183">
        <v>0.49999999938662998</v>
      </c>
      <c r="AA183">
        <v>10.761003488208001</v>
      </c>
      <c r="AB183" s="9">
        <f t="shared" si="26"/>
        <v>-0.3347764841864948</v>
      </c>
      <c r="AC183" s="9">
        <f t="shared" si="27"/>
        <v>-0.3351576308027493</v>
      </c>
      <c r="AD183" s="2">
        <f t="shared" si="28"/>
        <v>1.1385107206101086E-3</v>
      </c>
      <c r="AE183" s="8">
        <f t="shared" si="29"/>
        <v>4.8128180513638228E-4</v>
      </c>
      <c r="AF183" s="2">
        <f t="shared" si="30"/>
        <v>-1.2718736092222398E-4</v>
      </c>
      <c r="AG183" s="8">
        <f t="shared" si="31"/>
        <v>6.0846916605860626E-4</v>
      </c>
      <c r="AH183" s="7">
        <f t="shared" si="32"/>
        <v>-0.20902844057996786</v>
      </c>
      <c r="AI183">
        <f t="shared" si="33"/>
        <v>4</v>
      </c>
      <c r="AJ183" s="10">
        <f t="shared" si="34"/>
        <v>9.7355066569377001E-3</v>
      </c>
    </row>
    <row r="184" spans="1:36" hidden="1" x14ac:dyDescent="0.25">
      <c r="A184" t="b">
        <v>0</v>
      </c>
      <c r="B184">
        <v>1000</v>
      </c>
      <c r="C184">
        <v>9.7355066569377001E-3</v>
      </c>
      <c r="D184" t="s">
        <v>52</v>
      </c>
      <c r="E184" t="b">
        <v>1</v>
      </c>
      <c r="F184" t="s">
        <v>53</v>
      </c>
      <c r="G184">
        <v>7.4999999999999997E-2</v>
      </c>
      <c r="H184">
        <v>0.5</v>
      </c>
      <c r="I184">
        <v>1E-4</v>
      </c>
      <c r="J184" t="b">
        <v>1</v>
      </c>
      <c r="K184">
        <v>4</v>
      </c>
      <c r="L184">
        <v>1500</v>
      </c>
      <c r="M184">
        <v>0.01</v>
      </c>
      <c r="N184">
        <v>0.154</v>
      </c>
      <c r="O184" t="s">
        <v>199</v>
      </c>
      <c r="P184" t="s">
        <v>200</v>
      </c>
      <c r="Q184" s="1">
        <v>-1.9515585468487E-5</v>
      </c>
      <c r="R184" s="1">
        <v>3.8702534004902102E-5</v>
      </c>
      <c r="S184" s="1">
        <v>6.6598013251612496E-5</v>
      </c>
      <c r="T184">
        <v>-3.5690356425420499E-4</v>
      </c>
      <c r="U184">
        <v>4.0004173473037197</v>
      </c>
      <c r="V184" s="1">
        <v>9.9999999999999905E-15</v>
      </c>
      <c r="W184">
        <v>0.133031309240599</v>
      </c>
      <c r="X184">
        <v>2.4999999999999898</v>
      </c>
      <c r="Y184">
        <v>6.0497091645897898</v>
      </c>
      <c r="Z184">
        <v>0.49999999989958199</v>
      </c>
      <c r="AA184">
        <v>10.9949644720463</v>
      </c>
      <c r="AB184" s="9">
        <f t="shared" si="26"/>
        <v>-0.33494201518613198</v>
      </c>
      <c r="AC184" s="9">
        <f t="shared" si="27"/>
        <v>-0.3351576308027493</v>
      </c>
      <c r="AD184" s="2">
        <f t="shared" si="28"/>
        <v>6.437401306536028E-4</v>
      </c>
      <c r="AE184" s="8">
        <f t="shared" si="29"/>
        <v>5.3651497823596335E-4</v>
      </c>
      <c r="AF184" s="2">
        <f t="shared" si="30"/>
        <v>-7.1954187822642905E-5</v>
      </c>
      <c r="AG184" s="8">
        <f t="shared" si="31"/>
        <v>6.0846916605860626E-4</v>
      </c>
      <c r="AH184" s="7">
        <f t="shared" si="32"/>
        <v>-0.1182544520517453</v>
      </c>
      <c r="AI184">
        <f t="shared" si="33"/>
        <v>4</v>
      </c>
      <c r="AJ184" s="10">
        <f t="shared" si="34"/>
        <v>9.7355066569377001E-3</v>
      </c>
    </row>
    <row r="185" spans="1:36" hidden="1" x14ac:dyDescent="0.25">
      <c r="A185" t="b">
        <v>0</v>
      </c>
      <c r="B185">
        <v>1000</v>
      </c>
      <c r="C185">
        <v>9.7355066569377001E-3</v>
      </c>
      <c r="D185" t="s">
        <v>52</v>
      </c>
      <c r="E185" t="b">
        <v>1</v>
      </c>
      <c r="F185" t="s">
        <v>53</v>
      </c>
      <c r="G185">
        <v>7.4999999999999997E-2</v>
      </c>
      <c r="H185">
        <v>0.5</v>
      </c>
      <c r="I185">
        <v>1E-4</v>
      </c>
      <c r="J185" t="b">
        <v>1</v>
      </c>
      <c r="K185">
        <v>4</v>
      </c>
      <c r="L185">
        <v>1500</v>
      </c>
      <c r="M185">
        <v>0.01</v>
      </c>
      <c r="N185">
        <v>0.154</v>
      </c>
      <c r="O185" t="s">
        <v>199</v>
      </c>
      <c r="P185" t="s">
        <v>201</v>
      </c>
      <c r="Q185">
        <v>-1.5601258735623499E-4</v>
      </c>
      <c r="R185">
        <v>3.0051947736546499E-4</v>
      </c>
      <c r="S185">
        <v>5.32374985856769E-4</v>
      </c>
      <c r="T185">
        <v>-2.8517691984480298E-3</v>
      </c>
      <c r="U185">
        <v>3.9999495462711301</v>
      </c>
      <c r="V185" s="1">
        <v>9.9999999999994494E-15</v>
      </c>
      <c r="W185">
        <v>0.12962059040639501</v>
      </c>
      <c r="X185">
        <v>2.4999999999999898</v>
      </c>
      <c r="Y185">
        <v>5.8802434423279601</v>
      </c>
      <c r="Z185">
        <v>0.49999999938738798</v>
      </c>
      <c r="AA185">
        <v>10.6799698710161</v>
      </c>
      <c r="AB185" s="9">
        <f t="shared" si="26"/>
        <v>-0.33479329352065884</v>
      </c>
      <c r="AC185" s="9">
        <f t="shared" si="27"/>
        <v>-0.3351576308027493</v>
      </c>
      <c r="AD185" s="2">
        <f t="shared" si="28"/>
        <v>1.0882454611294001E-3</v>
      </c>
      <c r="AE185" s="8">
        <f t="shared" si="29"/>
        <v>4.8689034261377862E-4</v>
      </c>
      <c r="AF185" s="2">
        <f t="shared" si="30"/>
        <v>-1.2157882344482763E-4</v>
      </c>
      <c r="AG185" s="8">
        <f t="shared" si="31"/>
        <v>6.0846916605860626E-4</v>
      </c>
      <c r="AH185" s="7">
        <f t="shared" si="32"/>
        <v>-0.19981098505346032</v>
      </c>
      <c r="AI185">
        <f t="shared" si="33"/>
        <v>4</v>
      </c>
      <c r="AJ185" s="10">
        <f t="shared" si="34"/>
        <v>9.7355066569377001E-3</v>
      </c>
    </row>
    <row r="186" spans="1:36" hidden="1" x14ac:dyDescent="0.25">
      <c r="A186" t="b">
        <v>0</v>
      </c>
      <c r="B186">
        <v>1000</v>
      </c>
      <c r="C186">
        <v>9.7355066569377001E-3</v>
      </c>
      <c r="D186" t="s">
        <v>52</v>
      </c>
      <c r="E186" t="b">
        <v>1</v>
      </c>
      <c r="F186" t="s">
        <v>53</v>
      </c>
      <c r="G186">
        <v>7.4999999999999997E-2</v>
      </c>
      <c r="H186">
        <v>0.5</v>
      </c>
      <c r="I186">
        <v>1E-4</v>
      </c>
      <c r="J186" t="b">
        <v>1</v>
      </c>
      <c r="K186">
        <v>4</v>
      </c>
      <c r="L186">
        <v>1500</v>
      </c>
      <c r="M186">
        <v>0.01</v>
      </c>
      <c r="N186">
        <v>0.154</v>
      </c>
      <c r="O186" t="s">
        <v>199</v>
      </c>
      <c r="P186" t="s">
        <v>202</v>
      </c>
      <c r="Q186">
        <v>-1.3649694705674699E-4</v>
      </c>
      <c r="R186">
        <v>2.7509605231594298E-4</v>
      </c>
      <c r="S186">
        <v>4.6577716148027502E-4</v>
      </c>
      <c r="T186">
        <v>-2.4948845660925298E-3</v>
      </c>
      <c r="U186">
        <v>4.0000164708100598</v>
      </c>
      <c r="V186" s="1">
        <v>9.9999999999994699E-15</v>
      </c>
      <c r="W186">
        <v>0.13519353211712601</v>
      </c>
      <c r="X186">
        <v>2.4999999999999898</v>
      </c>
      <c r="Y186">
        <v>6.1416963992605398</v>
      </c>
      <c r="Z186">
        <v>0.49999999939485501</v>
      </c>
      <c r="AA186">
        <v>11.175673462792499</v>
      </c>
      <c r="AB186" s="9">
        <f t="shared" si="26"/>
        <v>-0.33477443351929254</v>
      </c>
      <c r="AC186" s="9">
        <f t="shared" si="27"/>
        <v>-0.3351576308027493</v>
      </c>
      <c r="AD186" s="2">
        <f t="shared" si="28"/>
        <v>1.1446432137258711E-3</v>
      </c>
      <c r="AE186" s="8">
        <f t="shared" si="29"/>
        <v>4.8059759174600694E-4</v>
      </c>
      <c r="AF186" s="2">
        <f t="shared" si="30"/>
        <v>-1.2787157431259932E-4</v>
      </c>
      <c r="AG186" s="8">
        <f t="shared" si="31"/>
        <v>6.0846916605860626E-4</v>
      </c>
      <c r="AH186" s="7">
        <f t="shared" si="32"/>
        <v>-0.21015292383818679</v>
      </c>
      <c r="AI186">
        <f t="shared" si="33"/>
        <v>4</v>
      </c>
      <c r="AJ186" s="10">
        <f t="shared" si="34"/>
        <v>9.7355066569377001E-3</v>
      </c>
    </row>
    <row r="187" spans="1:36" hidden="1" x14ac:dyDescent="0.25">
      <c r="A187" t="b">
        <v>0</v>
      </c>
      <c r="B187">
        <v>1000</v>
      </c>
      <c r="C187">
        <v>9.7355066569377001E-3</v>
      </c>
      <c r="D187" t="s">
        <v>52</v>
      </c>
      <c r="E187" t="b">
        <v>1</v>
      </c>
      <c r="F187" t="s">
        <v>53</v>
      </c>
      <c r="G187">
        <v>7.4999999999999997E-2</v>
      </c>
      <c r="H187">
        <v>0.5</v>
      </c>
      <c r="I187">
        <v>1E-4</v>
      </c>
      <c r="J187" t="b">
        <v>1</v>
      </c>
      <c r="K187">
        <v>4</v>
      </c>
      <c r="L187">
        <v>1500</v>
      </c>
      <c r="M187">
        <v>0.01</v>
      </c>
      <c r="N187">
        <v>0.154</v>
      </c>
      <c r="O187" t="s">
        <v>199</v>
      </c>
      <c r="P187" t="s">
        <v>203</v>
      </c>
      <c r="Q187">
        <v>-1.5601258735624399E-4</v>
      </c>
      <c r="R187">
        <v>3.0401320062818199E-4</v>
      </c>
      <c r="S187">
        <v>5.3237498585677399E-4</v>
      </c>
      <c r="T187">
        <v>-2.8517691984482202E-3</v>
      </c>
      <c r="U187">
        <v>3.9999495462714401</v>
      </c>
      <c r="V187" s="1">
        <v>9.9999999999994494E-15</v>
      </c>
      <c r="W187">
        <v>0.130884801292248</v>
      </c>
      <c r="X187">
        <v>2.4999999999999898</v>
      </c>
      <c r="Y187">
        <v>5.9476552805077301</v>
      </c>
      <c r="Z187">
        <v>0.49999999938742401</v>
      </c>
      <c r="AA187">
        <v>10.8036818058132</v>
      </c>
      <c r="AB187" s="9">
        <f t="shared" si="26"/>
        <v>-0.33479329352067805</v>
      </c>
      <c r="AC187" s="9">
        <f t="shared" si="27"/>
        <v>-0.3351576308027493</v>
      </c>
      <c r="AD187" s="2">
        <f t="shared" si="28"/>
        <v>1.0882454610721126E-3</v>
      </c>
      <c r="AE187" s="8">
        <f t="shared" si="29"/>
        <v>4.8689034262017477E-4</v>
      </c>
      <c r="AF187" s="2">
        <f t="shared" si="30"/>
        <v>-1.2157882343843149E-4</v>
      </c>
      <c r="AG187" s="8">
        <f t="shared" si="31"/>
        <v>6.0846916605860626E-4</v>
      </c>
      <c r="AH187" s="7">
        <f t="shared" si="32"/>
        <v>-0.19981098504294845</v>
      </c>
      <c r="AI187">
        <f t="shared" si="33"/>
        <v>4</v>
      </c>
      <c r="AJ187" s="10">
        <f t="shared" si="34"/>
        <v>9.7355066569377001E-3</v>
      </c>
    </row>
    <row r="188" spans="1:36" hidden="1" x14ac:dyDescent="0.25">
      <c r="A188" t="b">
        <v>0</v>
      </c>
      <c r="B188">
        <v>1000</v>
      </c>
      <c r="C188">
        <v>9.7355066569377001E-3</v>
      </c>
      <c r="D188" t="s">
        <v>52</v>
      </c>
      <c r="E188" t="b">
        <v>1</v>
      </c>
      <c r="F188" t="s">
        <v>53</v>
      </c>
      <c r="G188">
        <v>7.4999999999999997E-2</v>
      </c>
      <c r="H188">
        <v>0.5</v>
      </c>
      <c r="I188">
        <v>1E-4</v>
      </c>
      <c r="J188" t="b">
        <v>1</v>
      </c>
      <c r="K188">
        <v>4</v>
      </c>
      <c r="L188">
        <v>1500</v>
      </c>
      <c r="M188">
        <v>0.01</v>
      </c>
      <c r="N188">
        <v>0.154</v>
      </c>
      <c r="O188" t="s">
        <v>199</v>
      </c>
      <c r="P188" t="s">
        <v>204</v>
      </c>
      <c r="Q188">
        <v>-2.9250997334228003E-4</v>
      </c>
      <c r="R188">
        <v>6.2371352454137303E-4</v>
      </c>
      <c r="S188">
        <v>9.9815063819650406E-4</v>
      </c>
      <c r="T188">
        <v>-5.3465024990395904E-3</v>
      </c>
      <c r="U188">
        <v>3.9994816606005301</v>
      </c>
      <c r="V188" s="1">
        <v>9.9999999999999905E-15</v>
      </c>
      <c r="W188">
        <v>0.14433227283241401</v>
      </c>
      <c r="X188">
        <v>2.4999999999999898</v>
      </c>
      <c r="Y188">
        <v>6.4539989499074002</v>
      </c>
      <c r="Z188">
        <v>0.499999999999999</v>
      </c>
      <c r="AA188">
        <v>11.838948354818699</v>
      </c>
      <c r="AB188" s="9">
        <f t="shared" si="26"/>
        <v>-0.33477552726283949</v>
      </c>
      <c r="AC188" s="9">
        <f t="shared" si="27"/>
        <v>-0.3351576308027493</v>
      </c>
      <c r="AD188" s="2">
        <f t="shared" si="28"/>
        <v>1.1413723787814245E-3</v>
      </c>
      <c r="AE188" s="8">
        <f t="shared" si="29"/>
        <v>4.8096252357933362E-4</v>
      </c>
      <c r="AF188" s="2">
        <f t="shared" si="30"/>
        <v>-1.2750664247927263E-4</v>
      </c>
      <c r="AG188" s="8">
        <f t="shared" si="31"/>
        <v>6.0846916605860626E-4</v>
      </c>
      <c r="AH188" s="7">
        <f t="shared" si="32"/>
        <v>-0.20955316981007302</v>
      </c>
      <c r="AI188">
        <f t="shared" si="33"/>
        <v>4</v>
      </c>
      <c r="AJ188" s="10">
        <f t="shared" si="34"/>
        <v>9.7355066569377001E-3</v>
      </c>
    </row>
    <row r="189" spans="1:36" hidden="1" x14ac:dyDescent="0.25">
      <c r="A189" t="b">
        <v>0</v>
      </c>
      <c r="B189">
        <v>1000</v>
      </c>
      <c r="C189">
        <v>9.7355066569377001E-3</v>
      </c>
      <c r="D189" t="s">
        <v>52</v>
      </c>
      <c r="E189" t="b">
        <v>1</v>
      </c>
      <c r="F189" t="s">
        <v>53</v>
      </c>
      <c r="G189">
        <v>7.4999999999999997E-2</v>
      </c>
      <c r="H189">
        <v>0.5</v>
      </c>
      <c r="I189">
        <v>1E-4</v>
      </c>
      <c r="J189" t="b">
        <v>1</v>
      </c>
      <c r="K189">
        <v>4</v>
      </c>
      <c r="L189">
        <v>1500</v>
      </c>
      <c r="M189">
        <v>0.01</v>
      </c>
      <c r="N189">
        <v>0.154</v>
      </c>
      <c r="O189" t="s">
        <v>200</v>
      </c>
      <c r="P189" t="s">
        <v>201</v>
      </c>
      <c r="Q189">
        <v>-1.3649700191402901E-4</v>
      </c>
      <c r="R189">
        <v>2.7751627967528299E-4</v>
      </c>
      <c r="S189">
        <v>4.6577697260515998E-4</v>
      </c>
      <c r="T189">
        <v>-2.4948656341939601E-3</v>
      </c>
      <c r="U189">
        <v>3.9998826338339599</v>
      </c>
      <c r="V189" s="1">
        <v>9.9999999999994699E-15</v>
      </c>
      <c r="W189">
        <v>0.13794443731110301</v>
      </c>
      <c r="X189">
        <v>2.4999999999999898</v>
      </c>
      <c r="Y189">
        <v>6.16698240808104</v>
      </c>
      <c r="Z189">
        <v>0.499999999394733</v>
      </c>
      <c r="AA189">
        <v>11.285398702112101</v>
      </c>
      <c r="AB189" s="9">
        <f t="shared" si="26"/>
        <v>-0.33477202890685603</v>
      </c>
      <c r="AC189" s="9">
        <f t="shared" si="27"/>
        <v>-0.3351576308027493</v>
      </c>
      <c r="AD189" s="2">
        <f t="shared" si="28"/>
        <v>1.1518342710781226E-3</v>
      </c>
      <c r="AE189" s="8">
        <f t="shared" si="29"/>
        <v>4.7979528429146307E-4</v>
      </c>
      <c r="AF189" s="2">
        <f t="shared" si="30"/>
        <v>-1.2867388176714318E-4</v>
      </c>
      <c r="AG189" s="8">
        <f t="shared" si="31"/>
        <v>6.0846916605860626E-4</v>
      </c>
      <c r="AH189" s="7">
        <f t="shared" si="32"/>
        <v>-0.21147149098882956</v>
      </c>
      <c r="AI189">
        <f t="shared" si="33"/>
        <v>4</v>
      </c>
      <c r="AJ189" s="10">
        <f t="shared" si="34"/>
        <v>9.7355066569377001E-3</v>
      </c>
    </row>
    <row r="190" spans="1:36" hidden="1" x14ac:dyDescent="0.25">
      <c r="A190" t="b">
        <v>0</v>
      </c>
      <c r="B190">
        <v>1000</v>
      </c>
      <c r="C190">
        <v>9.7355066569377001E-3</v>
      </c>
      <c r="D190" t="s">
        <v>52</v>
      </c>
      <c r="E190" t="b">
        <v>1</v>
      </c>
      <c r="F190" t="s">
        <v>53</v>
      </c>
      <c r="G190">
        <v>7.4999999999999997E-2</v>
      </c>
      <c r="H190">
        <v>0.5</v>
      </c>
      <c r="I190">
        <v>1E-4</v>
      </c>
      <c r="J190" t="b">
        <v>1</v>
      </c>
      <c r="K190">
        <v>4</v>
      </c>
      <c r="L190">
        <v>1500</v>
      </c>
      <c r="M190">
        <v>0.01</v>
      </c>
      <c r="N190">
        <v>0.154</v>
      </c>
      <c r="O190" t="s">
        <v>200</v>
      </c>
      <c r="P190" t="s">
        <v>202</v>
      </c>
      <c r="Q190">
        <v>-1.16981361613855E-4</v>
      </c>
      <c r="R190">
        <v>2.3065562394819399E-4</v>
      </c>
      <c r="S190">
        <v>3.9917914822866599E-4</v>
      </c>
      <c r="T190">
        <v>-2.1379810018385399E-3</v>
      </c>
      <c r="U190">
        <v>3.9999495583728999</v>
      </c>
      <c r="V190" s="1">
        <v>9.9999999999994904E-15</v>
      </c>
      <c r="W190">
        <v>0.13221721594310701</v>
      </c>
      <c r="X190">
        <v>2.4999999999999898</v>
      </c>
      <c r="Y190">
        <v>6.0175054933609502</v>
      </c>
      <c r="Z190">
        <v>0.49999999940193202</v>
      </c>
      <c r="AA190">
        <v>10.931335718401799</v>
      </c>
      <c r="AB190" s="9">
        <f t="shared" si="26"/>
        <v>-0.33474647462888923</v>
      </c>
      <c r="AC190" s="9">
        <f t="shared" si="27"/>
        <v>-0.3351576308027493</v>
      </c>
      <c r="AD190" s="2">
        <f t="shared" si="28"/>
        <v>1.2282614008582993E-3</v>
      </c>
      <c r="AE190" s="8">
        <f t="shared" si="29"/>
        <v>4.7126908845536599E-4</v>
      </c>
      <c r="AF190" s="2">
        <f t="shared" si="30"/>
        <v>-1.3720007760324027E-4</v>
      </c>
      <c r="AG190" s="8">
        <f t="shared" si="31"/>
        <v>6.0846916605860626E-4</v>
      </c>
      <c r="AH190" s="7">
        <f t="shared" si="32"/>
        <v>-0.22548402656450384</v>
      </c>
      <c r="AI190">
        <f t="shared" si="33"/>
        <v>4</v>
      </c>
      <c r="AJ190" s="10">
        <f t="shared" si="34"/>
        <v>9.7355066569377001E-3</v>
      </c>
    </row>
    <row r="191" spans="1:36" hidden="1" x14ac:dyDescent="0.25">
      <c r="A191" t="b">
        <v>0</v>
      </c>
      <c r="B191">
        <v>1000</v>
      </c>
      <c r="C191">
        <v>9.7355066569377001E-3</v>
      </c>
      <c r="D191" t="s">
        <v>52</v>
      </c>
      <c r="E191" t="b">
        <v>1</v>
      </c>
      <c r="F191" t="s">
        <v>53</v>
      </c>
      <c r="G191">
        <v>7.4999999999999997E-2</v>
      </c>
      <c r="H191">
        <v>0.5</v>
      </c>
      <c r="I191">
        <v>1E-4</v>
      </c>
      <c r="J191" t="b">
        <v>1</v>
      </c>
      <c r="K191">
        <v>4</v>
      </c>
      <c r="L191">
        <v>1500</v>
      </c>
      <c r="M191">
        <v>0.01</v>
      </c>
      <c r="N191">
        <v>0.154</v>
      </c>
      <c r="O191" t="s">
        <v>200</v>
      </c>
      <c r="P191" t="s">
        <v>203</v>
      </c>
      <c r="Q191">
        <v>-1.3649700191402701E-4</v>
      </c>
      <c r="R191">
        <v>2.83646030351092E-4</v>
      </c>
      <c r="S191">
        <v>4.6577697260516101E-4</v>
      </c>
      <c r="T191">
        <v>-2.4948656341940299E-3</v>
      </c>
      <c r="U191">
        <v>3.9998826338342801</v>
      </c>
      <c r="V191" s="1">
        <v>9.9999999999994699E-15</v>
      </c>
      <c r="W191">
        <v>0.141678928554406</v>
      </c>
      <c r="X191">
        <v>2.4999999999999898</v>
      </c>
      <c r="Y191">
        <v>6.2836860083427197</v>
      </c>
      <c r="Z191">
        <v>0.499999999394728</v>
      </c>
      <c r="AA191">
        <v>11.541601753406001</v>
      </c>
      <c r="AB191" s="9">
        <f t="shared" si="26"/>
        <v>-0.33477202890686464</v>
      </c>
      <c r="AC191" s="9">
        <f t="shared" si="27"/>
        <v>-0.3351576308027493</v>
      </c>
      <c r="AD191" s="2">
        <f t="shared" si="28"/>
        <v>1.1518342710523655E-3</v>
      </c>
      <c r="AE191" s="8">
        <f t="shared" si="29"/>
        <v>4.7979528429435247E-4</v>
      </c>
      <c r="AF191" s="2">
        <f t="shared" si="30"/>
        <v>-1.2867388176425378E-4</v>
      </c>
      <c r="AG191" s="8">
        <f t="shared" si="31"/>
        <v>6.0846916605860626E-4</v>
      </c>
      <c r="AH191" s="7">
        <f t="shared" si="32"/>
        <v>-0.21147149098408091</v>
      </c>
      <c r="AI191">
        <f t="shared" si="33"/>
        <v>4</v>
      </c>
      <c r="AJ191" s="10">
        <f t="shared" si="34"/>
        <v>9.7355066569377001E-3</v>
      </c>
    </row>
    <row r="192" spans="1:36" hidden="1" x14ac:dyDescent="0.25">
      <c r="A192" t="b">
        <v>0</v>
      </c>
      <c r="B192">
        <v>1000</v>
      </c>
      <c r="C192">
        <v>9.7355066569377001E-3</v>
      </c>
      <c r="D192" t="s">
        <v>52</v>
      </c>
      <c r="E192" t="b">
        <v>1</v>
      </c>
      <c r="F192" t="s">
        <v>53</v>
      </c>
      <c r="G192">
        <v>7.4999999999999997E-2</v>
      </c>
      <c r="H192">
        <v>0.5</v>
      </c>
      <c r="I192">
        <v>1E-4</v>
      </c>
      <c r="J192" t="b">
        <v>1</v>
      </c>
      <c r="K192">
        <v>4</v>
      </c>
      <c r="L192">
        <v>1500</v>
      </c>
      <c r="M192">
        <v>0.01</v>
      </c>
      <c r="N192">
        <v>0.154</v>
      </c>
      <c r="O192" t="s">
        <v>200</v>
      </c>
      <c r="P192" t="s">
        <v>204</v>
      </c>
      <c r="Q192">
        <v>-2.7299438785566602E-4</v>
      </c>
      <c r="R192">
        <v>5.5519556498185901E-4</v>
      </c>
      <c r="S192">
        <v>9.31552624944885E-4</v>
      </c>
      <c r="T192">
        <v>-4.9895989347850398E-3</v>
      </c>
      <c r="U192">
        <v>3.9994147481633702</v>
      </c>
      <c r="V192" s="1">
        <v>9.9999999999999905E-15</v>
      </c>
      <c r="W192">
        <v>0.13709807829182999</v>
      </c>
      <c r="X192">
        <v>2.4999999999999898</v>
      </c>
      <c r="Y192">
        <v>6.1822158325394403</v>
      </c>
      <c r="Z192">
        <v>0.499999999999999</v>
      </c>
      <c r="AA192">
        <v>11.283300577631801</v>
      </c>
      <c r="AB192" s="9">
        <f t="shared" si="26"/>
        <v>-0.33476362480596894</v>
      </c>
      <c r="AC192" s="9">
        <f t="shared" si="27"/>
        <v>-0.3351576308027493</v>
      </c>
      <c r="AD192" s="2">
        <f t="shared" si="28"/>
        <v>1.1769677694484226E-3</v>
      </c>
      <c r="AE192" s="8">
        <f t="shared" si="29"/>
        <v>4.7699123637784613E-4</v>
      </c>
      <c r="AF192" s="2">
        <f t="shared" si="30"/>
        <v>-1.3147792968076013E-4</v>
      </c>
      <c r="AG192" s="8">
        <f t="shared" si="31"/>
        <v>6.0846916605860626E-4</v>
      </c>
      <c r="AH192" s="7">
        <f t="shared" si="32"/>
        <v>-0.21607985583298481</v>
      </c>
      <c r="AI192">
        <f t="shared" si="33"/>
        <v>4</v>
      </c>
      <c r="AJ192" s="10">
        <f t="shared" si="34"/>
        <v>9.7355066569377001E-3</v>
      </c>
    </row>
    <row r="193" spans="1:36" hidden="1" x14ac:dyDescent="0.25">
      <c r="A193" t="b">
        <v>0</v>
      </c>
      <c r="B193">
        <v>1000</v>
      </c>
      <c r="C193">
        <v>9.7355066569377001E-3</v>
      </c>
      <c r="D193" t="s">
        <v>52</v>
      </c>
      <c r="E193" t="b">
        <v>1</v>
      </c>
      <c r="F193" t="s">
        <v>53</v>
      </c>
      <c r="G193">
        <v>7.4999999999999997E-2</v>
      </c>
      <c r="H193">
        <v>0.5</v>
      </c>
      <c r="I193">
        <v>1E-4</v>
      </c>
      <c r="J193" t="b">
        <v>1</v>
      </c>
      <c r="K193">
        <v>4</v>
      </c>
      <c r="L193">
        <v>1500</v>
      </c>
      <c r="M193">
        <v>0.01</v>
      </c>
      <c r="N193">
        <v>0.154</v>
      </c>
      <c r="O193" t="s">
        <v>201</v>
      </c>
      <c r="P193" t="s">
        <v>204</v>
      </c>
      <c r="Q193">
        <v>-1.3649738535488699E-4</v>
      </c>
      <c r="R193">
        <v>2.8604311016213298E-4</v>
      </c>
      <c r="S193">
        <v>4.6577565233973099E-4</v>
      </c>
      <c r="T193">
        <v>-2.4947333005913099E-3</v>
      </c>
      <c r="U193">
        <v>3.9989469471307801</v>
      </c>
      <c r="V193" s="1">
        <v>9.9999999999994699E-15</v>
      </c>
      <c r="W193">
        <v>0.14214983678697901</v>
      </c>
      <c r="X193">
        <v>2.4999999999999898</v>
      </c>
      <c r="Y193">
        <v>6.34628736599322</v>
      </c>
      <c r="Z193">
        <v>0.49999999939397599</v>
      </c>
      <c r="AA193">
        <v>11.6344140470509</v>
      </c>
      <c r="AB193" s="9">
        <f t="shared" si="26"/>
        <v>-0.3347552206812866</v>
      </c>
      <c r="AC193" s="9">
        <f t="shared" si="27"/>
        <v>-0.3351576308027493</v>
      </c>
      <c r="AD193" s="2">
        <f t="shared" si="28"/>
        <v>1.2021026009503277E-3</v>
      </c>
      <c r="AE193" s="8">
        <f t="shared" si="29"/>
        <v>4.7418719624273511E-4</v>
      </c>
      <c r="AF193" s="2">
        <f t="shared" si="30"/>
        <v>-1.3428196981587115E-4</v>
      </c>
      <c r="AG193" s="8">
        <f t="shared" si="31"/>
        <v>6.0846916605860626E-4</v>
      </c>
      <c r="AH193" s="7">
        <f t="shared" si="32"/>
        <v>-0.2206882078934094</v>
      </c>
      <c r="AI193">
        <f t="shared" si="33"/>
        <v>4</v>
      </c>
      <c r="AJ193" s="10">
        <f t="shared" si="34"/>
        <v>9.7355066569377001E-3</v>
      </c>
    </row>
    <row r="194" spans="1:36" hidden="1" x14ac:dyDescent="0.25">
      <c r="A194" t="b">
        <v>0</v>
      </c>
      <c r="B194">
        <v>1000</v>
      </c>
      <c r="C194">
        <v>9.7355066569377001E-3</v>
      </c>
      <c r="D194" t="s">
        <v>52</v>
      </c>
      <c r="E194" t="b">
        <v>1</v>
      </c>
      <c r="F194" t="s">
        <v>53</v>
      </c>
      <c r="G194">
        <v>7.4999999999999997E-2</v>
      </c>
      <c r="H194">
        <v>0.5</v>
      </c>
      <c r="I194">
        <v>1E-4</v>
      </c>
      <c r="J194" t="b">
        <v>1</v>
      </c>
      <c r="K194">
        <v>4</v>
      </c>
      <c r="L194">
        <v>1500</v>
      </c>
      <c r="M194">
        <v>0.01</v>
      </c>
      <c r="N194">
        <v>0.154</v>
      </c>
      <c r="O194" t="s">
        <v>202</v>
      </c>
      <c r="P194" t="s">
        <v>203</v>
      </c>
      <c r="Q194" s="1">
        <v>-1.9515640325779801E-5</v>
      </c>
      <c r="R194" s="1">
        <v>3.7745847360387598E-5</v>
      </c>
      <c r="S194" s="1">
        <v>6.6597824376500196E-5</v>
      </c>
      <c r="T194">
        <v>-3.5688463235578402E-4</v>
      </c>
      <c r="U194">
        <v>3.9994817573406198</v>
      </c>
      <c r="V194" s="1">
        <v>9.9999999999999905E-15</v>
      </c>
      <c r="W194">
        <v>0.13139870233985099</v>
      </c>
      <c r="X194">
        <v>2.4999999999999898</v>
      </c>
      <c r="Y194">
        <v>5.8847845901212903</v>
      </c>
      <c r="Z194">
        <v>0.49999999989943</v>
      </c>
      <c r="AA194">
        <v>10.7315519157192</v>
      </c>
      <c r="AB194" s="9">
        <f t="shared" si="26"/>
        <v>-0.33492519809862104</v>
      </c>
      <c r="AC194" s="9">
        <f t="shared" si="27"/>
        <v>-0.3351576308027493</v>
      </c>
      <c r="AD194" s="2">
        <f t="shared" si="28"/>
        <v>6.9398392670305675E-4</v>
      </c>
      <c r="AE194" s="8">
        <f t="shared" si="29"/>
        <v>5.3090329718009216E-4</v>
      </c>
      <c r="AF194" s="2">
        <f t="shared" si="30"/>
        <v>-7.7565868878514094E-5</v>
      </c>
      <c r="AG194" s="8">
        <f t="shared" si="31"/>
        <v>6.0846916605860626E-4</v>
      </c>
      <c r="AH194" s="7">
        <f t="shared" si="32"/>
        <v>-0.12747707395093072</v>
      </c>
      <c r="AI194">
        <f t="shared" si="33"/>
        <v>4</v>
      </c>
      <c r="AJ194" s="10">
        <f t="shared" si="34"/>
        <v>9.7355066569377001E-3</v>
      </c>
    </row>
    <row r="195" spans="1:36" hidden="1" x14ac:dyDescent="0.25">
      <c r="A195" t="b">
        <v>0</v>
      </c>
      <c r="B195">
        <v>1000</v>
      </c>
      <c r="C195">
        <v>9.7355066569377001E-3</v>
      </c>
      <c r="D195" t="s">
        <v>52</v>
      </c>
      <c r="E195" t="b">
        <v>1</v>
      </c>
      <c r="F195" t="s">
        <v>53</v>
      </c>
      <c r="G195">
        <v>7.4999999999999997E-2</v>
      </c>
      <c r="H195">
        <v>0.5</v>
      </c>
      <c r="I195">
        <v>1E-4</v>
      </c>
      <c r="J195" t="b">
        <v>1</v>
      </c>
      <c r="K195">
        <v>4</v>
      </c>
      <c r="L195">
        <v>1500</v>
      </c>
      <c r="M195">
        <v>0.01</v>
      </c>
      <c r="N195">
        <v>0.154</v>
      </c>
      <c r="O195" t="s">
        <v>202</v>
      </c>
      <c r="P195" t="s">
        <v>204</v>
      </c>
      <c r="Q195">
        <v>-1.5601302565439499E-4</v>
      </c>
      <c r="R195">
        <v>3.0299964631801498E-4</v>
      </c>
      <c r="S195">
        <v>5.3237347671623002E-4</v>
      </c>
      <c r="T195">
        <v>-2.8516179329471001E-3</v>
      </c>
      <c r="U195">
        <v>3.9990138716697099</v>
      </c>
      <c r="V195" s="1">
        <v>9.9999999999994494E-15</v>
      </c>
      <c r="W195">
        <v>0.12942702874439699</v>
      </c>
      <c r="X195">
        <v>2.4999999999999898</v>
      </c>
      <c r="Y195">
        <v>5.9448196493857699</v>
      </c>
      <c r="Z195">
        <v>0.49999999938662198</v>
      </c>
      <c r="AA195">
        <v>10.760736507235499</v>
      </c>
      <c r="AB195" s="9">
        <f t="shared" si="26"/>
        <v>-0.33477648418648265</v>
      </c>
      <c r="AC195" s="9">
        <f t="shared" si="27"/>
        <v>-0.3351576308027493</v>
      </c>
      <c r="AD195" s="2">
        <f t="shared" si="28"/>
        <v>1.1385107206465239E-3</v>
      </c>
      <c r="AE195" s="8">
        <f t="shared" si="29"/>
        <v>4.8128180513233219E-4</v>
      </c>
      <c r="AF195" s="2">
        <f t="shared" si="30"/>
        <v>-1.2718736092627407E-4</v>
      </c>
      <c r="AG195" s="8">
        <f t="shared" si="31"/>
        <v>6.0846916605860626E-4</v>
      </c>
      <c r="AH195" s="7">
        <f t="shared" si="32"/>
        <v>-0.20902844058662406</v>
      </c>
      <c r="AI195">
        <f t="shared" si="33"/>
        <v>4</v>
      </c>
      <c r="AJ195" s="10">
        <f t="shared" si="34"/>
        <v>9.7355066569377001E-3</v>
      </c>
    </row>
    <row r="196" spans="1:36" hidden="1" x14ac:dyDescent="0.25">
      <c r="A196" t="b">
        <v>0</v>
      </c>
      <c r="B196">
        <v>1000</v>
      </c>
      <c r="C196">
        <v>9.7355066569377001E-3</v>
      </c>
      <c r="D196" t="s">
        <v>52</v>
      </c>
      <c r="E196" t="b">
        <v>1</v>
      </c>
      <c r="F196" t="s">
        <v>53</v>
      </c>
      <c r="G196">
        <v>7.4999999999999997E-2</v>
      </c>
      <c r="H196">
        <v>0.5</v>
      </c>
      <c r="I196">
        <v>1E-4</v>
      </c>
      <c r="J196" t="b">
        <v>1</v>
      </c>
      <c r="K196">
        <v>4</v>
      </c>
      <c r="L196">
        <v>1500</v>
      </c>
      <c r="M196">
        <v>0.01</v>
      </c>
      <c r="N196">
        <v>0.154</v>
      </c>
      <c r="O196" t="s">
        <v>203</v>
      </c>
      <c r="P196" t="s">
        <v>204</v>
      </c>
      <c r="Q196">
        <v>-1.3649738535489501E-4</v>
      </c>
      <c r="R196">
        <v>2.7956676753191999E-4</v>
      </c>
      <c r="S196">
        <v>4.65775652339728E-4</v>
      </c>
      <c r="T196">
        <v>-2.4947333005912102E-3</v>
      </c>
      <c r="U196">
        <v>3.9989469471310901</v>
      </c>
      <c r="V196" s="1">
        <v>9.9999999999994699E-15</v>
      </c>
      <c r="W196">
        <v>0.13835260353154999</v>
      </c>
      <c r="X196">
        <v>2.4999999999999898</v>
      </c>
      <c r="Y196">
        <v>6.2197842488488098</v>
      </c>
      <c r="Z196">
        <v>0.49999999939398498</v>
      </c>
      <c r="AA196">
        <v>11.3650375005124</v>
      </c>
      <c r="AB196" s="9">
        <f t="shared" si="26"/>
        <v>-0.33475522068127533</v>
      </c>
      <c r="AC196" s="9">
        <f t="shared" si="27"/>
        <v>-0.3351576308027493</v>
      </c>
      <c r="AD196" s="2">
        <f t="shared" si="28"/>
        <v>1.2021026009840785E-3</v>
      </c>
      <c r="AE196" s="8">
        <f t="shared" si="29"/>
        <v>4.7418719623895677E-4</v>
      </c>
      <c r="AF196" s="2">
        <f t="shared" si="30"/>
        <v>-1.3428196981964948E-4</v>
      </c>
      <c r="AG196" s="8">
        <f t="shared" si="31"/>
        <v>6.0846916605860626E-4</v>
      </c>
      <c r="AH196" s="7">
        <f t="shared" si="32"/>
        <v>-0.22068820789961899</v>
      </c>
      <c r="AI196">
        <f t="shared" si="33"/>
        <v>4</v>
      </c>
      <c r="AJ196" s="10">
        <f t="shared" si="34"/>
        <v>9.7355066569377001E-3</v>
      </c>
    </row>
    <row r="197" spans="1:36" hidden="1" x14ac:dyDescent="0.25">
      <c r="A197" t="b">
        <v>0</v>
      </c>
      <c r="B197">
        <v>1000</v>
      </c>
      <c r="C197">
        <v>9.7355066569377001E-3</v>
      </c>
      <c r="D197" t="s">
        <v>52</v>
      </c>
      <c r="E197" t="b">
        <v>1</v>
      </c>
      <c r="F197" t="s">
        <v>53</v>
      </c>
      <c r="G197">
        <v>7.4999999999999997E-2</v>
      </c>
      <c r="H197">
        <v>0.5</v>
      </c>
      <c r="I197">
        <v>1E-4</v>
      </c>
      <c r="J197" t="b">
        <v>1</v>
      </c>
      <c r="K197">
        <v>6</v>
      </c>
      <c r="L197">
        <v>1500</v>
      </c>
      <c r="M197">
        <v>0.01</v>
      </c>
      <c r="N197">
        <v>0.154</v>
      </c>
      <c r="O197" t="s">
        <v>205</v>
      </c>
      <c r="P197" t="s">
        <v>206</v>
      </c>
      <c r="Q197" s="1">
        <v>-3.7751368183241597E-5</v>
      </c>
      <c r="R197">
        <v>3.3598103484352299E-4</v>
      </c>
      <c r="S197">
        <v>1.49753659481732E-4</v>
      </c>
      <c r="T197">
        <v>-1.7996192993889001E-3</v>
      </c>
      <c r="U197">
        <v>5.9995219730965799</v>
      </c>
      <c r="V197" s="1">
        <v>9.9999999999993594E-15</v>
      </c>
      <c r="W197">
        <v>0.60812285962290702</v>
      </c>
      <c r="X197">
        <v>2.4999999999999898</v>
      </c>
      <c r="Y197">
        <v>26.8624919691336</v>
      </c>
      <c r="Z197">
        <v>0.49999999966836001</v>
      </c>
      <c r="AA197">
        <v>49.445381501183</v>
      </c>
      <c r="AB197" s="9">
        <f t="shared" si="26"/>
        <v>-0.33381104111931947</v>
      </c>
      <c r="AC197" s="9">
        <f t="shared" si="27"/>
        <v>-0.33414440621570463</v>
      </c>
      <c r="AD197" s="2">
        <f t="shared" si="28"/>
        <v>9.9866408033522092E-4</v>
      </c>
      <c r="AE197" s="8">
        <f t="shared" si="29"/>
        <v>1.5926128878127817E-4</v>
      </c>
      <c r="AF197" s="2">
        <f t="shared" si="30"/>
        <v>-1.111694516892135E-4</v>
      </c>
      <c r="AG197" s="8">
        <f t="shared" si="31"/>
        <v>2.7043074047049167E-4</v>
      </c>
      <c r="AH197" s="7">
        <f t="shared" si="32"/>
        <v>-0.41108289499855832</v>
      </c>
      <c r="AI197">
        <f t="shared" si="33"/>
        <v>6</v>
      </c>
      <c r="AJ197" s="10">
        <f t="shared" si="34"/>
        <v>9.7355066569377001E-3</v>
      </c>
    </row>
    <row r="198" spans="1:36" hidden="1" x14ac:dyDescent="0.25">
      <c r="A198" t="b">
        <v>0</v>
      </c>
      <c r="B198">
        <v>1000</v>
      </c>
      <c r="C198">
        <v>9.7355066569377001E-3</v>
      </c>
      <c r="D198" t="s">
        <v>52</v>
      </c>
      <c r="E198" t="b">
        <v>1</v>
      </c>
      <c r="F198" t="s">
        <v>53</v>
      </c>
      <c r="G198">
        <v>7.4999999999999997E-2</v>
      </c>
      <c r="H198">
        <v>0.5</v>
      </c>
      <c r="I198">
        <v>1E-4</v>
      </c>
      <c r="J198" t="b">
        <v>1</v>
      </c>
      <c r="K198">
        <v>6</v>
      </c>
      <c r="L198">
        <v>1500</v>
      </c>
      <c r="M198">
        <v>0.01</v>
      </c>
      <c r="N198">
        <v>0.154</v>
      </c>
      <c r="O198" t="s">
        <v>205</v>
      </c>
      <c r="P198" t="s">
        <v>207</v>
      </c>
      <c r="Q198">
        <v>-3.01689564417466E-4</v>
      </c>
      <c r="R198">
        <v>2.6403170124524398E-3</v>
      </c>
      <c r="S198">
        <v>1.19642793771283E-3</v>
      </c>
      <c r="T198">
        <v>-1.4364328426136899E-2</v>
      </c>
      <c r="U198">
        <v>5.9979507889285797</v>
      </c>
      <c r="V198" s="1">
        <v>9.9999999999999905E-15</v>
      </c>
      <c r="W198">
        <v>0.59256253867709097</v>
      </c>
      <c r="X198">
        <v>2.4999999999999898</v>
      </c>
      <c r="Y198">
        <v>26.5264711960588</v>
      </c>
      <c r="Z198">
        <v>0.499999999999999</v>
      </c>
      <c r="AA198">
        <v>48.580731311618599</v>
      </c>
      <c r="AB198" s="9">
        <f t="shared" si="26"/>
        <v>-0.33350033911028454</v>
      </c>
      <c r="AC198" s="9">
        <f t="shared" si="27"/>
        <v>-0.33414440621570463</v>
      </c>
      <c r="AD198" s="2">
        <f t="shared" si="28"/>
        <v>1.9312337346892861E-3</v>
      </c>
      <c r="AE198" s="8">
        <f t="shared" si="29"/>
        <v>5.5671691481752665E-5</v>
      </c>
      <c r="AF198" s="2">
        <f t="shared" si="30"/>
        <v>-2.14759048988739E-4</v>
      </c>
      <c r="AG198" s="8">
        <f t="shared" si="31"/>
        <v>2.7043074047049167E-4</v>
      </c>
      <c r="AH198" s="7">
        <f t="shared" si="32"/>
        <v>-0.7941369705792477</v>
      </c>
      <c r="AI198">
        <f t="shared" si="33"/>
        <v>6</v>
      </c>
      <c r="AJ198" s="10">
        <f t="shared" si="34"/>
        <v>9.7355066569377001E-3</v>
      </c>
    </row>
    <row r="199" spans="1:36" hidden="1" x14ac:dyDescent="0.25">
      <c r="A199" t="b">
        <v>0</v>
      </c>
      <c r="B199">
        <v>1000</v>
      </c>
      <c r="C199">
        <v>9.7355066569377001E-3</v>
      </c>
      <c r="D199" t="s">
        <v>52</v>
      </c>
      <c r="E199" t="b">
        <v>1</v>
      </c>
      <c r="F199" t="s">
        <v>53</v>
      </c>
      <c r="G199">
        <v>7.4999999999999997E-2</v>
      </c>
      <c r="H199">
        <v>0.5</v>
      </c>
      <c r="I199">
        <v>1E-4</v>
      </c>
      <c r="J199" t="b">
        <v>1</v>
      </c>
      <c r="K199">
        <v>6</v>
      </c>
      <c r="L199">
        <v>1500</v>
      </c>
      <c r="M199">
        <v>0.01</v>
      </c>
      <c r="N199">
        <v>0.154</v>
      </c>
      <c r="O199" t="s">
        <v>205</v>
      </c>
      <c r="P199" t="s">
        <v>208</v>
      </c>
      <c r="Q199" s="1">
        <v>-3.7751368183243101E-5</v>
      </c>
      <c r="R199">
        <v>3.3686845571547901E-4</v>
      </c>
      <c r="S199">
        <v>1.4975365948172699E-4</v>
      </c>
      <c r="T199">
        <v>-1.7996192993887199E-3</v>
      </c>
      <c r="U199">
        <v>5.9995219730965399</v>
      </c>
      <c r="V199" s="1">
        <v>9.9999999999993594E-15</v>
      </c>
      <c r="W199">
        <v>0.60731977546531701</v>
      </c>
      <c r="X199">
        <v>2.4999999999999898</v>
      </c>
      <c r="Y199">
        <v>26.965827882712802</v>
      </c>
      <c r="Z199">
        <v>0.49999999966836001</v>
      </c>
      <c r="AA199">
        <v>49.562379682613901</v>
      </c>
      <c r="AB199" s="9">
        <f t="shared" si="26"/>
        <v>-0.33381104111929721</v>
      </c>
      <c r="AC199" s="9">
        <f t="shared" si="27"/>
        <v>-0.33414440621570463</v>
      </c>
      <c r="AD199" s="2">
        <f t="shared" si="28"/>
        <v>9.986640804018343E-4</v>
      </c>
      <c r="AE199" s="8">
        <f t="shared" si="29"/>
        <v>1.5926128877384962E-4</v>
      </c>
      <c r="AF199" s="2">
        <f t="shared" si="30"/>
        <v>-1.1116945169664205E-4</v>
      </c>
      <c r="AG199" s="8">
        <f t="shared" si="31"/>
        <v>2.7043074047049167E-4</v>
      </c>
      <c r="AH199" s="7">
        <f t="shared" si="32"/>
        <v>-0.41108289502602763</v>
      </c>
      <c r="AI199">
        <f t="shared" si="33"/>
        <v>6</v>
      </c>
      <c r="AJ199" s="10">
        <f t="shared" si="34"/>
        <v>9.7355066569377001E-3</v>
      </c>
    </row>
    <row r="200" spans="1:36" hidden="1" x14ac:dyDescent="0.25">
      <c r="A200" t="b">
        <v>0</v>
      </c>
      <c r="B200">
        <v>1000</v>
      </c>
      <c r="C200">
        <v>9.7355066569377001E-3</v>
      </c>
      <c r="D200" t="s">
        <v>52</v>
      </c>
      <c r="E200" t="b">
        <v>1</v>
      </c>
      <c r="F200" t="s">
        <v>53</v>
      </c>
      <c r="G200">
        <v>7.4999999999999997E-2</v>
      </c>
      <c r="H200">
        <v>0.5</v>
      </c>
      <c r="I200">
        <v>1E-4</v>
      </c>
      <c r="J200" t="b">
        <v>1</v>
      </c>
      <c r="K200">
        <v>6</v>
      </c>
      <c r="L200">
        <v>1500</v>
      </c>
      <c r="M200">
        <v>0.01</v>
      </c>
      <c r="N200">
        <v>0.154</v>
      </c>
      <c r="O200" t="s">
        <v>205</v>
      </c>
      <c r="P200" t="s">
        <v>209</v>
      </c>
      <c r="Q200" s="1">
        <v>-7.5502994856253594E-5</v>
      </c>
      <c r="R200">
        <v>6.6855977352233797E-4</v>
      </c>
      <c r="S200">
        <v>2.9950689569585798E-4</v>
      </c>
      <c r="T200">
        <v>-3.5991742156882898E-3</v>
      </c>
      <c r="U200">
        <v>5.9992969939359799</v>
      </c>
      <c r="V200" s="1">
        <v>9.9999999999999905E-15</v>
      </c>
      <c r="W200">
        <v>0.59960502973740004</v>
      </c>
      <c r="X200">
        <v>2.4999999999999898</v>
      </c>
      <c r="Y200">
        <v>26.816511138492601</v>
      </c>
      <c r="Z200">
        <v>0.499999999999999</v>
      </c>
      <c r="AA200">
        <v>49.159401162520702</v>
      </c>
      <c r="AB200" s="9">
        <f t="shared" si="26"/>
        <v>-0.33380554165411014</v>
      </c>
      <c r="AC200" s="9">
        <f t="shared" si="27"/>
        <v>-0.33414440621570463</v>
      </c>
      <c r="AD200" s="2">
        <f t="shared" si="28"/>
        <v>1.0151555900339559E-3</v>
      </c>
      <c r="AE200" s="8">
        <f t="shared" si="29"/>
        <v>1.5742755312577017E-4</v>
      </c>
      <c r="AF200" s="2">
        <f t="shared" si="30"/>
        <v>-1.130031873447215E-4</v>
      </c>
      <c r="AG200" s="8">
        <f t="shared" si="31"/>
        <v>2.7043074047049167E-4</v>
      </c>
      <c r="AH200" s="7">
        <f t="shared" si="32"/>
        <v>-0.41786369089593922</v>
      </c>
      <c r="AI200">
        <f t="shared" si="33"/>
        <v>6</v>
      </c>
      <c r="AJ200" s="10">
        <f t="shared" si="34"/>
        <v>9.7355066569377001E-3</v>
      </c>
    </row>
    <row r="201" spans="1:36" hidden="1" x14ac:dyDescent="0.25">
      <c r="A201" t="b">
        <v>0</v>
      </c>
      <c r="B201">
        <v>1000</v>
      </c>
      <c r="C201">
        <v>9.7355066569377001E-3</v>
      </c>
      <c r="D201" t="s">
        <v>52</v>
      </c>
      <c r="E201" t="b">
        <v>1</v>
      </c>
      <c r="F201" t="s">
        <v>53</v>
      </c>
      <c r="G201">
        <v>7.4999999999999997E-2</v>
      </c>
      <c r="H201">
        <v>0.5</v>
      </c>
      <c r="I201">
        <v>1E-4</v>
      </c>
      <c r="J201" t="b">
        <v>1</v>
      </c>
      <c r="K201">
        <v>6</v>
      </c>
      <c r="L201">
        <v>1500</v>
      </c>
      <c r="M201">
        <v>0.01</v>
      </c>
      <c r="N201">
        <v>0.154</v>
      </c>
      <c r="O201" t="s">
        <v>205</v>
      </c>
      <c r="P201" t="s">
        <v>210</v>
      </c>
      <c r="Q201">
        <v>-3.39442991652081E-4</v>
      </c>
      <c r="R201">
        <v>2.4927128734664999E-3</v>
      </c>
      <c r="S201">
        <v>1.34617821912543E-3</v>
      </c>
      <c r="T201">
        <v>-1.61634338940089E-2</v>
      </c>
      <c r="U201">
        <v>5.9977257480779098</v>
      </c>
      <c r="V201" s="1">
        <v>9.9999999999999905E-15</v>
      </c>
      <c r="W201">
        <v>0.48849389817410099</v>
      </c>
      <c r="X201">
        <v>2.4999999999999898</v>
      </c>
      <c r="Y201">
        <v>22.672783569561101</v>
      </c>
      <c r="Z201">
        <v>0.499999999999999</v>
      </c>
      <c r="AA201">
        <v>40.632480268156698</v>
      </c>
      <c r="AB201" s="9">
        <f t="shared" si="26"/>
        <v>-0.33352513690592295</v>
      </c>
      <c r="AC201" s="9">
        <f t="shared" si="27"/>
        <v>-0.33414440621570463</v>
      </c>
      <c r="AD201" s="2">
        <f t="shared" si="28"/>
        <v>1.8567395415127752E-3</v>
      </c>
      <c r="AE201" s="8">
        <f t="shared" si="29"/>
        <v>6.393861208128546E-5</v>
      </c>
      <c r="AF201" s="2">
        <f t="shared" si="30"/>
        <v>-2.0649212838920621E-4</v>
      </c>
      <c r="AG201" s="8">
        <f t="shared" si="31"/>
        <v>2.7043074047049167E-4</v>
      </c>
      <c r="AH201" s="7">
        <f t="shared" si="32"/>
        <v>-0.76356751466180972</v>
      </c>
      <c r="AI201">
        <f t="shared" si="33"/>
        <v>6</v>
      </c>
      <c r="AJ201" s="10">
        <f t="shared" si="34"/>
        <v>9.7355066569377001E-3</v>
      </c>
    </row>
    <row r="202" spans="1:36" hidden="1" x14ac:dyDescent="0.25">
      <c r="A202" t="b">
        <v>0</v>
      </c>
      <c r="B202">
        <v>1000</v>
      </c>
      <c r="C202">
        <v>9.7355066569377001E-3</v>
      </c>
      <c r="D202" t="s">
        <v>52</v>
      </c>
      <c r="E202" t="b">
        <v>1</v>
      </c>
      <c r="F202" t="s">
        <v>53</v>
      </c>
      <c r="G202">
        <v>7.4999999999999997E-2</v>
      </c>
      <c r="H202">
        <v>0.5</v>
      </c>
      <c r="I202">
        <v>1E-4</v>
      </c>
      <c r="J202" t="b">
        <v>1</v>
      </c>
      <c r="K202">
        <v>6</v>
      </c>
      <c r="L202">
        <v>1500</v>
      </c>
      <c r="M202">
        <v>0.01</v>
      </c>
      <c r="N202">
        <v>0.154</v>
      </c>
      <c r="O202" t="s">
        <v>205</v>
      </c>
      <c r="P202" t="s">
        <v>211</v>
      </c>
      <c r="Q202">
        <v>-3.01689564417464E-4</v>
      </c>
      <c r="R202">
        <v>2.6568474211083699E-3</v>
      </c>
      <c r="S202">
        <v>1.19642793771283E-3</v>
      </c>
      <c r="T202">
        <v>-1.43643284261368E-2</v>
      </c>
      <c r="U202">
        <v>5.9979507889290797</v>
      </c>
      <c r="V202" s="1">
        <v>9.9999999999999905E-15</v>
      </c>
      <c r="W202">
        <v>0.60019049400539104</v>
      </c>
      <c r="X202">
        <v>2.4999999999999898</v>
      </c>
      <c r="Y202">
        <v>26.622280778103899</v>
      </c>
      <c r="Z202">
        <v>0.499999999999999</v>
      </c>
      <c r="AA202">
        <v>48.9130654423195</v>
      </c>
      <c r="AB202" s="9">
        <f t="shared" si="26"/>
        <v>-0.33350033911028221</v>
      </c>
      <c r="AC202" s="9">
        <f t="shared" si="27"/>
        <v>-0.33414440621570463</v>
      </c>
      <c r="AD202" s="2">
        <f t="shared" si="28"/>
        <v>1.9312337346961694E-3</v>
      </c>
      <c r="AE202" s="8">
        <f t="shared" si="29"/>
        <v>5.567169148098776E-5</v>
      </c>
      <c r="AF202" s="2">
        <f t="shared" si="30"/>
        <v>-2.1475904898950391E-4</v>
      </c>
      <c r="AG202" s="8">
        <f t="shared" si="31"/>
        <v>2.7043074047049167E-4</v>
      </c>
      <c r="AH202" s="7">
        <f t="shared" si="32"/>
        <v>-0.79413697058207611</v>
      </c>
      <c r="AI202">
        <f t="shared" si="33"/>
        <v>6</v>
      </c>
      <c r="AJ202" s="10">
        <f t="shared" si="34"/>
        <v>9.7355066569377001E-3</v>
      </c>
    </row>
    <row r="203" spans="1:36" hidden="1" x14ac:dyDescent="0.25">
      <c r="A203" t="b">
        <v>0</v>
      </c>
      <c r="B203">
        <v>1000</v>
      </c>
      <c r="C203">
        <v>9.7355066569377001E-3</v>
      </c>
      <c r="D203" t="s">
        <v>52</v>
      </c>
      <c r="E203" t="b">
        <v>1</v>
      </c>
      <c r="F203" t="s">
        <v>53</v>
      </c>
      <c r="G203">
        <v>7.4999999999999997E-2</v>
      </c>
      <c r="H203">
        <v>0.5</v>
      </c>
      <c r="I203">
        <v>1E-4</v>
      </c>
      <c r="J203" t="b">
        <v>1</v>
      </c>
      <c r="K203">
        <v>6</v>
      </c>
      <c r="L203">
        <v>1500</v>
      </c>
      <c r="M203">
        <v>0.01</v>
      </c>
      <c r="N203">
        <v>0.154</v>
      </c>
      <c r="O203" t="s">
        <v>205</v>
      </c>
      <c r="P203" t="s">
        <v>212</v>
      </c>
      <c r="Q203">
        <v>-3.39442991652081E-4</v>
      </c>
      <c r="R203">
        <v>2.4493731342309401E-3</v>
      </c>
      <c r="S203">
        <v>1.34617821912543E-3</v>
      </c>
      <c r="T203">
        <v>-1.6163433894008698E-2</v>
      </c>
      <c r="U203">
        <v>5.9977257480780901</v>
      </c>
      <c r="V203" s="1">
        <v>9.9999999999999905E-15</v>
      </c>
      <c r="W203">
        <v>0.47788674682173699</v>
      </c>
      <c r="X203">
        <v>2.4999999999999898</v>
      </c>
      <c r="Y203">
        <v>22.3422590682835</v>
      </c>
      <c r="Z203">
        <v>0.499999999999999</v>
      </c>
      <c r="AA203">
        <v>39.904018595945203</v>
      </c>
      <c r="AB203" s="9">
        <f t="shared" si="26"/>
        <v>-0.33352513690591873</v>
      </c>
      <c r="AC203" s="9">
        <f t="shared" si="27"/>
        <v>-0.33414440621570463</v>
      </c>
      <c r="AD203" s="2">
        <f t="shared" si="28"/>
        <v>1.8567395415254317E-3</v>
      </c>
      <c r="AE203" s="8">
        <f t="shared" si="29"/>
        <v>6.3938612079878992E-5</v>
      </c>
      <c r="AF203" s="2">
        <f t="shared" si="30"/>
        <v>-2.0649212839061266E-4</v>
      </c>
      <c r="AG203" s="8">
        <f t="shared" si="31"/>
        <v>2.7043074047049167E-4</v>
      </c>
      <c r="AH203" s="7">
        <f t="shared" si="32"/>
        <v>-0.76356751466701056</v>
      </c>
      <c r="AI203">
        <f t="shared" si="33"/>
        <v>6</v>
      </c>
      <c r="AJ203" s="10">
        <f t="shared" si="34"/>
        <v>9.7355066569377001E-3</v>
      </c>
    </row>
    <row r="204" spans="1:36" hidden="1" x14ac:dyDescent="0.25">
      <c r="A204" t="b">
        <v>0</v>
      </c>
      <c r="B204">
        <v>1000</v>
      </c>
      <c r="C204">
        <v>9.7355066569377001E-3</v>
      </c>
      <c r="D204" t="s">
        <v>52</v>
      </c>
      <c r="E204" t="b">
        <v>1</v>
      </c>
      <c r="F204" t="s">
        <v>53</v>
      </c>
      <c r="G204">
        <v>7.4999999999999997E-2</v>
      </c>
      <c r="H204">
        <v>0.5</v>
      </c>
      <c r="I204">
        <v>1E-4</v>
      </c>
      <c r="J204" t="b">
        <v>1</v>
      </c>
      <c r="K204">
        <v>6</v>
      </c>
      <c r="L204">
        <v>1500</v>
      </c>
      <c r="M204">
        <v>0.01</v>
      </c>
      <c r="N204">
        <v>0.154</v>
      </c>
      <c r="O204" t="s">
        <v>205</v>
      </c>
      <c r="P204" t="s">
        <v>213</v>
      </c>
      <c r="Q204">
        <v>-6.0339555963242705E-4</v>
      </c>
      <c r="R204">
        <v>5.31861306919699E-3</v>
      </c>
      <c r="S204">
        <v>2.3928289152899702E-3</v>
      </c>
      <c r="T204">
        <v>-2.8724556041854098E-2</v>
      </c>
      <c r="U204">
        <v>5.9961540709389203</v>
      </c>
      <c r="V204" s="1">
        <v>9.9999999999999905E-15</v>
      </c>
      <c r="W204">
        <v>0.59716586088661205</v>
      </c>
      <c r="X204">
        <v>2.4999999999999898</v>
      </c>
      <c r="Y204">
        <v>26.693005783727902</v>
      </c>
      <c r="Z204">
        <v>0.499999999999999</v>
      </c>
      <c r="AA204">
        <v>48.937583371057201</v>
      </c>
      <c r="AB204" s="9">
        <f t="shared" si="26"/>
        <v>-0.33345649135105621</v>
      </c>
      <c r="AC204" s="9">
        <f t="shared" si="27"/>
        <v>-0.33414440621570463</v>
      </c>
      <c r="AD204" s="2">
        <f t="shared" si="28"/>
        <v>2.0629823754854115E-3</v>
      </c>
      <c r="AE204" s="8">
        <f t="shared" si="29"/>
        <v>4.1054357965399906E-5</v>
      </c>
      <c r="AF204" s="2">
        <f t="shared" si="30"/>
        <v>-2.2937638250509178E-4</v>
      </c>
      <c r="AG204" s="8">
        <f t="shared" si="31"/>
        <v>2.7043074047049167E-4</v>
      </c>
      <c r="AH204" s="7">
        <f t="shared" si="32"/>
        <v>-0.84818901174484052</v>
      </c>
      <c r="AI204">
        <f t="shared" si="33"/>
        <v>6</v>
      </c>
      <c r="AJ204" s="10">
        <f t="shared" si="34"/>
        <v>9.7355066569377001E-3</v>
      </c>
    </row>
    <row r="205" spans="1:36" hidden="1" x14ac:dyDescent="0.25">
      <c r="A205" t="b">
        <v>0</v>
      </c>
      <c r="B205">
        <v>1000</v>
      </c>
      <c r="C205">
        <v>9.7355066569377001E-3</v>
      </c>
      <c r="D205" t="s">
        <v>52</v>
      </c>
      <c r="E205" t="b">
        <v>1</v>
      </c>
      <c r="F205" t="s">
        <v>53</v>
      </c>
      <c r="G205">
        <v>7.4999999999999997E-2</v>
      </c>
      <c r="H205">
        <v>0.5</v>
      </c>
      <c r="I205">
        <v>1E-4</v>
      </c>
      <c r="J205" t="b">
        <v>1</v>
      </c>
      <c r="K205">
        <v>6</v>
      </c>
      <c r="L205">
        <v>1500</v>
      </c>
      <c r="M205">
        <v>0.01</v>
      </c>
      <c r="N205">
        <v>0.154</v>
      </c>
      <c r="O205" t="s">
        <v>206</v>
      </c>
      <c r="P205" t="s">
        <v>207</v>
      </c>
      <c r="Q205">
        <v>-2.63938195973309E-4</v>
      </c>
      <c r="R205">
        <v>2.2493125689512601E-3</v>
      </c>
      <c r="S205">
        <v>1.0466742782310899E-3</v>
      </c>
      <c r="T205">
        <v>-1.2564709126747699E-2</v>
      </c>
      <c r="U205">
        <v>5.9977258185930102</v>
      </c>
      <c r="V205" s="1">
        <v>9.9999999999999905E-15</v>
      </c>
      <c r="W205">
        <v>0.57722083497650101</v>
      </c>
      <c r="X205">
        <v>2.4999999999999898</v>
      </c>
      <c r="Y205">
        <v>25.864900704136002</v>
      </c>
      <c r="Z205">
        <v>0.499999999999999</v>
      </c>
      <c r="AA205">
        <v>47.299009397644603</v>
      </c>
      <c r="AB205" s="9">
        <f t="shared" si="26"/>
        <v>-0.33345588520152358</v>
      </c>
      <c r="AC205" s="9">
        <f t="shared" si="27"/>
        <v>-0.33414440621570463</v>
      </c>
      <c r="AD205" s="2">
        <f t="shared" si="28"/>
        <v>2.0648039058148715E-3</v>
      </c>
      <c r="AE205" s="8">
        <f t="shared" si="29"/>
        <v>4.0852291571646216E-5</v>
      </c>
      <c r="AF205" s="2">
        <f t="shared" si="30"/>
        <v>-2.2957844889884545E-4</v>
      </c>
      <c r="AG205" s="8">
        <f t="shared" si="31"/>
        <v>2.7043074047049167E-4</v>
      </c>
      <c r="AH205" s="7">
        <f t="shared" si="32"/>
        <v>-0.84893621375819939</v>
      </c>
      <c r="AI205">
        <f t="shared" si="33"/>
        <v>6</v>
      </c>
      <c r="AJ205" s="10">
        <f t="shared" si="34"/>
        <v>9.7355066569377001E-3</v>
      </c>
    </row>
    <row r="206" spans="1:36" hidden="1" x14ac:dyDescent="0.25">
      <c r="A206" t="b">
        <v>0</v>
      </c>
      <c r="B206">
        <v>1000</v>
      </c>
      <c r="C206">
        <v>9.7355066569377001E-3</v>
      </c>
      <c r="D206" t="s">
        <v>52</v>
      </c>
      <c r="E206" t="b">
        <v>1</v>
      </c>
      <c r="F206" t="s">
        <v>53</v>
      </c>
      <c r="G206">
        <v>7.4999999999999997E-2</v>
      </c>
      <c r="H206">
        <v>0.5</v>
      </c>
      <c r="I206">
        <v>1E-4</v>
      </c>
      <c r="J206" t="b">
        <v>1</v>
      </c>
      <c r="K206">
        <v>6</v>
      </c>
      <c r="L206">
        <v>1500</v>
      </c>
      <c r="M206">
        <v>0.01</v>
      </c>
      <c r="N206">
        <v>0.154</v>
      </c>
      <c r="O206" t="s">
        <v>206</v>
      </c>
      <c r="P206" t="s">
        <v>208</v>
      </c>
      <c r="Q206" s="1">
        <v>-1E-10</v>
      </c>
      <c r="R206" s="1">
        <v>3.5857859453499399E-12</v>
      </c>
      <c r="S206" s="1">
        <v>-7.1942699928333893E-18</v>
      </c>
      <c r="T206" s="1">
        <v>6.7980677070172105E-16</v>
      </c>
      <c r="U206">
        <v>5.9992970027609802</v>
      </c>
      <c r="V206">
        <v>0</v>
      </c>
      <c r="W206">
        <v>6.84745485144507E-2</v>
      </c>
      <c r="X206">
        <v>2</v>
      </c>
      <c r="Y206">
        <v>4.0005664288911696E-3</v>
      </c>
      <c r="Z206">
        <v>2.5000000000000001E-4</v>
      </c>
      <c r="AA206">
        <v>4.7933529991406997E-3</v>
      </c>
      <c r="AB206" s="9">
        <f t="shared" si="26"/>
        <v>-2.6248002128349452</v>
      </c>
      <c r="AC206" s="9">
        <f t="shared" si="27"/>
        <v>-0.33414440621570463</v>
      </c>
      <c r="AD206" s="2">
        <f t="shared" si="28"/>
        <v>-0.87269720393126293</v>
      </c>
      <c r="AE206" s="8">
        <f t="shared" si="29"/>
        <v>3.2340998793250142</v>
      </c>
      <c r="AF206" s="2">
        <f t="shared" si="30"/>
        <v>3.2338294485845438</v>
      </c>
      <c r="AG206" s="8">
        <f t="shared" si="31"/>
        <v>2.7043074047049167E-4</v>
      </c>
      <c r="AH206" s="7">
        <f t="shared" si="32"/>
        <v>11958.06897898653</v>
      </c>
      <c r="AI206">
        <f t="shared" si="33"/>
        <v>6</v>
      </c>
      <c r="AJ206" s="10">
        <f t="shared" si="34"/>
        <v>9.7355066569377001E-3</v>
      </c>
    </row>
    <row r="207" spans="1:36" hidden="1" x14ac:dyDescent="0.25">
      <c r="A207" t="b">
        <v>0</v>
      </c>
      <c r="B207">
        <v>1000</v>
      </c>
      <c r="C207">
        <v>9.7355066569377001E-3</v>
      </c>
      <c r="D207" t="s">
        <v>52</v>
      </c>
      <c r="E207" t="b">
        <v>1</v>
      </c>
      <c r="F207" t="s">
        <v>53</v>
      </c>
      <c r="G207">
        <v>7.4999999999999997E-2</v>
      </c>
      <c r="H207">
        <v>0.5</v>
      </c>
      <c r="I207">
        <v>1E-4</v>
      </c>
      <c r="J207" t="b">
        <v>1</v>
      </c>
      <c r="K207">
        <v>6</v>
      </c>
      <c r="L207">
        <v>1500</v>
      </c>
      <c r="M207">
        <v>0.01</v>
      </c>
      <c r="N207">
        <v>0.154</v>
      </c>
      <c r="O207" t="s">
        <v>206</v>
      </c>
      <c r="P207" t="s">
        <v>209</v>
      </c>
      <c r="Q207" s="1">
        <v>-3.7751626151040202E-5</v>
      </c>
      <c r="R207">
        <v>3.3516452615192199E-4</v>
      </c>
      <c r="S207">
        <v>1.49753236214123E-4</v>
      </c>
      <c r="T207">
        <v>-1.7995549162993501E-3</v>
      </c>
      <c r="U207">
        <v>5.9990720236004202</v>
      </c>
      <c r="V207" s="1">
        <v>9.9999999999993594E-15</v>
      </c>
      <c r="W207">
        <v>0.61126518087870996</v>
      </c>
      <c r="X207">
        <v>2.4999999999999898</v>
      </c>
      <c r="Y207">
        <v>26.727715180924399</v>
      </c>
      <c r="Z207">
        <v>0.49999999966811398</v>
      </c>
      <c r="AA207">
        <v>49.354129013421499</v>
      </c>
      <c r="AB207" s="9">
        <f t="shared" si="26"/>
        <v>-0.33380004217335624</v>
      </c>
      <c r="AC207" s="9">
        <f t="shared" si="27"/>
        <v>-0.33414440621570463</v>
      </c>
      <c r="AD207" s="2">
        <f t="shared" si="28"/>
        <v>1.0316476897553883E-3</v>
      </c>
      <c r="AE207" s="8">
        <f t="shared" si="29"/>
        <v>1.5559381901122981E-4</v>
      </c>
      <c r="AF207" s="2">
        <f t="shared" si="30"/>
        <v>-1.1483692145926186E-4</v>
      </c>
      <c r="AG207" s="8">
        <f t="shared" si="31"/>
        <v>2.7043074047049167E-4</v>
      </c>
      <c r="AH207" s="7">
        <f t="shared" si="32"/>
        <v>-0.42464448109512321</v>
      </c>
      <c r="AI207">
        <f t="shared" si="33"/>
        <v>6</v>
      </c>
      <c r="AJ207" s="10">
        <f t="shared" si="34"/>
        <v>9.7355066569377001E-3</v>
      </c>
    </row>
    <row r="208" spans="1:36" hidden="1" x14ac:dyDescent="0.25">
      <c r="A208" t="b">
        <v>0</v>
      </c>
      <c r="B208">
        <v>1000</v>
      </c>
      <c r="C208">
        <v>9.7355066569377001E-3</v>
      </c>
      <c r="D208" t="s">
        <v>52</v>
      </c>
      <c r="E208" t="b">
        <v>1</v>
      </c>
      <c r="F208" t="s">
        <v>53</v>
      </c>
      <c r="G208">
        <v>7.4999999999999997E-2</v>
      </c>
      <c r="H208">
        <v>0.5</v>
      </c>
      <c r="I208">
        <v>1E-4</v>
      </c>
      <c r="J208" t="b">
        <v>1</v>
      </c>
      <c r="K208">
        <v>6</v>
      </c>
      <c r="L208">
        <v>1500</v>
      </c>
      <c r="M208">
        <v>0.01</v>
      </c>
      <c r="N208">
        <v>0.154</v>
      </c>
      <c r="O208" t="s">
        <v>206</v>
      </c>
      <c r="P208" t="s">
        <v>210</v>
      </c>
      <c r="Q208">
        <v>-3.01691623207924E-4</v>
      </c>
      <c r="R208">
        <v>2.6426934774768001E-3</v>
      </c>
      <c r="S208">
        <v>1.1964245596436901E-3</v>
      </c>
      <c r="T208">
        <v>-1.4363814594619599E-2</v>
      </c>
      <c r="U208">
        <v>5.9975007777423404</v>
      </c>
      <c r="V208" s="1">
        <v>9.9999999999999905E-15</v>
      </c>
      <c r="W208">
        <v>0.59966119815787</v>
      </c>
      <c r="X208">
        <v>2.4999999999999898</v>
      </c>
      <c r="Y208">
        <v>26.447632967110302</v>
      </c>
      <c r="Z208">
        <v>0.499999999999999</v>
      </c>
      <c r="AA208">
        <v>48.667071714961203</v>
      </c>
      <c r="AB208" s="9">
        <f t="shared" si="26"/>
        <v>-0.33348935094526144</v>
      </c>
      <c r="AC208" s="9">
        <f t="shared" si="27"/>
        <v>-0.33414440621570463</v>
      </c>
      <c r="AD208" s="2">
        <f t="shared" si="28"/>
        <v>1.96424644021298E-3</v>
      </c>
      <c r="AE208" s="8">
        <f t="shared" si="29"/>
        <v>5.2008575393947279E-5</v>
      </c>
      <c r="AF208" s="2">
        <f t="shared" si="30"/>
        <v>-2.1842216507654438E-4</v>
      </c>
      <c r="AG208" s="8">
        <f t="shared" si="31"/>
        <v>2.7043074047049167E-4</v>
      </c>
      <c r="AH208" s="7">
        <f t="shared" si="32"/>
        <v>-0.80768245761016855</v>
      </c>
      <c r="AI208">
        <f t="shared" si="33"/>
        <v>6</v>
      </c>
      <c r="AJ208" s="10">
        <f t="shared" si="34"/>
        <v>9.7355066569377001E-3</v>
      </c>
    </row>
    <row r="209" spans="1:36" hidden="1" x14ac:dyDescent="0.25">
      <c r="A209" t="b">
        <v>0</v>
      </c>
      <c r="B209">
        <v>1000</v>
      </c>
      <c r="C209">
        <v>9.7355066569377001E-3</v>
      </c>
      <c r="D209" t="s">
        <v>52</v>
      </c>
      <c r="E209" t="b">
        <v>1</v>
      </c>
      <c r="F209" t="s">
        <v>53</v>
      </c>
      <c r="G209">
        <v>7.4999999999999997E-2</v>
      </c>
      <c r="H209">
        <v>0.5</v>
      </c>
      <c r="I209">
        <v>1E-4</v>
      </c>
      <c r="J209" t="b">
        <v>1</v>
      </c>
      <c r="K209">
        <v>6</v>
      </c>
      <c r="L209">
        <v>1500</v>
      </c>
      <c r="M209">
        <v>0.01</v>
      </c>
      <c r="N209">
        <v>0.154</v>
      </c>
      <c r="O209" t="s">
        <v>206</v>
      </c>
      <c r="P209" t="s">
        <v>211</v>
      </c>
      <c r="Q209">
        <v>-2.6393819597330802E-4</v>
      </c>
      <c r="R209">
        <v>2.23261638366812E-3</v>
      </c>
      <c r="S209">
        <v>1.0466742782310899E-3</v>
      </c>
      <c r="T209">
        <v>-1.2564709126747699E-2</v>
      </c>
      <c r="U209">
        <v>5.9977258185935103</v>
      </c>
      <c r="V209" s="1">
        <v>9.9999999999999905E-15</v>
      </c>
      <c r="W209">
        <v>0.57287150587528601</v>
      </c>
      <c r="X209">
        <v>2.4999999999999898</v>
      </c>
      <c r="Y209">
        <v>25.687797575518101</v>
      </c>
      <c r="Z209">
        <v>0.499999999999999</v>
      </c>
      <c r="AA209">
        <v>46.942757674130903</v>
      </c>
      <c r="AB209" s="9">
        <f t="shared" si="26"/>
        <v>-0.33345588520152358</v>
      </c>
      <c r="AC209" s="9">
        <f t="shared" si="27"/>
        <v>-0.33414440621570463</v>
      </c>
      <c r="AD209" s="2">
        <f t="shared" si="28"/>
        <v>2.0648039058148715E-3</v>
      </c>
      <c r="AE209" s="8">
        <f t="shared" si="29"/>
        <v>4.0852291571646216E-5</v>
      </c>
      <c r="AF209" s="2">
        <f t="shared" si="30"/>
        <v>-2.2957844889884545E-4</v>
      </c>
      <c r="AG209" s="8">
        <f t="shared" si="31"/>
        <v>2.7043074047049167E-4</v>
      </c>
      <c r="AH209" s="7">
        <f t="shared" si="32"/>
        <v>-0.84893621375819939</v>
      </c>
      <c r="AI209">
        <f t="shared" si="33"/>
        <v>6</v>
      </c>
      <c r="AJ209" s="10">
        <f t="shared" si="34"/>
        <v>9.7355066569377001E-3</v>
      </c>
    </row>
    <row r="210" spans="1:36" hidden="1" x14ac:dyDescent="0.25">
      <c r="A210" t="b">
        <v>0</v>
      </c>
      <c r="B210">
        <v>1000</v>
      </c>
      <c r="C210">
        <v>9.7355066569377001E-3</v>
      </c>
      <c r="D210" t="s">
        <v>52</v>
      </c>
      <c r="E210" t="b">
        <v>1</v>
      </c>
      <c r="F210" t="s">
        <v>53</v>
      </c>
      <c r="G210">
        <v>7.4999999999999997E-2</v>
      </c>
      <c r="H210">
        <v>0.5</v>
      </c>
      <c r="I210">
        <v>1E-4</v>
      </c>
      <c r="J210" t="b">
        <v>1</v>
      </c>
      <c r="K210">
        <v>6</v>
      </c>
      <c r="L210">
        <v>1500</v>
      </c>
      <c r="M210">
        <v>0.01</v>
      </c>
      <c r="N210">
        <v>0.154</v>
      </c>
      <c r="O210" t="s">
        <v>206</v>
      </c>
      <c r="P210" t="s">
        <v>212</v>
      </c>
      <c r="Q210">
        <v>-3.0169162320792698E-4</v>
      </c>
      <c r="R210">
        <v>2.69002558799906E-3</v>
      </c>
      <c r="S210">
        <v>1.1964245596436901E-3</v>
      </c>
      <c r="T210">
        <v>-1.43638145946197E-2</v>
      </c>
      <c r="U210">
        <v>5.9975007777425304</v>
      </c>
      <c r="V210" s="1">
        <v>9.9999999999999905E-15</v>
      </c>
      <c r="W210">
        <v>0.607871879502065</v>
      </c>
      <c r="X210">
        <v>2.4999999999999898</v>
      </c>
      <c r="Y210">
        <v>26.931714337215901</v>
      </c>
      <c r="Z210">
        <v>0.499999999999999</v>
      </c>
      <c r="AA210">
        <v>49.529807627574101</v>
      </c>
      <c r="AB210" s="9">
        <f t="shared" si="26"/>
        <v>-0.33348935094526377</v>
      </c>
      <c r="AC210" s="9">
        <f t="shared" si="27"/>
        <v>-0.33414440621570463</v>
      </c>
      <c r="AD210" s="2">
        <f t="shared" si="28"/>
        <v>1.9642464402060966E-3</v>
      </c>
      <c r="AE210" s="8">
        <f t="shared" si="29"/>
        <v>5.2008575394736849E-5</v>
      </c>
      <c r="AF210" s="2">
        <f t="shared" si="30"/>
        <v>-2.1842216507575481E-4</v>
      </c>
      <c r="AG210" s="8">
        <f t="shared" si="31"/>
        <v>2.7043074047049167E-4</v>
      </c>
      <c r="AH210" s="7">
        <f t="shared" si="32"/>
        <v>-0.80768245760724888</v>
      </c>
      <c r="AI210">
        <f t="shared" si="33"/>
        <v>6</v>
      </c>
      <c r="AJ210" s="10">
        <f t="shared" si="34"/>
        <v>9.7355066569377001E-3</v>
      </c>
    </row>
    <row r="211" spans="1:36" hidden="1" x14ac:dyDescent="0.25">
      <c r="A211" t="b">
        <v>0</v>
      </c>
      <c r="B211">
        <v>1000</v>
      </c>
      <c r="C211">
        <v>9.7355066569377001E-3</v>
      </c>
      <c r="D211" t="s">
        <v>52</v>
      </c>
      <c r="E211" t="b">
        <v>1</v>
      </c>
      <c r="F211" t="s">
        <v>53</v>
      </c>
      <c r="G211">
        <v>7.4999999999999997E-2</v>
      </c>
      <c r="H211">
        <v>0.5</v>
      </c>
      <c r="I211">
        <v>1E-4</v>
      </c>
      <c r="J211" t="b">
        <v>1</v>
      </c>
      <c r="K211">
        <v>6</v>
      </c>
      <c r="L211">
        <v>1500</v>
      </c>
      <c r="M211">
        <v>0.01</v>
      </c>
      <c r="N211">
        <v>0.154</v>
      </c>
      <c r="O211" t="s">
        <v>206</v>
      </c>
      <c r="P211" t="s">
        <v>213</v>
      </c>
      <c r="Q211">
        <v>-5.6564419118829699E-4</v>
      </c>
      <c r="R211">
        <v>4.8874263047787503E-3</v>
      </c>
      <c r="S211">
        <v>2.2430752558082298E-3</v>
      </c>
      <c r="T211">
        <v>-2.69249367424652E-2</v>
      </c>
      <c r="U211">
        <v>5.9959291006033499</v>
      </c>
      <c r="V211" s="1">
        <v>9.9999999999999905E-15</v>
      </c>
      <c r="W211">
        <v>0.58423916898774497</v>
      </c>
      <c r="X211">
        <v>2.4999999999999898</v>
      </c>
      <c r="Y211">
        <v>26.215260529083299</v>
      </c>
      <c r="Z211">
        <v>0.499999999999999</v>
      </c>
      <c r="AA211">
        <v>47.956597807023599</v>
      </c>
      <c r="AB211" s="9">
        <f t="shared" si="26"/>
        <v>-0.33343282066719238</v>
      </c>
      <c r="AC211" s="9">
        <f t="shared" si="27"/>
        <v>-0.33414440621570463</v>
      </c>
      <c r="AD211" s="2">
        <f t="shared" si="28"/>
        <v>2.1341196919018035E-3</v>
      </c>
      <c r="AE211" s="8">
        <f t="shared" si="29"/>
        <v>3.3163544403885423E-5</v>
      </c>
      <c r="AF211" s="2">
        <f t="shared" si="30"/>
        <v>-2.3726719606660625E-4</v>
      </c>
      <c r="AG211" s="8">
        <f t="shared" si="31"/>
        <v>2.7043074047049167E-4</v>
      </c>
      <c r="AH211" s="7">
        <f t="shared" si="32"/>
        <v>-0.87736769737719922</v>
      </c>
      <c r="AI211">
        <f t="shared" si="33"/>
        <v>6</v>
      </c>
      <c r="AJ211" s="10">
        <f t="shared" si="34"/>
        <v>9.7355066569377001E-3</v>
      </c>
    </row>
    <row r="212" spans="1:36" hidden="1" x14ac:dyDescent="0.25">
      <c r="A212" t="b">
        <v>0</v>
      </c>
      <c r="B212">
        <v>1000</v>
      </c>
      <c r="C212">
        <v>9.7355066569377001E-3</v>
      </c>
      <c r="D212" t="s">
        <v>52</v>
      </c>
      <c r="E212" t="b">
        <v>1</v>
      </c>
      <c r="F212" t="s">
        <v>53</v>
      </c>
      <c r="G212">
        <v>7.4999999999999997E-2</v>
      </c>
      <c r="H212">
        <v>0.5</v>
      </c>
      <c r="I212">
        <v>1E-4</v>
      </c>
      <c r="J212" t="b">
        <v>1</v>
      </c>
      <c r="K212">
        <v>6</v>
      </c>
      <c r="L212">
        <v>1500</v>
      </c>
      <c r="M212">
        <v>0.01</v>
      </c>
      <c r="N212">
        <v>0.154</v>
      </c>
      <c r="O212" t="s">
        <v>207</v>
      </c>
      <c r="P212" t="s">
        <v>210</v>
      </c>
      <c r="Q212" s="1">
        <v>-3.7753426972877298E-5</v>
      </c>
      <c r="R212">
        <v>3.33684963196589E-4</v>
      </c>
      <c r="S212">
        <v>1.4975028141259199E-4</v>
      </c>
      <c r="T212">
        <v>-1.7991054678719301E-3</v>
      </c>
      <c r="U212">
        <v>5.9959295935743402</v>
      </c>
      <c r="V212" s="1">
        <v>9.9999999999993594E-15</v>
      </c>
      <c r="W212">
        <v>0.59746049468580098</v>
      </c>
      <c r="X212">
        <v>2.4999999999999898</v>
      </c>
      <c r="Y212">
        <v>26.7844987682757</v>
      </c>
      <c r="Z212">
        <v>0.49999999966639203</v>
      </c>
      <c r="AA212">
        <v>49.062302692421198</v>
      </c>
      <c r="AB212" s="9">
        <f t="shared" si="26"/>
        <v>-0.33372325857365071</v>
      </c>
      <c r="AC212" s="9">
        <f t="shared" si="27"/>
        <v>-0.33414440621570463</v>
      </c>
      <c r="AD212" s="2">
        <f t="shared" si="28"/>
        <v>1.261966708145934E-3</v>
      </c>
      <c r="AE212" s="8">
        <f t="shared" si="29"/>
        <v>1.2999197582326132E-4</v>
      </c>
      <c r="AF212" s="2">
        <f t="shared" si="30"/>
        <v>-1.4043876464723035E-4</v>
      </c>
      <c r="AG212" s="8">
        <f t="shared" si="31"/>
        <v>2.7043074047049167E-4</v>
      </c>
      <c r="AH212" s="7">
        <f t="shared" si="32"/>
        <v>-0.51931509118710739</v>
      </c>
      <c r="AI212">
        <f t="shared" si="33"/>
        <v>6</v>
      </c>
      <c r="AJ212" s="10">
        <f t="shared" si="34"/>
        <v>9.7355066569377001E-3</v>
      </c>
    </row>
    <row r="213" spans="1:36" hidden="1" x14ac:dyDescent="0.25">
      <c r="A213" t="b">
        <v>0</v>
      </c>
      <c r="B213">
        <v>1000</v>
      </c>
      <c r="C213">
        <v>9.7355066569377001E-3</v>
      </c>
      <c r="D213" t="s">
        <v>52</v>
      </c>
      <c r="E213" t="b">
        <v>1</v>
      </c>
      <c r="F213" t="s">
        <v>53</v>
      </c>
      <c r="G213">
        <v>7.4999999999999997E-2</v>
      </c>
      <c r="H213">
        <v>0.5</v>
      </c>
      <c r="I213">
        <v>1E-4</v>
      </c>
      <c r="J213" t="b">
        <v>1</v>
      </c>
      <c r="K213">
        <v>6</v>
      </c>
      <c r="L213">
        <v>1500</v>
      </c>
      <c r="M213">
        <v>0.01</v>
      </c>
      <c r="N213">
        <v>0.154</v>
      </c>
      <c r="O213" t="s">
        <v>207</v>
      </c>
      <c r="P213" t="s">
        <v>211</v>
      </c>
      <c r="Q213" s="1">
        <v>-1E-10</v>
      </c>
      <c r="R213" s="1">
        <v>3.5857859091008001E-12</v>
      </c>
      <c r="S213" s="1">
        <v>-1.8995217973760701E-18</v>
      </c>
      <c r="T213" s="1">
        <v>5.57243620413605E-16</v>
      </c>
      <c r="U213">
        <v>5.9961546344255101</v>
      </c>
      <c r="V213">
        <v>0</v>
      </c>
      <c r="W213">
        <v>6.8474547822233306E-2</v>
      </c>
      <c r="X213">
        <v>2</v>
      </c>
      <c r="Y213">
        <v>4.0005663884489602E-3</v>
      </c>
      <c r="Z213">
        <v>2.5000000000000001E-4</v>
      </c>
      <c r="AA213">
        <v>4.7933529506841198E-3</v>
      </c>
      <c r="AB213" s="9">
        <f t="shared" si="26"/>
        <v>-8.1488875133286616</v>
      </c>
      <c r="AC213" s="9">
        <f t="shared" si="27"/>
        <v>-0.33414440621570463</v>
      </c>
      <c r="AD213" s="2">
        <f t="shared" si="28"/>
        <v>-0.9589950891248451</v>
      </c>
      <c r="AE213" s="8">
        <f t="shared" si="29"/>
        <v>-1.6229812577880518</v>
      </c>
      <c r="AF213" s="2">
        <f t="shared" si="30"/>
        <v>-1.6232516885285222</v>
      </c>
      <c r="AG213" s="8">
        <f t="shared" si="31"/>
        <v>2.7043074047049167E-4</v>
      </c>
      <c r="AH213" s="7">
        <f t="shared" si="32"/>
        <v>-6002.467344150341</v>
      </c>
      <c r="AI213">
        <f t="shared" si="33"/>
        <v>6</v>
      </c>
      <c r="AJ213" s="10">
        <f t="shared" si="34"/>
        <v>9.7355066569377001E-3</v>
      </c>
    </row>
    <row r="214" spans="1:36" hidden="1" x14ac:dyDescent="0.25">
      <c r="A214" t="b">
        <v>0</v>
      </c>
      <c r="B214">
        <v>1000</v>
      </c>
      <c r="C214">
        <v>9.7355066569377001E-3</v>
      </c>
      <c r="D214" t="s">
        <v>52</v>
      </c>
      <c r="E214" t="b">
        <v>1</v>
      </c>
      <c r="F214" t="s">
        <v>53</v>
      </c>
      <c r="G214">
        <v>7.4999999999999997E-2</v>
      </c>
      <c r="H214">
        <v>0.5</v>
      </c>
      <c r="I214">
        <v>1E-4</v>
      </c>
      <c r="J214" t="b">
        <v>1</v>
      </c>
      <c r="K214">
        <v>6</v>
      </c>
      <c r="L214">
        <v>1500</v>
      </c>
      <c r="M214">
        <v>0.01</v>
      </c>
      <c r="N214">
        <v>0.154</v>
      </c>
      <c r="O214" t="s">
        <v>207</v>
      </c>
      <c r="P214" t="s">
        <v>212</v>
      </c>
      <c r="Q214" s="1">
        <v>-3.7753426972879202E-5</v>
      </c>
      <c r="R214">
        <v>3.26148086809716E-4</v>
      </c>
      <c r="S214">
        <v>1.49750281412595E-4</v>
      </c>
      <c r="T214">
        <v>-1.7991054678718301E-3</v>
      </c>
      <c r="U214">
        <v>5.9959295935745196</v>
      </c>
      <c r="V214" s="1">
        <v>9.9999999999993594E-15</v>
      </c>
      <c r="W214">
        <v>0.58426521666145104</v>
      </c>
      <c r="X214">
        <v>2.4999999999999898</v>
      </c>
      <c r="Y214">
        <v>26.2107781698537</v>
      </c>
      <c r="Z214">
        <v>0.49999999966638797</v>
      </c>
      <c r="AA214">
        <v>47.9474408337637</v>
      </c>
      <c r="AB214" s="9">
        <f t="shared" si="26"/>
        <v>-0.33372325857362539</v>
      </c>
      <c r="AC214" s="9">
        <f t="shared" si="27"/>
        <v>-0.33414440621570463</v>
      </c>
      <c r="AD214" s="2">
        <f t="shared" si="28"/>
        <v>1.2619667082218733E-3</v>
      </c>
      <c r="AE214" s="8">
        <f t="shared" si="29"/>
        <v>1.2999197581482145E-4</v>
      </c>
      <c r="AF214" s="2">
        <f t="shared" si="30"/>
        <v>-1.4043876465567022E-4</v>
      </c>
      <c r="AG214" s="8">
        <f t="shared" si="31"/>
        <v>2.7043074047049167E-4</v>
      </c>
      <c r="AH214" s="7">
        <f t="shared" si="32"/>
        <v>-0.51931509121831632</v>
      </c>
      <c r="AI214">
        <f t="shared" si="33"/>
        <v>6</v>
      </c>
      <c r="AJ214" s="10">
        <f t="shared" si="34"/>
        <v>9.7355066569377001E-3</v>
      </c>
    </row>
    <row r="215" spans="1:36" hidden="1" x14ac:dyDescent="0.25">
      <c r="A215" t="b">
        <v>0</v>
      </c>
      <c r="B215">
        <v>1000</v>
      </c>
      <c r="C215">
        <v>9.7355066569377001E-3</v>
      </c>
      <c r="D215" t="s">
        <v>52</v>
      </c>
      <c r="E215" t="b">
        <v>1</v>
      </c>
      <c r="F215" t="s">
        <v>53</v>
      </c>
      <c r="G215">
        <v>7.4999999999999997E-2</v>
      </c>
      <c r="H215">
        <v>0.5</v>
      </c>
      <c r="I215">
        <v>1E-4</v>
      </c>
      <c r="J215" t="b">
        <v>1</v>
      </c>
      <c r="K215">
        <v>6</v>
      </c>
      <c r="L215">
        <v>1500</v>
      </c>
      <c r="M215">
        <v>0.01</v>
      </c>
      <c r="N215">
        <v>0.154</v>
      </c>
      <c r="O215" t="s">
        <v>207</v>
      </c>
      <c r="P215" t="s">
        <v>213</v>
      </c>
      <c r="Q215">
        <v>-3.0170599521511901E-4</v>
      </c>
      <c r="R215">
        <v>2.6615128942178699E-3</v>
      </c>
      <c r="S215">
        <v>1.1964009775771299E-3</v>
      </c>
      <c r="T215">
        <v>-1.43602276157174E-2</v>
      </c>
      <c r="U215">
        <v>5.9943579164353498</v>
      </c>
      <c r="V215" s="1">
        <v>9.9999999999999905E-15</v>
      </c>
      <c r="W215">
        <v>0.59999963343941698</v>
      </c>
      <c r="X215">
        <v>2.4999999999999898</v>
      </c>
      <c r="Y215">
        <v>26.682191686987601</v>
      </c>
      <c r="Z215">
        <v>0.499999999999999</v>
      </c>
      <c r="AA215">
        <v>48.990342051953903</v>
      </c>
      <c r="AB215" s="9">
        <f t="shared" si="26"/>
        <v>-0.33341264260375403</v>
      </c>
      <c r="AC215" s="9">
        <f t="shared" si="27"/>
        <v>-0.33414440621570463</v>
      </c>
      <c r="AD215" s="2">
        <f t="shared" si="28"/>
        <v>2.1947686393533061E-3</v>
      </c>
      <c r="AE215" s="8">
        <f t="shared" si="29"/>
        <v>2.6437122376527478E-5</v>
      </c>
      <c r="AF215" s="2">
        <f t="shared" si="30"/>
        <v>-2.4399361809396419E-4</v>
      </c>
      <c r="AG215" s="8">
        <f t="shared" si="31"/>
        <v>2.7043074047049167E-4</v>
      </c>
      <c r="AH215" s="7">
        <f t="shared" si="32"/>
        <v>-0.90224069079375913</v>
      </c>
      <c r="AI215">
        <f t="shared" si="33"/>
        <v>6</v>
      </c>
      <c r="AJ215" s="10">
        <f t="shared" si="34"/>
        <v>9.7355066569377001E-3</v>
      </c>
    </row>
    <row r="216" spans="1:36" hidden="1" x14ac:dyDescent="0.25">
      <c r="A216" t="b">
        <v>0</v>
      </c>
      <c r="B216">
        <v>1000</v>
      </c>
      <c r="C216">
        <v>9.7355066569377001E-3</v>
      </c>
      <c r="D216" t="s">
        <v>52</v>
      </c>
      <c r="E216" t="b">
        <v>1</v>
      </c>
      <c r="F216" t="s">
        <v>53</v>
      </c>
      <c r="G216">
        <v>7.4999999999999997E-2</v>
      </c>
      <c r="H216">
        <v>0.5</v>
      </c>
      <c r="I216">
        <v>1E-4</v>
      </c>
      <c r="J216" t="b">
        <v>1</v>
      </c>
      <c r="K216">
        <v>6</v>
      </c>
      <c r="L216">
        <v>1500</v>
      </c>
      <c r="M216">
        <v>0.01</v>
      </c>
      <c r="N216">
        <v>0.154</v>
      </c>
      <c r="O216" t="s">
        <v>208</v>
      </c>
      <c r="P216" t="s">
        <v>209</v>
      </c>
      <c r="Q216" s="1">
        <v>-3.77516261510413E-5</v>
      </c>
      <c r="R216">
        <v>3.2516591973461701E-4</v>
      </c>
      <c r="S216">
        <v>1.4975323621412999E-4</v>
      </c>
      <c r="T216">
        <v>-1.7995549162996599E-3</v>
      </c>
      <c r="U216">
        <v>5.9990720236003803</v>
      </c>
      <c r="V216" s="1">
        <v>9.9999999999993594E-15</v>
      </c>
      <c r="W216">
        <v>0.59098161528912097</v>
      </c>
      <c r="X216">
        <v>2.4999999999999898</v>
      </c>
      <c r="Y216">
        <v>26.016786867918501</v>
      </c>
      <c r="Z216">
        <v>0.49999999966811498</v>
      </c>
      <c r="AA216">
        <v>47.853707680917303</v>
      </c>
      <c r="AB216" s="9">
        <f t="shared" si="26"/>
        <v>-0.33380004217339809</v>
      </c>
      <c r="AC216" s="9">
        <f t="shared" si="27"/>
        <v>-0.33414440621570463</v>
      </c>
      <c r="AD216" s="2">
        <f t="shared" si="28"/>
        <v>1.0316476896299331E-3</v>
      </c>
      <c r="AE216" s="8">
        <f t="shared" si="29"/>
        <v>1.555938190251736E-4</v>
      </c>
      <c r="AF216" s="2">
        <f t="shared" si="30"/>
        <v>-1.1483692144531807E-4</v>
      </c>
      <c r="AG216" s="8">
        <f t="shared" si="31"/>
        <v>2.7043074047049167E-4</v>
      </c>
      <c r="AH216" s="7">
        <f t="shared" si="32"/>
        <v>-0.42464448104356178</v>
      </c>
      <c r="AI216">
        <f t="shared" si="33"/>
        <v>6</v>
      </c>
      <c r="AJ216" s="10">
        <f t="shared" si="34"/>
        <v>9.7355066569377001E-3</v>
      </c>
    </row>
    <row r="217" spans="1:36" hidden="1" x14ac:dyDescent="0.25">
      <c r="A217" t="b">
        <v>0</v>
      </c>
      <c r="B217">
        <v>1000</v>
      </c>
      <c r="C217">
        <v>9.7355066569377001E-3</v>
      </c>
      <c r="D217" t="s">
        <v>52</v>
      </c>
      <c r="E217" t="b">
        <v>1</v>
      </c>
      <c r="F217" t="s">
        <v>53</v>
      </c>
      <c r="G217">
        <v>7.4999999999999997E-2</v>
      </c>
      <c r="H217">
        <v>0.5</v>
      </c>
      <c r="I217">
        <v>1E-4</v>
      </c>
      <c r="J217" t="b">
        <v>1</v>
      </c>
      <c r="K217">
        <v>6</v>
      </c>
      <c r="L217">
        <v>1500</v>
      </c>
      <c r="M217">
        <v>0.01</v>
      </c>
      <c r="N217">
        <v>0.154</v>
      </c>
      <c r="O217" t="s">
        <v>208</v>
      </c>
      <c r="P217" t="s">
        <v>210</v>
      </c>
      <c r="Q217">
        <v>-3.0169162320792698E-4</v>
      </c>
      <c r="R217">
        <v>2.66760363452807E-3</v>
      </c>
      <c r="S217">
        <v>1.1964245596437001E-3</v>
      </c>
      <c r="T217">
        <v>-1.4363814594619899E-2</v>
      </c>
      <c r="U217">
        <v>5.9975007777423004</v>
      </c>
      <c r="V217" s="1">
        <v>9.9999999999999905E-15</v>
      </c>
      <c r="W217">
        <v>0.60393532795673999</v>
      </c>
      <c r="X217">
        <v>2.4999999999999898</v>
      </c>
      <c r="Y217">
        <v>26.7021710562984</v>
      </c>
      <c r="Z217">
        <v>0.499999999999999</v>
      </c>
      <c r="AA217">
        <v>49.121669805901398</v>
      </c>
      <c r="AB217" s="9">
        <f t="shared" si="26"/>
        <v>-0.33348935094526561</v>
      </c>
      <c r="AC217" s="9">
        <f t="shared" si="27"/>
        <v>-0.33414440621570463</v>
      </c>
      <c r="AD217" s="2">
        <f t="shared" si="28"/>
        <v>1.9642464402005455E-3</v>
      </c>
      <c r="AE217" s="8">
        <f t="shared" si="29"/>
        <v>5.200857539532902E-5</v>
      </c>
      <c r="AF217" s="2">
        <f t="shared" si="30"/>
        <v>-2.1842216507516265E-4</v>
      </c>
      <c r="AG217" s="8">
        <f t="shared" si="31"/>
        <v>2.7043074047049167E-4</v>
      </c>
      <c r="AH217" s="7">
        <f t="shared" si="32"/>
        <v>-0.80768245760505919</v>
      </c>
      <c r="AI217">
        <f t="shared" si="33"/>
        <v>6</v>
      </c>
      <c r="AJ217" s="10">
        <f t="shared" si="34"/>
        <v>9.7355066569377001E-3</v>
      </c>
    </row>
    <row r="218" spans="1:36" hidden="1" x14ac:dyDescent="0.25">
      <c r="A218" t="b">
        <v>0</v>
      </c>
      <c r="B218">
        <v>1000</v>
      </c>
      <c r="C218">
        <v>9.7355066569377001E-3</v>
      </c>
      <c r="D218" t="s">
        <v>52</v>
      </c>
      <c r="E218" t="b">
        <v>1</v>
      </c>
      <c r="F218" t="s">
        <v>53</v>
      </c>
      <c r="G218">
        <v>7.4999999999999997E-2</v>
      </c>
      <c r="H218">
        <v>0.5</v>
      </c>
      <c r="I218">
        <v>1E-4</v>
      </c>
      <c r="J218" t="b">
        <v>1</v>
      </c>
      <c r="K218">
        <v>6</v>
      </c>
      <c r="L218">
        <v>1500</v>
      </c>
      <c r="M218">
        <v>0.01</v>
      </c>
      <c r="N218">
        <v>0.154</v>
      </c>
      <c r="O218" t="s">
        <v>208</v>
      </c>
      <c r="P218" t="s">
        <v>211</v>
      </c>
      <c r="Q218">
        <v>-2.6393819597330997E-4</v>
      </c>
      <c r="R218">
        <v>2.2716921643513598E-3</v>
      </c>
      <c r="S218">
        <v>1.0466742782311001E-3</v>
      </c>
      <c r="T218">
        <v>-1.25647091267478E-2</v>
      </c>
      <c r="U218">
        <v>5.9977258185934703</v>
      </c>
      <c r="V218" s="1">
        <v>9.9999999999999905E-15</v>
      </c>
      <c r="W218">
        <v>0.583622250494231</v>
      </c>
      <c r="X218">
        <v>2.4999999999999898</v>
      </c>
      <c r="Y218">
        <v>26.095469351632602</v>
      </c>
      <c r="Z218">
        <v>0.499999999999999</v>
      </c>
      <c r="AA218">
        <v>47.778291566005898</v>
      </c>
      <c r="AB218" s="9">
        <f t="shared" si="26"/>
        <v>-0.33345588520152303</v>
      </c>
      <c r="AC218" s="9">
        <f t="shared" si="27"/>
        <v>-0.33414440621570463</v>
      </c>
      <c r="AD218" s="2">
        <f t="shared" si="28"/>
        <v>2.0648039058164258E-3</v>
      </c>
      <c r="AE218" s="8">
        <f t="shared" si="29"/>
        <v>4.085229157144883E-5</v>
      </c>
      <c r="AF218" s="2">
        <f t="shared" si="30"/>
        <v>-2.2957844889904283E-4</v>
      </c>
      <c r="AG218" s="8">
        <f t="shared" si="31"/>
        <v>2.7043074047049167E-4</v>
      </c>
      <c r="AH218" s="7">
        <f t="shared" si="32"/>
        <v>-0.84893621375892925</v>
      </c>
      <c r="AI218">
        <f t="shared" si="33"/>
        <v>6</v>
      </c>
      <c r="AJ218" s="10">
        <f t="shared" si="34"/>
        <v>9.7355066569377001E-3</v>
      </c>
    </row>
    <row r="219" spans="1:36" hidden="1" x14ac:dyDescent="0.25">
      <c r="A219" t="b">
        <v>0</v>
      </c>
      <c r="B219">
        <v>1000</v>
      </c>
      <c r="C219">
        <v>9.7355066569377001E-3</v>
      </c>
      <c r="D219" t="s">
        <v>52</v>
      </c>
      <c r="E219" t="b">
        <v>1</v>
      </c>
      <c r="F219" t="s">
        <v>53</v>
      </c>
      <c r="G219">
        <v>7.4999999999999997E-2</v>
      </c>
      <c r="H219">
        <v>0.5</v>
      </c>
      <c r="I219">
        <v>1E-4</v>
      </c>
      <c r="J219" t="b">
        <v>1</v>
      </c>
      <c r="K219">
        <v>6</v>
      </c>
      <c r="L219">
        <v>1500</v>
      </c>
      <c r="M219">
        <v>0.01</v>
      </c>
      <c r="N219">
        <v>0.154</v>
      </c>
      <c r="O219" t="s">
        <v>208</v>
      </c>
      <c r="P219" t="s">
        <v>212</v>
      </c>
      <c r="Q219">
        <v>-3.0169162320792898E-4</v>
      </c>
      <c r="R219">
        <v>2.6356711545865701E-3</v>
      </c>
      <c r="S219">
        <v>1.1964245596437001E-3</v>
      </c>
      <c r="T219">
        <v>-1.4363814594619899E-2</v>
      </c>
      <c r="U219">
        <v>5.9975007777424896</v>
      </c>
      <c r="V219" s="1">
        <v>9.9999999999999905E-15</v>
      </c>
      <c r="W219">
        <v>0.59563765874124996</v>
      </c>
      <c r="X219">
        <v>2.4999999999999898</v>
      </c>
      <c r="Y219">
        <v>26.418257921058601</v>
      </c>
      <c r="Z219">
        <v>0.499999999999999</v>
      </c>
      <c r="AA219">
        <v>48.521551667559301</v>
      </c>
      <c r="AB219" s="9">
        <f t="shared" si="26"/>
        <v>-0.33348935094526561</v>
      </c>
      <c r="AC219" s="9">
        <f t="shared" si="27"/>
        <v>-0.33414440621570463</v>
      </c>
      <c r="AD219" s="2">
        <f t="shared" si="28"/>
        <v>1.9642464402005455E-3</v>
      </c>
      <c r="AE219" s="8">
        <f t="shared" si="29"/>
        <v>5.200857539532902E-5</v>
      </c>
      <c r="AF219" s="2">
        <f t="shared" si="30"/>
        <v>-2.1842216507516265E-4</v>
      </c>
      <c r="AG219" s="8">
        <f t="shared" si="31"/>
        <v>2.7043074047049167E-4</v>
      </c>
      <c r="AH219" s="7">
        <f t="shared" si="32"/>
        <v>-0.80768245760505919</v>
      </c>
      <c r="AI219">
        <f t="shared" si="33"/>
        <v>6</v>
      </c>
      <c r="AJ219" s="10">
        <f t="shared" si="34"/>
        <v>9.7355066569377001E-3</v>
      </c>
    </row>
    <row r="220" spans="1:36" hidden="1" x14ac:dyDescent="0.25">
      <c r="A220" t="b">
        <v>0</v>
      </c>
      <c r="B220">
        <v>1000</v>
      </c>
      <c r="C220">
        <v>9.7355066569377001E-3</v>
      </c>
      <c r="D220" t="s">
        <v>52</v>
      </c>
      <c r="E220" t="b">
        <v>1</v>
      </c>
      <c r="F220" t="s">
        <v>53</v>
      </c>
      <c r="G220">
        <v>7.4999999999999997E-2</v>
      </c>
      <c r="H220">
        <v>0.5</v>
      </c>
      <c r="I220">
        <v>1E-4</v>
      </c>
      <c r="J220" t="b">
        <v>1</v>
      </c>
      <c r="K220">
        <v>6</v>
      </c>
      <c r="L220">
        <v>1500</v>
      </c>
      <c r="M220">
        <v>0.01</v>
      </c>
      <c r="N220">
        <v>0.154</v>
      </c>
      <c r="O220" t="s">
        <v>208</v>
      </c>
      <c r="P220" t="s">
        <v>213</v>
      </c>
      <c r="Q220">
        <v>-5.6564419118829102E-4</v>
      </c>
      <c r="R220">
        <v>5.03368166557928E-3</v>
      </c>
      <c r="S220">
        <v>2.2430752558082398E-3</v>
      </c>
      <c r="T220">
        <v>-2.6924936742465402E-2</v>
      </c>
      <c r="U220">
        <v>5.99592910060331</v>
      </c>
      <c r="V220" s="1">
        <v>9.9999999999999905E-15</v>
      </c>
      <c r="W220">
        <v>0.60294273567337098</v>
      </c>
      <c r="X220">
        <v>2.4999999999999898</v>
      </c>
      <c r="Y220">
        <v>26.933166017526201</v>
      </c>
      <c r="Z220">
        <v>0.499999999999999</v>
      </c>
      <c r="AA220">
        <v>49.410893385633997</v>
      </c>
      <c r="AB220" s="9">
        <f t="shared" si="26"/>
        <v>-0.33343282066719343</v>
      </c>
      <c r="AC220" s="9">
        <f t="shared" si="27"/>
        <v>-0.33414440621570463</v>
      </c>
      <c r="AD220" s="2">
        <f t="shared" si="28"/>
        <v>2.1341196918986949E-3</v>
      </c>
      <c r="AE220" s="8">
        <f t="shared" si="29"/>
        <v>3.3163544404230857E-5</v>
      </c>
      <c r="AF220" s="2">
        <f t="shared" si="30"/>
        <v>-2.3726719606626082E-4</v>
      </c>
      <c r="AG220" s="8">
        <f t="shared" si="31"/>
        <v>2.7043074047049167E-4</v>
      </c>
      <c r="AH220" s="7">
        <f t="shared" si="32"/>
        <v>-0.87736769737592191</v>
      </c>
      <c r="AI220">
        <f t="shared" si="33"/>
        <v>6</v>
      </c>
      <c r="AJ220" s="10">
        <f t="shared" si="34"/>
        <v>9.7355066569377001E-3</v>
      </c>
    </row>
    <row r="221" spans="1:36" hidden="1" x14ac:dyDescent="0.25">
      <c r="A221" t="b">
        <v>0</v>
      </c>
      <c r="B221">
        <v>1000</v>
      </c>
      <c r="C221">
        <v>9.7355066569377001E-3</v>
      </c>
      <c r="D221" t="s">
        <v>52</v>
      </c>
      <c r="E221" t="b">
        <v>1</v>
      </c>
      <c r="F221" t="s">
        <v>53</v>
      </c>
      <c r="G221">
        <v>7.4999999999999997E-2</v>
      </c>
      <c r="H221">
        <v>0.5</v>
      </c>
      <c r="I221">
        <v>1E-4</v>
      </c>
      <c r="J221" t="b">
        <v>1</v>
      </c>
      <c r="K221">
        <v>6</v>
      </c>
      <c r="L221">
        <v>1500</v>
      </c>
      <c r="M221">
        <v>0.01</v>
      </c>
      <c r="N221">
        <v>0.154</v>
      </c>
      <c r="O221" t="s">
        <v>209</v>
      </c>
      <c r="P221" t="s">
        <v>210</v>
      </c>
      <c r="Q221">
        <v>-2.6393999679587E-4</v>
      </c>
      <c r="R221">
        <v>2.2995629958277599E-3</v>
      </c>
      <c r="S221">
        <v>1.0466713234295699E-3</v>
      </c>
      <c r="T221">
        <v>-1.25642596783205E-2</v>
      </c>
      <c r="U221">
        <v>5.9972757985817404</v>
      </c>
      <c r="V221" s="1">
        <v>9.9999999999999905E-15</v>
      </c>
      <c r="W221">
        <v>0.591848385532453</v>
      </c>
      <c r="X221">
        <v>2.4999999999999898</v>
      </c>
      <c r="Y221">
        <v>26.379565949756302</v>
      </c>
      <c r="Z221">
        <v>0.499999999999999</v>
      </c>
      <c r="AA221">
        <v>48.375254130108999</v>
      </c>
      <c r="AB221" s="9">
        <f t="shared" si="26"/>
        <v>-0.33344489857915277</v>
      </c>
      <c r="AC221" s="9">
        <f t="shared" si="27"/>
        <v>-0.33414440621570463</v>
      </c>
      <c r="AD221" s="2">
        <f t="shared" si="28"/>
        <v>2.0978207779831504E-3</v>
      </c>
      <c r="AE221" s="8">
        <f t="shared" si="29"/>
        <v>3.7189798302815216E-5</v>
      </c>
      <c r="AF221" s="2">
        <f t="shared" si="30"/>
        <v>-2.3324094216767646E-4</v>
      </c>
      <c r="AG221" s="8">
        <f t="shared" si="31"/>
        <v>2.7043074047049167E-4</v>
      </c>
      <c r="AH221" s="7">
        <f t="shared" si="32"/>
        <v>-0.86247939772633497</v>
      </c>
      <c r="AI221">
        <f t="shared" si="33"/>
        <v>6</v>
      </c>
      <c r="AJ221" s="10">
        <f t="shared" si="34"/>
        <v>9.7355066569377001E-3</v>
      </c>
    </row>
    <row r="222" spans="1:36" hidden="1" x14ac:dyDescent="0.25">
      <c r="A222" t="b">
        <v>0</v>
      </c>
      <c r="B222">
        <v>1000</v>
      </c>
      <c r="C222">
        <v>9.7355066569377001E-3</v>
      </c>
      <c r="D222" t="s">
        <v>52</v>
      </c>
      <c r="E222" t="b">
        <v>1</v>
      </c>
      <c r="F222" t="s">
        <v>53</v>
      </c>
      <c r="G222">
        <v>7.4999999999999997E-2</v>
      </c>
      <c r="H222">
        <v>0.5</v>
      </c>
      <c r="I222">
        <v>1E-4</v>
      </c>
      <c r="J222" t="b">
        <v>1</v>
      </c>
      <c r="K222">
        <v>6</v>
      </c>
      <c r="L222">
        <v>1500</v>
      </c>
      <c r="M222">
        <v>0.01</v>
      </c>
      <c r="N222">
        <v>0.154</v>
      </c>
      <c r="O222" t="s">
        <v>209</v>
      </c>
      <c r="P222" t="s">
        <v>211</v>
      </c>
      <c r="Q222">
        <v>-2.2618656956124701E-4</v>
      </c>
      <c r="R222">
        <v>1.84814788931138E-3</v>
      </c>
      <c r="S222">
        <v>8.9692104201697504E-4</v>
      </c>
      <c r="T222">
        <v>-1.07651542104485E-2</v>
      </c>
      <c r="U222">
        <v>5.9975008394329201</v>
      </c>
      <c r="V222" s="1">
        <v>9.9999999999999905E-15</v>
      </c>
      <c r="W222">
        <v>0.55042083066826097</v>
      </c>
      <c r="X222">
        <v>2.4999999999999898</v>
      </c>
      <c r="Y222">
        <v>24.914380506781502</v>
      </c>
      <c r="Z222">
        <v>0.499999999999999</v>
      </c>
      <c r="AA222">
        <v>45.311100569335601</v>
      </c>
      <c r="AB222" s="9">
        <f t="shared" si="26"/>
        <v>-0.33339842348763604</v>
      </c>
      <c r="AC222" s="9">
        <f t="shared" si="27"/>
        <v>-0.33414440621570463</v>
      </c>
      <c r="AD222" s="2">
        <f t="shared" si="28"/>
        <v>2.2375112643453487E-3</v>
      </c>
      <c r="AE222" s="8">
        <f t="shared" si="29"/>
        <v>2.1697188858705461E-5</v>
      </c>
      <c r="AF222" s="2">
        <f t="shared" si="30"/>
        <v>-2.487335516117862E-4</v>
      </c>
      <c r="AG222" s="8">
        <f t="shared" si="31"/>
        <v>2.7043074047049167E-4</v>
      </c>
      <c r="AH222" s="7">
        <f t="shared" si="32"/>
        <v>-0.91976803812703767</v>
      </c>
      <c r="AI222">
        <f t="shared" si="33"/>
        <v>6</v>
      </c>
      <c r="AJ222" s="10">
        <f t="shared" si="34"/>
        <v>9.7355066569377001E-3</v>
      </c>
    </row>
    <row r="223" spans="1:36" hidden="1" x14ac:dyDescent="0.25">
      <c r="A223" t="b">
        <v>0</v>
      </c>
      <c r="B223">
        <v>1000</v>
      </c>
      <c r="C223">
        <v>9.7355066569377001E-3</v>
      </c>
      <c r="D223" t="s">
        <v>52</v>
      </c>
      <c r="E223" t="b">
        <v>1</v>
      </c>
      <c r="F223" t="s">
        <v>53</v>
      </c>
      <c r="G223">
        <v>7.4999999999999997E-2</v>
      </c>
      <c r="H223">
        <v>0.5</v>
      </c>
      <c r="I223">
        <v>1E-4</v>
      </c>
      <c r="J223" t="b">
        <v>1</v>
      </c>
      <c r="K223">
        <v>6</v>
      </c>
      <c r="L223">
        <v>1500</v>
      </c>
      <c r="M223">
        <v>0.01</v>
      </c>
      <c r="N223">
        <v>0.154</v>
      </c>
      <c r="O223" t="s">
        <v>209</v>
      </c>
      <c r="P223" t="s">
        <v>212</v>
      </c>
      <c r="Q223">
        <v>-2.6393999679587201E-4</v>
      </c>
      <c r="R223">
        <v>2.27579338346027E-3</v>
      </c>
      <c r="S223">
        <v>1.0466713234295699E-3</v>
      </c>
      <c r="T223">
        <v>-1.25642596783203E-2</v>
      </c>
      <c r="U223">
        <v>5.9972757985819296</v>
      </c>
      <c r="V223" s="1">
        <v>9.9999999999999905E-15</v>
      </c>
      <c r="W223">
        <v>0.58184533460739196</v>
      </c>
      <c r="X223">
        <v>2.4999999999999898</v>
      </c>
      <c r="Y223">
        <v>26.183075487692602</v>
      </c>
      <c r="Z223">
        <v>0.499999999999999</v>
      </c>
      <c r="AA223">
        <v>47.846622528973498</v>
      </c>
      <c r="AB223" s="9">
        <f t="shared" si="26"/>
        <v>-0.3334448985791475</v>
      </c>
      <c r="AC223" s="9">
        <f t="shared" si="27"/>
        <v>-0.33414440621570463</v>
      </c>
      <c r="AD223" s="2">
        <f t="shared" si="28"/>
        <v>2.0978207779991376E-3</v>
      </c>
      <c r="AE223" s="8">
        <f t="shared" si="29"/>
        <v>3.7189798301038737E-5</v>
      </c>
      <c r="AF223" s="2">
        <f t="shared" si="30"/>
        <v>-2.3324094216945293E-4</v>
      </c>
      <c r="AG223" s="8">
        <f t="shared" si="31"/>
        <v>2.7043074047049167E-4</v>
      </c>
      <c r="AH223" s="7">
        <f t="shared" si="32"/>
        <v>-0.86247939773290405</v>
      </c>
      <c r="AI223">
        <f t="shared" si="33"/>
        <v>6</v>
      </c>
      <c r="AJ223" s="10">
        <f t="shared" si="34"/>
        <v>9.7355066569377001E-3</v>
      </c>
    </row>
    <row r="224" spans="1:36" hidden="1" x14ac:dyDescent="0.25">
      <c r="A224" t="b">
        <v>0</v>
      </c>
      <c r="B224">
        <v>1000</v>
      </c>
      <c r="C224">
        <v>9.7355066569377001E-3</v>
      </c>
      <c r="D224" t="s">
        <v>52</v>
      </c>
      <c r="E224" t="b">
        <v>1</v>
      </c>
      <c r="F224" t="s">
        <v>53</v>
      </c>
      <c r="G224">
        <v>7.4999999999999997E-2</v>
      </c>
      <c r="H224">
        <v>0.5</v>
      </c>
      <c r="I224">
        <v>1E-4</v>
      </c>
      <c r="J224" t="b">
        <v>1</v>
      </c>
      <c r="K224">
        <v>6</v>
      </c>
      <c r="L224">
        <v>1500</v>
      </c>
      <c r="M224">
        <v>0.01</v>
      </c>
      <c r="N224">
        <v>0.154</v>
      </c>
      <c r="O224" t="s">
        <v>209</v>
      </c>
      <c r="P224" t="s">
        <v>213</v>
      </c>
      <c r="Q224">
        <v>-5.2789256477625297E-4</v>
      </c>
      <c r="R224">
        <v>4.4514992999896896E-3</v>
      </c>
      <c r="S224">
        <v>2.0933220195941101E-3</v>
      </c>
      <c r="T224">
        <v>-2.51253818261662E-2</v>
      </c>
      <c r="U224">
        <v>5.9957041214427598</v>
      </c>
      <c r="V224" s="1">
        <v>9.9999999999999905E-15</v>
      </c>
      <c r="W224">
        <v>0.57357746019992095</v>
      </c>
      <c r="X224">
        <v>2.4999999999999898</v>
      </c>
      <c r="Y224">
        <v>25.5783683063894</v>
      </c>
      <c r="Z224">
        <v>0.499999999999999</v>
      </c>
      <c r="AA224">
        <v>46.810487103798003</v>
      </c>
      <c r="AB224" s="9">
        <f t="shared" si="26"/>
        <v>-0.33340655017061704</v>
      </c>
      <c r="AC224" s="9">
        <f t="shared" si="27"/>
        <v>-0.33414440621570463</v>
      </c>
      <c r="AD224" s="2">
        <f t="shared" si="28"/>
        <v>2.2130820306618393E-3</v>
      </c>
      <c r="AE224" s="8">
        <f t="shared" si="29"/>
        <v>2.4406208076346446E-5</v>
      </c>
      <c r="AF224" s="2">
        <f t="shared" si="30"/>
        <v>-2.4602453239414522E-4</v>
      </c>
      <c r="AG224" s="8">
        <f t="shared" si="31"/>
        <v>2.7043074047049167E-4</v>
      </c>
      <c r="AH224" s="7">
        <f t="shared" si="32"/>
        <v>-0.90975061476411723</v>
      </c>
      <c r="AI224">
        <f t="shared" si="33"/>
        <v>6</v>
      </c>
      <c r="AJ224" s="10">
        <f t="shared" si="34"/>
        <v>9.7355066569377001E-3</v>
      </c>
    </row>
    <row r="225" spans="1:36" hidden="1" x14ac:dyDescent="0.25">
      <c r="A225" t="b">
        <v>0</v>
      </c>
      <c r="B225">
        <v>1000</v>
      </c>
      <c r="C225">
        <v>9.7355066569377001E-3</v>
      </c>
      <c r="D225" t="s">
        <v>52</v>
      </c>
      <c r="E225" t="b">
        <v>1</v>
      </c>
      <c r="F225" t="s">
        <v>53</v>
      </c>
      <c r="G225">
        <v>7.4999999999999997E-2</v>
      </c>
      <c r="H225">
        <v>0.5</v>
      </c>
      <c r="I225">
        <v>1E-4</v>
      </c>
      <c r="J225" t="b">
        <v>1</v>
      </c>
      <c r="K225">
        <v>6</v>
      </c>
      <c r="L225">
        <v>1500</v>
      </c>
      <c r="M225">
        <v>0.01</v>
      </c>
      <c r="N225">
        <v>0.154</v>
      </c>
      <c r="O225" t="s">
        <v>210</v>
      </c>
      <c r="P225" t="s">
        <v>212</v>
      </c>
      <c r="Q225" s="1">
        <v>-1E-10</v>
      </c>
      <c r="R225" s="1">
        <v>3.5857858690916402E-12</v>
      </c>
      <c r="S225" s="1">
        <v>8.04095406880044E-19</v>
      </c>
      <c r="T225" s="1">
        <v>5.8651914621363102E-16</v>
      </c>
      <c r="U225">
        <v>5.9957045527238497</v>
      </c>
      <c r="V225">
        <v>0</v>
      </c>
      <c r="W225">
        <v>6.8474547058214097E-2</v>
      </c>
      <c r="X225">
        <v>2</v>
      </c>
      <c r="Y225">
        <v>4.0005663438117999E-3</v>
      </c>
      <c r="Z225">
        <v>2.5000000000000001E-4</v>
      </c>
      <c r="AA225">
        <v>4.7933528972012697E-3</v>
      </c>
      <c r="AB225" s="9">
        <f t="shared" si="26"/>
        <v>20.261524150659259</v>
      </c>
      <c r="AC225" s="9">
        <f t="shared" si="27"/>
        <v>-0.33414440621570463</v>
      </c>
      <c r="AD225" s="2">
        <f t="shared" si="28"/>
        <v>-1.0164915730786637</v>
      </c>
      <c r="AE225" s="8">
        <f t="shared" si="29"/>
        <v>-0.87285365033311668</v>
      </c>
      <c r="AF225" s="2">
        <f t="shared" si="30"/>
        <v>-0.87312408107358719</v>
      </c>
      <c r="AG225" s="8">
        <f t="shared" si="31"/>
        <v>2.7043074047049167E-4</v>
      </c>
      <c r="AH225" s="7">
        <f t="shared" si="32"/>
        <v>-3228.642126832689</v>
      </c>
      <c r="AI225">
        <f t="shared" si="33"/>
        <v>6</v>
      </c>
      <c r="AJ225" s="10">
        <f t="shared" si="34"/>
        <v>9.7355066569377001E-3</v>
      </c>
    </row>
    <row r="226" spans="1:36" hidden="1" x14ac:dyDescent="0.25">
      <c r="A226" t="b">
        <v>0</v>
      </c>
      <c r="B226">
        <v>1000</v>
      </c>
      <c r="C226">
        <v>9.7355066569377001E-3</v>
      </c>
      <c r="D226" t="s">
        <v>52</v>
      </c>
      <c r="E226" t="b">
        <v>1</v>
      </c>
      <c r="F226" t="s">
        <v>53</v>
      </c>
      <c r="G226">
        <v>7.4999999999999997E-2</v>
      </c>
      <c r="H226">
        <v>0.5</v>
      </c>
      <c r="I226">
        <v>1E-4</v>
      </c>
      <c r="J226" t="b">
        <v>1</v>
      </c>
      <c r="K226">
        <v>6</v>
      </c>
      <c r="L226">
        <v>1500</v>
      </c>
      <c r="M226">
        <v>0.01</v>
      </c>
      <c r="N226">
        <v>0.154</v>
      </c>
      <c r="O226" t="s">
        <v>210</v>
      </c>
      <c r="P226" t="s">
        <v>213</v>
      </c>
      <c r="Q226">
        <v>-2.6395256798050201E-4</v>
      </c>
      <c r="R226">
        <v>2.2749981131351001E-3</v>
      </c>
      <c r="S226">
        <v>1.04665069616454E-3</v>
      </c>
      <c r="T226">
        <v>-1.25611221478456E-2</v>
      </c>
      <c r="U226">
        <v>5.9941328755846799</v>
      </c>
      <c r="V226" s="1">
        <v>9.9999999999999905E-15</v>
      </c>
      <c r="W226">
        <v>0.58530221677912297</v>
      </c>
      <c r="X226">
        <v>2.4999999999999898</v>
      </c>
      <c r="Y226">
        <v>26.115257775832902</v>
      </c>
      <c r="Z226">
        <v>0.499999999999999</v>
      </c>
      <c r="AA226">
        <v>47.851598869137497</v>
      </c>
      <c r="AB226" s="9">
        <f t="shared" si="26"/>
        <v>-0.33336820100631298</v>
      </c>
      <c r="AC226" s="9">
        <f t="shared" si="27"/>
        <v>-0.33414440621570463</v>
      </c>
      <c r="AD226" s="2">
        <f t="shared" si="28"/>
        <v>2.3283720734268432E-3</v>
      </c>
      <c r="AE226" s="8">
        <f t="shared" si="29"/>
        <v>1.1622692745292918E-5</v>
      </c>
      <c r="AF226" s="2">
        <f t="shared" si="30"/>
        <v>-2.5880804772519876E-4</v>
      </c>
      <c r="AG226" s="8">
        <f t="shared" si="31"/>
        <v>2.7043074047049167E-4</v>
      </c>
      <c r="AH226" s="7">
        <f t="shared" si="32"/>
        <v>-0.95702155485329843</v>
      </c>
      <c r="AI226">
        <f t="shared" si="33"/>
        <v>6</v>
      </c>
      <c r="AJ226" s="10">
        <f t="shared" si="34"/>
        <v>9.7355066569377001E-3</v>
      </c>
    </row>
    <row r="227" spans="1:36" hidden="1" x14ac:dyDescent="0.25">
      <c r="A227" t="b">
        <v>0</v>
      </c>
      <c r="B227">
        <v>1000</v>
      </c>
      <c r="C227">
        <v>9.7355066569377001E-3</v>
      </c>
      <c r="D227" t="s">
        <v>52</v>
      </c>
      <c r="E227" t="b">
        <v>1</v>
      </c>
      <c r="F227" t="s">
        <v>53</v>
      </c>
      <c r="G227">
        <v>7.4999999999999997E-2</v>
      </c>
      <c r="H227">
        <v>0.5</v>
      </c>
      <c r="I227">
        <v>1E-4</v>
      </c>
      <c r="J227" t="b">
        <v>1</v>
      </c>
      <c r="K227">
        <v>6</v>
      </c>
      <c r="L227">
        <v>1500</v>
      </c>
      <c r="M227">
        <v>0.01</v>
      </c>
      <c r="N227">
        <v>0.154</v>
      </c>
      <c r="O227" t="s">
        <v>211</v>
      </c>
      <c r="P227" t="s">
        <v>212</v>
      </c>
      <c r="Q227" s="1">
        <v>-3.7753426972880503E-5</v>
      </c>
      <c r="R227">
        <v>3.4225375322339901E-4</v>
      </c>
      <c r="S227">
        <v>1.49750281412593E-4</v>
      </c>
      <c r="T227">
        <v>-1.7991054678718401E-3</v>
      </c>
      <c r="U227">
        <v>5.9959295935750196</v>
      </c>
      <c r="V227" s="1">
        <v>9.9999999999993594E-15</v>
      </c>
      <c r="W227">
        <v>0.610605684251876</v>
      </c>
      <c r="X227">
        <v>2.4999999999999898</v>
      </c>
      <c r="Y227">
        <v>27.471328808164898</v>
      </c>
      <c r="Z227">
        <v>0.49999999966639103</v>
      </c>
      <c r="AA227">
        <v>50.3165535744211</v>
      </c>
      <c r="AB227" s="9">
        <f t="shared" si="26"/>
        <v>-0.33372325857363172</v>
      </c>
      <c r="AC227" s="9">
        <f t="shared" si="27"/>
        <v>-0.33414440621570463</v>
      </c>
      <c r="AD227" s="2">
        <f t="shared" si="28"/>
        <v>1.2619667082027775E-3</v>
      </c>
      <c r="AE227" s="8">
        <f t="shared" si="29"/>
        <v>1.2999197581691906E-4</v>
      </c>
      <c r="AF227" s="2">
        <f t="shared" si="30"/>
        <v>-1.4043876465357261E-4</v>
      </c>
      <c r="AG227" s="8">
        <f t="shared" si="31"/>
        <v>2.7043074047049167E-4</v>
      </c>
      <c r="AH227" s="7">
        <f t="shared" si="32"/>
        <v>-0.51931509121055985</v>
      </c>
      <c r="AI227">
        <f t="shared" si="33"/>
        <v>6</v>
      </c>
      <c r="AJ227" s="10">
        <f t="shared" si="34"/>
        <v>9.7355066569377001E-3</v>
      </c>
    </row>
    <row r="228" spans="1:36" hidden="1" x14ac:dyDescent="0.25">
      <c r="A228" t="b">
        <v>0</v>
      </c>
      <c r="B228">
        <v>1000</v>
      </c>
      <c r="C228">
        <v>9.7355066569377001E-3</v>
      </c>
      <c r="D228" t="s">
        <v>52</v>
      </c>
      <c r="E228" t="b">
        <v>1</v>
      </c>
      <c r="F228" t="s">
        <v>53</v>
      </c>
      <c r="G228">
        <v>7.4999999999999997E-2</v>
      </c>
      <c r="H228">
        <v>0.5</v>
      </c>
      <c r="I228">
        <v>1E-4</v>
      </c>
      <c r="J228" t="b">
        <v>1</v>
      </c>
      <c r="K228">
        <v>6</v>
      </c>
      <c r="L228">
        <v>1500</v>
      </c>
      <c r="M228">
        <v>0.01</v>
      </c>
      <c r="N228">
        <v>0.154</v>
      </c>
      <c r="O228" t="s">
        <v>211</v>
      </c>
      <c r="P228" t="s">
        <v>213</v>
      </c>
      <c r="Q228">
        <v>-3.0170599521511999E-4</v>
      </c>
      <c r="R228">
        <v>2.67635648985238E-3</v>
      </c>
      <c r="S228">
        <v>1.1964009775771299E-3</v>
      </c>
      <c r="T228">
        <v>-1.4360227615717499E-2</v>
      </c>
      <c r="U228">
        <v>5.9943579164358498</v>
      </c>
      <c r="V228" s="1">
        <v>9.9999999999999905E-15</v>
      </c>
      <c r="W228">
        <v>0.601743692789935</v>
      </c>
      <c r="X228">
        <v>2.4999999999999898</v>
      </c>
      <c r="Y228">
        <v>26.847579143583701</v>
      </c>
      <c r="Z228">
        <v>0.499999999999999</v>
      </c>
      <c r="AA228">
        <v>49.2544998319119</v>
      </c>
      <c r="AB228" s="9">
        <f t="shared" ref="AB228:AB291" si="35">T228/S228/K228^2</f>
        <v>-0.3334126426037563</v>
      </c>
      <c r="AC228" s="9">
        <f t="shared" ref="AC228:AC291" si="36">(1+10*C228/K228^2)/(-3-3*C228/K228^2)</f>
        <v>-0.33414440621570463</v>
      </c>
      <c r="AD228" s="2">
        <f t="shared" ref="AD228:AD291" si="37">(AC228/AB228-1)</f>
        <v>2.1947686393464227E-3</v>
      </c>
      <c r="AE228" s="8">
        <f t="shared" ref="AE228:AE291" si="38">-(1+3*AB228)/(10+3*AB228)</f>
        <v>2.6437122377292339E-5</v>
      </c>
      <c r="AF228" s="2">
        <f t="shared" ref="AF228:AF291" si="39">(AE228-C228/K228^2)</f>
        <v>-2.4399361809319934E-4</v>
      </c>
      <c r="AG228" s="8">
        <f t="shared" ref="AG228:AG291" si="40">C228/K228^2</f>
        <v>2.7043074047049167E-4</v>
      </c>
      <c r="AH228" s="7">
        <f t="shared" ref="AH228:AH291" si="41">AF228/AG228</f>
        <v>-0.90224069079093083</v>
      </c>
      <c r="AI228">
        <f t="shared" ref="AI228:AI291" si="42">K228</f>
        <v>6</v>
      </c>
      <c r="AJ228" s="10">
        <f t="shared" ref="AJ228:AJ291" si="43">C228</f>
        <v>9.7355066569377001E-3</v>
      </c>
    </row>
    <row r="229" spans="1:36" hidden="1" x14ac:dyDescent="0.25">
      <c r="A229" t="b">
        <v>0</v>
      </c>
      <c r="B229">
        <v>1000</v>
      </c>
      <c r="C229">
        <v>9.7355066569377001E-3</v>
      </c>
      <c r="D229" t="s">
        <v>52</v>
      </c>
      <c r="E229" t="b">
        <v>1</v>
      </c>
      <c r="F229" t="s">
        <v>53</v>
      </c>
      <c r="G229">
        <v>7.4999999999999997E-2</v>
      </c>
      <c r="H229">
        <v>0.5</v>
      </c>
      <c r="I229">
        <v>1E-4</v>
      </c>
      <c r="J229" t="b">
        <v>1</v>
      </c>
      <c r="K229">
        <v>6</v>
      </c>
      <c r="L229">
        <v>1500</v>
      </c>
      <c r="M229">
        <v>0.01</v>
      </c>
      <c r="N229">
        <v>0.154</v>
      </c>
      <c r="O229" t="s">
        <v>212</v>
      </c>
      <c r="P229" t="s">
        <v>213</v>
      </c>
      <c r="Q229">
        <v>-2.6395256798050201E-4</v>
      </c>
      <c r="R229">
        <v>2.2592468429002699E-3</v>
      </c>
      <c r="S229">
        <v>1.04665069616454E-3</v>
      </c>
      <c r="T229">
        <v>-1.2561122147845801E-2</v>
      </c>
      <c r="U229">
        <v>5.9941328755848602</v>
      </c>
      <c r="V229" s="1">
        <v>9.9999999999999905E-15</v>
      </c>
      <c r="W229">
        <v>0.58294837399692301</v>
      </c>
      <c r="X229">
        <v>2.4999999999999898</v>
      </c>
      <c r="Y229">
        <v>25.9211852565337</v>
      </c>
      <c r="Z229">
        <v>0.499999999999999</v>
      </c>
      <c r="AA229">
        <v>47.5269899353329</v>
      </c>
      <c r="AB229" s="9">
        <f t="shared" si="35"/>
        <v>-0.33336820100631831</v>
      </c>
      <c r="AC229" s="9">
        <f t="shared" si="36"/>
        <v>-0.33414440621570463</v>
      </c>
      <c r="AD229" s="2">
        <f t="shared" si="37"/>
        <v>2.3283720734108559E-3</v>
      </c>
      <c r="AE229" s="8">
        <f t="shared" si="38"/>
        <v>1.1622692747069315E-5</v>
      </c>
      <c r="AF229" s="2">
        <f t="shared" si="39"/>
        <v>-2.5880804772342235E-4</v>
      </c>
      <c r="AG229" s="8">
        <f t="shared" si="40"/>
        <v>2.7043074047049167E-4</v>
      </c>
      <c r="AH229" s="7">
        <f t="shared" si="41"/>
        <v>-0.95702155484672957</v>
      </c>
      <c r="AI229">
        <f t="shared" si="42"/>
        <v>6</v>
      </c>
      <c r="AJ229" s="10">
        <f t="shared" si="43"/>
        <v>9.7355066569377001E-3</v>
      </c>
    </row>
    <row r="230" spans="1:36" hidden="1" x14ac:dyDescent="0.25">
      <c r="A230" t="b">
        <v>0</v>
      </c>
      <c r="B230">
        <v>1000</v>
      </c>
      <c r="C230">
        <v>9.7355066569519005E-3</v>
      </c>
      <c r="D230" t="s">
        <v>52</v>
      </c>
      <c r="E230" t="b">
        <v>1</v>
      </c>
      <c r="F230" t="s">
        <v>53</v>
      </c>
      <c r="G230">
        <v>7.4999999999999997E-2</v>
      </c>
      <c r="H230">
        <v>0.5</v>
      </c>
      <c r="I230">
        <v>1E-4</v>
      </c>
      <c r="J230" t="b">
        <v>1</v>
      </c>
      <c r="K230">
        <v>8</v>
      </c>
      <c r="L230">
        <v>1500</v>
      </c>
      <c r="M230">
        <v>0.01</v>
      </c>
      <c r="N230">
        <v>0.154</v>
      </c>
      <c r="O230" t="s">
        <v>214</v>
      </c>
      <c r="P230" t="s">
        <v>215</v>
      </c>
      <c r="Q230" s="1">
        <v>-5.18339731579076E-5</v>
      </c>
      <c r="R230">
        <v>1.06594340906128E-3</v>
      </c>
      <c r="S230">
        <v>2.66121869317713E-4</v>
      </c>
      <c r="T230">
        <v>-5.6782454260223504E-3</v>
      </c>
      <c r="U230">
        <v>7.9983465879878501</v>
      </c>
      <c r="V230" s="1">
        <v>9.9999999945023999E-15</v>
      </c>
      <c r="W230">
        <v>1.3715951968432301</v>
      </c>
      <c r="X230">
        <v>2.49999999999911</v>
      </c>
      <c r="Y230">
        <v>63.080117158909999</v>
      </c>
      <c r="Z230">
        <v>0.49999999999948302</v>
      </c>
      <c r="AA230">
        <v>113.905453318905</v>
      </c>
      <c r="AB230" s="9">
        <f t="shared" si="35"/>
        <v>-0.33339080703539109</v>
      </c>
      <c r="AC230" s="9">
        <f t="shared" si="36"/>
        <v>-0.33378961579942507</v>
      </c>
      <c r="AD230" s="2">
        <f t="shared" si="37"/>
        <v>1.196220038519602E-3</v>
      </c>
      <c r="AE230" s="8">
        <f t="shared" si="38"/>
        <v>1.9158267718115375E-5</v>
      </c>
      <c r="AF230" s="2">
        <f t="shared" si="39"/>
        <v>-1.3295902379675806E-4</v>
      </c>
      <c r="AG230" s="8">
        <f t="shared" si="40"/>
        <v>1.5211729151487345E-4</v>
      </c>
      <c r="AH230" s="7">
        <f t="shared" si="41"/>
        <v>-0.87405595033065542</v>
      </c>
      <c r="AI230">
        <f t="shared" si="42"/>
        <v>8</v>
      </c>
      <c r="AJ230" s="10">
        <f t="shared" si="43"/>
        <v>9.7355066569519005E-3</v>
      </c>
    </row>
    <row r="231" spans="1:36" hidden="1" x14ac:dyDescent="0.25">
      <c r="A231" t="b">
        <v>0</v>
      </c>
      <c r="B231">
        <v>1000</v>
      </c>
      <c r="C231">
        <v>9.7355066569519005E-3</v>
      </c>
      <c r="D231" t="s">
        <v>52</v>
      </c>
      <c r="E231" t="b">
        <v>1</v>
      </c>
      <c r="F231" t="s">
        <v>53</v>
      </c>
      <c r="G231">
        <v>7.4999999999999997E-2</v>
      </c>
      <c r="H231">
        <v>0.5</v>
      </c>
      <c r="I231">
        <v>1E-4</v>
      </c>
      <c r="J231" t="b">
        <v>1</v>
      </c>
      <c r="K231">
        <v>8</v>
      </c>
      <c r="L231">
        <v>1500</v>
      </c>
      <c r="M231">
        <v>0.01</v>
      </c>
      <c r="N231">
        <v>0.154</v>
      </c>
      <c r="O231" t="s">
        <v>214</v>
      </c>
      <c r="P231" t="s">
        <v>216</v>
      </c>
      <c r="Q231">
        <v>-4.1422337441053098E-4</v>
      </c>
      <c r="R231">
        <v>8.6060578005408197E-3</v>
      </c>
      <c r="S231">
        <v>2.1245033506394001E-3</v>
      </c>
      <c r="T231">
        <v>-4.5261842632303803E-2</v>
      </c>
      <c r="U231">
        <v>7.9946328871001402</v>
      </c>
      <c r="V231" s="1">
        <v>9.9999999999999905E-15</v>
      </c>
      <c r="W231">
        <v>1.38489436663133</v>
      </c>
      <c r="X231">
        <v>2.4999999999999898</v>
      </c>
      <c r="Y231">
        <v>63.682891953547298</v>
      </c>
      <c r="Z231">
        <v>0.499999999999999</v>
      </c>
      <c r="AA231">
        <v>115.08942752151999</v>
      </c>
      <c r="AB231" s="9">
        <f t="shared" si="35"/>
        <v>-0.33288546752204456</v>
      </c>
      <c r="AC231" s="9">
        <f t="shared" si="36"/>
        <v>-0.33378961579942507</v>
      </c>
      <c r="AD231" s="2">
        <f t="shared" si="37"/>
        <v>2.7160941692974117E-3</v>
      </c>
      <c r="AE231" s="8">
        <f t="shared" si="38"/>
        <v>-1.4926632000241473E-4</v>
      </c>
      <c r="AF231" s="2">
        <f t="shared" si="39"/>
        <v>-3.0138361151728821E-4</v>
      </c>
      <c r="AG231" s="8">
        <f t="shared" si="40"/>
        <v>1.5211729151487345E-4</v>
      </c>
      <c r="AH231" s="7">
        <f t="shared" si="41"/>
        <v>-1.9812580707685035</v>
      </c>
      <c r="AI231">
        <f t="shared" si="42"/>
        <v>8</v>
      </c>
      <c r="AJ231" s="10">
        <f t="shared" si="43"/>
        <v>9.7355066569519005E-3</v>
      </c>
    </row>
    <row r="232" spans="1:36" hidden="1" x14ac:dyDescent="0.25">
      <c r="A232" t="b">
        <v>0</v>
      </c>
      <c r="B232">
        <v>1000</v>
      </c>
      <c r="C232">
        <v>9.7355066569519005E-3</v>
      </c>
      <c r="D232" t="s">
        <v>52</v>
      </c>
      <c r="E232" t="b">
        <v>1</v>
      </c>
      <c r="F232" t="s">
        <v>53</v>
      </c>
      <c r="G232">
        <v>7.4999999999999997E-2</v>
      </c>
      <c r="H232">
        <v>0.5</v>
      </c>
      <c r="I232">
        <v>1E-4</v>
      </c>
      <c r="J232" t="b">
        <v>1</v>
      </c>
      <c r="K232">
        <v>8</v>
      </c>
      <c r="L232">
        <v>1500</v>
      </c>
      <c r="M232">
        <v>0.01</v>
      </c>
      <c r="N232">
        <v>0.154</v>
      </c>
      <c r="O232" t="s">
        <v>214</v>
      </c>
      <c r="P232" t="s">
        <v>217</v>
      </c>
      <c r="Q232" s="1">
        <v>-5.1833973157906997E-5</v>
      </c>
      <c r="R232">
        <v>1.06211336900949E-3</v>
      </c>
      <c r="S232">
        <v>2.6612186931771099E-4</v>
      </c>
      <c r="T232">
        <v>-5.6782454260223998E-3</v>
      </c>
      <c r="U232">
        <v>7.9983465879884399</v>
      </c>
      <c r="V232" s="1">
        <v>9.9999999945008096E-15</v>
      </c>
      <c r="W232">
        <v>1.36653736686779</v>
      </c>
      <c r="X232">
        <v>2.49999999999911</v>
      </c>
      <c r="Y232">
        <v>62.873807320916399</v>
      </c>
      <c r="Z232">
        <v>0.49999999999948302</v>
      </c>
      <c r="AA232">
        <v>113.490379257512</v>
      </c>
      <c r="AB232" s="9">
        <f t="shared" si="35"/>
        <v>-0.33339080703539653</v>
      </c>
      <c r="AC232" s="9">
        <f t="shared" si="36"/>
        <v>-0.33378961579942507</v>
      </c>
      <c r="AD232" s="2">
        <f t="shared" si="37"/>
        <v>1.1962200385033928E-3</v>
      </c>
      <c r="AE232" s="8">
        <f t="shared" si="38"/>
        <v>1.9158267719916472E-5</v>
      </c>
      <c r="AF232" s="2">
        <f t="shared" si="39"/>
        <v>-1.3295902379495698E-4</v>
      </c>
      <c r="AG232" s="8">
        <f t="shared" si="40"/>
        <v>1.5211729151487345E-4</v>
      </c>
      <c r="AH232" s="7">
        <f t="shared" si="41"/>
        <v>-0.87405595031881544</v>
      </c>
      <c r="AI232">
        <f t="shared" si="42"/>
        <v>8</v>
      </c>
      <c r="AJ232" s="10">
        <f t="shared" si="43"/>
        <v>9.7355066569519005E-3</v>
      </c>
    </row>
    <row r="233" spans="1:36" hidden="1" x14ac:dyDescent="0.25">
      <c r="A233" t="b">
        <v>0</v>
      </c>
      <c r="B233">
        <v>1000</v>
      </c>
      <c r="C233">
        <v>9.7355066569519005E-3</v>
      </c>
      <c r="D233" t="s">
        <v>52</v>
      </c>
      <c r="E233" t="b">
        <v>1</v>
      </c>
      <c r="F233" t="s">
        <v>53</v>
      </c>
      <c r="G233">
        <v>7.4999999999999997E-2</v>
      </c>
      <c r="H233">
        <v>0.5</v>
      </c>
      <c r="I233">
        <v>1E-4</v>
      </c>
      <c r="J233" t="b">
        <v>1</v>
      </c>
      <c r="K233">
        <v>8</v>
      </c>
      <c r="L233">
        <v>1500</v>
      </c>
      <c r="M233">
        <v>0.01</v>
      </c>
      <c r="N233">
        <v>0.154</v>
      </c>
      <c r="O233" t="s">
        <v>214</v>
      </c>
      <c r="P233" t="s">
        <v>218</v>
      </c>
      <c r="Q233">
        <v>-1.03670539096701E-4</v>
      </c>
      <c r="R233">
        <v>2.1495725302868298E-3</v>
      </c>
      <c r="S233">
        <v>5.3223972493197697E-4</v>
      </c>
      <c r="T233">
        <v>-1.1355856476513101E-2</v>
      </c>
      <c r="U233">
        <v>7.99781413102912</v>
      </c>
      <c r="V233" s="1">
        <v>9.9999999920880501E-15</v>
      </c>
      <c r="W233">
        <v>1.3988532008614301</v>
      </c>
      <c r="X233">
        <v>2.4999999999961702</v>
      </c>
      <c r="Y233">
        <v>63.316150550143902</v>
      </c>
      <c r="Z233">
        <v>0.49999999999758499</v>
      </c>
      <c r="AA233">
        <v>114.961998158702</v>
      </c>
      <c r="AB233" s="9">
        <f t="shared" si="35"/>
        <v>-0.33337469777964124</v>
      </c>
      <c r="AC233" s="9">
        <f t="shared" si="36"/>
        <v>-0.33378961579942507</v>
      </c>
      <c r="AD233" s="2">
        <f t="shared" si="37"/>
        <v>1.2445996128298553E-3</v>
      </c>
      <c r="AE233" s="8">
        <f t="shared" si="38"/>
        <v>1.3788338884969407E-5</v>
      </c>
      <c r="AF233" s="2">
        <f t="shared" si="39"/>
        <v>-1.3832895262990403E-4</v>
      </c>
      <c r="AG233" s="8">
        <f t="shared" si="40"/>
        <v>1.5211729151487345E-4</v>
      </c>
      <c r="AH233" s="7">
        <f t="shared" si="41"/>
        <v>-0.90935718912914487</v>
      </c>
      <c r="AI233">
        <f t="shared" si="42"/>
        <v>8</v>
      </c>
      <c r="AJ233" s="10">
        <f t="shared" si="43"/>
        <v>9.7355066569519005E-3</v>
      </c>
    </row>
    <row r="234" spans="1:36" hidden="1" x14ac:dyDescent="0.25">
      <c r="A234" t="b">
        <v>0</v>
      </c>
      <c r="B234">
        <v>1000</v>
      </c>
      <c r="C234">
        <v>9.7355066569519005E-3</v>
      </c>
      <c r="D234" t="s">
        <v>52</v>
      </c>
      <c r="E234" t="b">
        <v>1</v>
      </c>
      <c r="F234" t="s">
        <v>53</v>
      </c>
      <c r="G234">
        <v>7.4999999999999997E-2</v>
      </c>
      <c r="H234">
        <v>0.5</v>
      </c>
      <c r="I234">
        <v>1E-4</v>
      </c>
      <c r="J234" t="b">
        <v>1</v>
      </c>
      <c r="K234">
        <v>8</v>
      </c>
      <c r="L234">
        <v>1500</v>
      </c>
      <c r="M234">
        <v>0.01</v>
      </c>
      <c r="N234">
        <v>0.154</v>
      </c>
      <c r="O234" t="s">
        <v>214</v>
      </c>
      <c r="P234" t="s">
        <v>219</v>
      </c>
      <c r="Q234">
        <v>-4.6607800790525802E-4</v>
      </c>
      <c r="R234">
        <v>9.9875619904625304E-3</v>
      </c>
      <c r="S234">
        <v>2.39059323861827E-3</v>
      </c>
      <c r="T234">
        <v>-5.0935033359141402E-2</v>
      </c>
      <c r="U234">
        <v>7.9941003500932997</v>
      </c>
      <c r="V234" s="1">
        <v>9.9999999999999905E-15</v>
      </c>
      <c r="W234">
        <v>1.44209968394666</v>
      </c>
      <c r="X234">
        <v>2.4999999999999898</v>
      </c>
      <c r="Y234">
        <v>65.3382742802617</v>
      </c>
      <c r="Z234">
        <v>0.499999999999999</v>
      </c>
      <c r="AA234">
        <v>118.82755402681499</v>
      </c>
      <c r="AB234" s="9">
        <f t="shared" si="35"/>
        <v>-0.33291313778523879</v>
      </c>
      <c r="AC234" s="9">
        <f t="shared" si="36"/>
        <v>-0.33378961579942507</v>
      </c>
      <c r="AD234" s="2">
        <f t="shared" si="37"/>
        <v>2.6327528556464586E-3</v>
      </c>
      <c r="AE234" s="8">
        <f t="shared" si="38"/>
        <v>-1.4004556719022704E-4</v>
      </c>
      <c r="AF234" s="2">
        <f t="shared" si="39"/>
        <v>-2.9216285870510051E-4</v>
      </c>
      <c r="AG234" s="8">
        <f t="shared" si="40"/>
        <v>1.5211729151487345E-4</v>
      </c>
      <c r="AH234" s="7">
        <f t="shared" si="41"/>
        <v>-1.9206419979975382</v>
      </c>
      <c r="AI234">
        <f t="shared" si="42"/>
        <v>8</v>
      </c>
      <c r="AJ234" s="10">
        <f t="shared" si="43"/>
        <v>9.7355066569519005E-3</v>
      </c>
    </row>
    <row r="235" spans="1:36" hidden="1" x14ac:dyDescent="0.25">
      <c r="A235" t="b">
        <v>0</v>
      </c>
      <c r="B235">
        <v>1000</v>
      </c>
      <c r="C235">
        <v>9.7355066569519005E-3</v>
      </c>
      <c r="D235" t="s">
        <v>52</v>
      </c>
      <c r="E235" t="b">
        <v>1</v>
      </c>
      <c r="F235" t="s">
        <v>53</v>
      </c>
      <c r="G235">
        <v>7.4999999999999997E-2</v>
      </c>
      <c r="H235">
        <v>0.5</v>
      </c>
      <c r="I235">
        <v>1E-4</v>
      </c>
      <c r="J235" t="b">
        <v>1</v>
      </c>
      <c r="K235">
        <v>8</v>
      </c>
      <c r="L235">
        <v>1500</v>
      </c>
      <c r="M235">
        <v>0.01</v>
      </c>
      <c r="N235">
        <v>0.154</v>
      </c>
      <c r="O235" t="s">
        <v>214</v>
      </c>
      <c r="P235" t="s">
        <v>220</v>
      </c>
      <c r="Q235">
        <v>-4.1422337441052702E-4</v>
      </c>
      <c r="R235">
        <v>8.5486644345333894E-3</v>
      </c>
      <c r="S235">
        <v>2.1245033506393902E-3</v>
      </c>
      <c r="T235">
        <v>-4.5261842632303602E-2</v>
      </c>
      <c r="U235">
        <v>7.9946328870999297</v>
      </c>
      <c r="V235" s="1">
        <v>9.9999999999999905E-15</v>
      </c>
      <c r="W235">
        <v>1.3914591612224301</v>
      </c>
      <c r="X235">
        <v>2.4999999999999898</v>
      </c>
      <c r="Y235">
        <v>63.048904657855203</v>
      </c>
      <c r="Z235">
        <v>0.499999999999999</v>
      </c>
      <c r="AA235">
        <v>114.417925899721</v>
      </c>
      <c r="AB235" s="9">
        <f t="shared" si="35"/>
        <v>-0.33288546752204468</v>
      </c>
      <c r="AC235" s="9">
        <f t="shared" si="36"/>
        <v>-0.33378961579942507</v>
      </c>
      <c r="AD235" s="2">
        <f t="shared" si="37"/>
        <v>2.7160941692971896E-3</v>
      </c>
      <c r="AE235" s="8">
        <f t="shared" si="38"/>
        <v>-1.4926632000239007E-4</v>
      </c>
      <c r="AF235" s="2">
        <f t="shared" si="39"/>
        <v>-3.0138361151726349E-4</v>
      </c>
      <c r="AG235" s="8">
        <f t="shared" si="40"/>
        <v>1.5211729151487345E-4</v>
      </c>
      <c r="AH235" s="7">
        <f t="shared" si="41"/>
        <v>-1.9812580707683409</v>
      </c>
      <c r="AI235">
        <f t="shared" si="42"/>
        <v>8</v>
      </c>
      <c r="AJ235" s="10">
        <f t="shared" si="43"/>
        <v>9.7355066569519005E-3</v>
      </c>
    </row>
    <row r="236" spans="1:36" hidden="1" x14ac:dyDescent="0.25">
      <c r="A236" t="b">
        <v>0</v>
      </c>
      <c r="B236">
        <v>1000</v>
      </c>
      <c r="C236">
        <v>9.7355066569519005E-3</v>
      </c>
      <c r="D236" t="s">
        <v>52</v>
      </c>
      <c r="E236" t="b">
        <v>1</v>
      </c>
      <c r="F236" t="s">
        <v>53</v>
      </c>
      <c r="G236">
        <v>7.4999999999999997E-2</v>
      </c>
      <c r="H236">
        <v>0.5</v>
      </c>
      <c r="I236">
        <v>1E-4</v>
      </c>
      <c r="J236" t="b">
        <v>1</v>
      </c>
      <c r="K236">
        <v>8</v>
      </c>
      <c r="L236">
        <v>1500</v>
      </c>
      <c r="M236">
        <v>0.01</v>
      </c>
      <c r="N236">
        <v>0.154</v>
      </c>
      <c r="O236" t="s">
        <v>214</v>
      </c>
      <c r="P236" t="s">
        <v>221</v>
      </c>
      <c r="Q236">
        <v>-4.6607800790524902E-4</v>
      </c>
      <c r="R236">
        <v>9.99192077972786E-3</v>
      </c>
      <c r="S236">
        <v>2.39059323861827E-3</v>
      </c>
      <c r="T236">
        <v>-5.0935033359141201E-2</v>
      </c>
      <c r="U236">
        <v>7.9941003500929302</v>
      </c>
      <c r="V236" s="1">
        <v>9.9999999999999905E-15</v>
      </c>
      <c r="W236">
        <v>1.44647557401746</v>
      </c>
      <c r="X236">
        <v>2.4999999999999898</v>
      </c>
      <c r="Y236">
        <v>65.306202852234705</v>
      </c>
      <c r="Z236">
        <v>0.499999999999999</v>
      </c>
      <c r="AA236">
        <v>118.907181535948</v>
      </c>
      <c r="AB236" s="9">
        <f t="shared" si="35"/>
        <v>-0.33291313778523751</v>
      </c>
      <c r="AC236" s="9">
        <f t="shared" si="36"/>
        <v>-0.33378961579942507</v>
      </c>
      <c r="AD236" s="2">
        <f t="shared" si="37"/>
        <v>2.6327528556502333E-3</v>
      </c>
      <c r="AE236" s="8">
        <f t="shared" si="38"/>
        <v>-1.4004556719064633E-4</v>
      </c>
      <c r="AF236" s="2">
        <f t="shared" si="39"/>
        <v>-2.9216285870551978E-4</v>
      </c>
      <c r="AG236" s="8">
        <f t="shared" si="40"/>
        <v>1.5211729151487345E-4</v>
      </c>
      <c r="AH236" s="7">
        <f t="shared" si="41"/>
        <v>-1.9206419980002944</v>
      </c>
      <c r="AI236">
        <f t="shared" si="42"/>
        <v>8</v>
      </c>
      <c r="AJ236" s="10">
        <f t="shared" si="43"/>
        <v>9.7355066569519005E-3</v>
      </c>
    </row>
    <row r="237" spans="1:36" hidden="1" x14ac:dyDescent="0.25">
      <c r="A237" t="b">
        <v>0</v>
      </c>
      <c r="B237">
        <v>1000</v>
      </c>
      <c r="C237">
        <v>9.7355066569519005E-3</v>
      </c>
      <c r="D237" t="s">
        <v>52</v>
      </c>
      <c r="E237" t="b">
        <v>1</v>
      </c>
      <c r="F237" t="s">
        <v>53</v>
      </c>
      <c r="G237">
        <v>7.4999999999999997E-2</v>
      </c>
      <c r="H237">
        <v>0.5</v>
      </c>
      <c r="I237">
        <v>1E-4</v>
      </c>
      <c r="J237" t="b">
        <v>1</v>
      </c>
      <c r="K237">
        <v>8</v>
      </c>
      <c r="L237">
        <v>1500</v>
      </c>
      <c r="M237">
        <v>0.01</v>
      </c>
      <c r="N237">
        <v>0.154</v>
      </c>
      <c r="O237" t="s">
        <v>214</v>
      </c>
      <c r="P237" t="s">
        <v>222</v>
      </c>
      <c r="Q237">
        <v>-8.2861136921457399E-4</v>
      </c>
      <c r="R237">
        <v>1.7097136388466699E-2</v>
      </c>
      <c r="S237">
        <v>4.2487518725413797E-3</v>
      </c>
      <c r="T237">
        <v>-9.0483409436777698E-2</v>
      </c>
      <c r="U237">
        <v>7.9903860074201303</v>
      </c>
      <c r="V237" s="1">
        <v>9.9999999999999605E-15</v>
      </c>
      <c r="W237">
        <v>1.3737641715483</v>
      </c>
      <c r="X237">
        <v>2.4999999999999898</v>
      </c>
      <c r="Y237">
        <v>63.2982366266084</v>
      </c>
      <c r="Z237">
        <v>0.499999999999999</v>
      </c>
      <c r="AA237">
        <v>114.279618768673</v>
      </c>
      <c r="AB237" s="9">
        <f t="shared" si="35"/>
        <v>-0.33275731670439695</v>
      </c>
      <c r="AC237" s="9">
        <f t="shared" si="36"/>
        <v>-0.33378961579942507</v>
      </c>
      <c r="AD237" s="2">
        <f t="shared" si="37"/>
        <v>3.1022581419153372E-3</v>
      </c>
      <c r="AE237" s="8">
        <f t="shared" si="38"/>
        <v>-1.9196868392739425E-4</v>
      </c>
      <c r="AF237" s="2">
        <f t="shared" si="39"/>
        <v>-3.440859754422677E-4</v>
      </c>
      <c r="AG237" s="8">
        <f t="shared" si="40"/>
        <v>1.5211729151487345E-4</v>
      </c>
      <c r="AH237" s="7">
        <f t="shared" si="41"/>
        <v>-2.2619780566407486</v>
      </c>
      <c r="AI237">
        <f t="shared" si="42"/>
        <v>8</v>
      </c>
      <c r="AJ237" s="10">
        <f t="shared" si="43"/>
        <v>9.7355066569519005E-3</v>
      </c>
    </row>
    <row r="238" spans="1:36" hidden="1" x14ac:dyDescent="0.25">
      <c r="A238" t="b">
        <v>0</v>
      </c>
      <c r="B238">
        <v>1000</v>
      </c>
      <c r="C238">
        <v>9.7355066569519005E-3</v>
      </c>
      <c r="D238" t="s">
        <v>52</v>
      </c>
      <c r="E238" t="b">
        <v>1</v>
      </c>
      <c r="F238" t="s">
        <v>53</v>
      </c>
      <c r="G238">
        <v>7.4999999999999997E-2</v>
      </c>
      <c r="H238">
        <v>0.5</v>
      </c>
      <c r="I238">
        <v>1E-4</v>
      </c>
      <c r="J238" t="b">
        <v>1</v>
      </c>
      <c r="K238">
        <v>8</v>
      </c>
      <c r="L238">
        <v>1500</v>
      </c>
      <c r="M238">
        <v>0.01</v>
      </c>
      <c r="N238">
        <v>0.154</v>
      </c>
      <c r="O238" t="s">
        <v>215</v>
      </c>
      <c r="P238" t="s">
        <v>216</v>
      </c>
      <c r="Q238">
        <v>-3.6238940117634298E-4</v>
      </c>
      <c r="R238">
        <v>7.0915349497088498E-3</v>
      </c>
      <c r="S238">
        <v>1.8583814813216801E-3</v>
      </c>
      <c r="T238">
        <v>-3.9583597206281303E-2</v>
      </c>
      <c r="U238">
        <v>7.9941004415474097</v>
      </c>
      <c r="V238" s="1">
        <v>9.9999999999999905E-15</v>
      </c>
      <c r="W238">
        <v>1.2988615950742599</v>
      </c>
      <c r="X238">
        <v>2.4999999999999898</v>
      </c>
      <c r="Y238">
        <v>60.333963120022602</v>
      </c>
      <c r="Z238">
        <v>0.499999999999999</v>
      </c>
      <c r="AA238">
        <v>108.292939869344</v>
      </c>
      <c r="AB238" s="9">
        <f t="shared" si="35"/>
        <v>-0.33281310245745288</v>
      </c>
      <c r="AC238" s="9">
        <f t="shared" si="36"/>
        <v>-0.33378961579942507</v>
      </c>
      <c r="AD238" s="2">
        <f t="shared" si="37"/>
        <v>2.9341192842520236E-3</v>
      </c>
      <c r="AE238" s="8">
        <f t="shared" si="38"/>
        <v>-1.7338022604453237E-4</v>
      </c>
      <c r="AF238" s="2">
        <f t="shared" si="39"/>
        <v>-3.2549751755940582E-4</v>
      </c>
      <c r="AG238" s="8">
        <f t="shared" si="40"/>
        <v>1.5211729151487345E-4</v>
      </c>
      <c r="AH238" s="7">
        <f t="shared" si="41"/>
        <v>-2.1397798653782889</v>
      </c>
      <c r="AI238">
        <f t="shared" si="42"/>
        <v>8</v>
      </c>
      <c r="AJ238" s="10">
        <f t="shared" si="43"/>
        <v>9.7355066569519005E-3</v>
      </c>
    </row>
    <row r="239" spans="1:36" hidden="1" x14ac:dyDescent="0.25">
      <c r="A239" t="b">
        <v>0</v>
      </c>
      <c r="B239">
        <v>1000</v>
      </c>
      <c r="C239">
        <v>9.7355066569519005E-3</v>
      </c>
      <c r="D239" t="s">
        <v>52</v>
      </c>
      <c r="E239" t="b">
        <v>1</v>
      </c>
      <c r="F239" t="s">
        <v>53</v>
      </c>
      <c r="G239">
        <v>7.4999999999999997E-2</v>
      </c>
      <c r="H239">
        <v>0.5</v>
      </c>
      <c r="I239">
        <v>1E-4</v>
      </c>
      <c r="J239" t="b">
        <v>1</v>
      </c>
      <c r="K239">
        <v>8</v>
      </c>
      <c r="L239">
        <v>1500</v>
      </c>
      <c r="M239">
        <v>0.01</v>
      </c>
      <c r="N239">
        <v>0.154</v>
      </c>
      <c r="O239" t="s">
        <v>215</v>
      </c>
      <c r="P239" t="s">
        <v>217</v>
      </c>
      <c r="Q239" s="1">
        <v>-1E-10</v>
      </c>
      <c r="R239" s="1">
        <v>3.5857859750254002E-12</v>
      </c>
      <c r="S239" s="1">
        <v>4.1669731697109602E-18</v>
      </c>
      <c r="T239" s="1">
        <v>-4.2306995454713498E-17</v>
      </c>
      <c r="U239">
        <v>7.9978141424357103</v>
      </c>
      <c r="V239">
        <v>0</v>
      </c>
      <c r="W239">
        <v>6.8474549081136399E-2</v>
      </c>
      <c r="X239">
        <v>2</v>
      </c>
      <c r="Y239">
        <v>4.0005664619992901E-3</v>
      </c>
      <c r="Z239">
        <v>2.5000000000000001E-4</v>
      </c>
      <c r="AA239">
        <v>4.7933530388098097E-3</v>
      </c>
      <c r="AB239" s="9">
        <f t="shared" si="35"/>
        <v>-0.15863956331299142</v>
      </c>
      <c r="AC239" s="9">
        <f t="shared" si="36"/>
        <v>-0.33378961579942507</v>
      </c>
      <c r="AD239" s="2">
        <f t="shared" si="37"/>
        <v>1.104075482992017</v>
      </c>
      <c r="AE239" s="8">
        <f t="shared" si="38"/>
        <v>-5.5026967221226679E-2</v>
      </c>
      <c r="AF239" s="2">
        <f t="shared" si="39"/>
        <v>-5.5179084512741554E-2</v>
      </c>
      <c r="AG239" s="8">
        <f t="shared" si="40"/>
        <v>1.5211729151487345E-4</v>
      </c>
      <c r="AH239" s="7">
        <f t="shared" si="41"/>
        <v>-362.74038252479897</v>
      </c>
      <c r="AI239">
        <f t="shared" si="42"/>
        <v>8</v>
      </c>
      <c r="AJ239" s="10">
        <f t="shared" si="43"/>
        <v>9.7355066569519005E-3</v>
      </c>
    </row>
    <row r="240" spans="1:36" hidden="1" x14ac:dyDescent="0.25">
      <c r="A240" t="b">
        <v>0</v>
      </c>
      <c r="B240">
        <v>1000</v>
      </c>
      <c r="C240">
        <v>9.7355066569519005E-3</v>
      </c>
      <c r="D240" t="s">
        <v>52</v>
      </c>
      <c r="E240" t="b">
        <v>1</v>
      </c>
      <c r="F240" t="s">
        <v>53</v>
      </c>
      <c r="G240">
        <v>7.4999999999999997E-2</v>
      </c>
      <c r="H240">
        <v>0.5</v>
      </c>
      <c r="I240">
        <v>1E-4</v>
      </c>
      <c r="J240" t="b">
        <v>1</v>
      </c>
      <c r="K240">
        <v>8</v>
      </c>
      <c r="L240">
        <v>1500</v>
      </c>
      <c r="M240">
        <v>0.01</v>
      </c>
      <c r="N240">
        <v>0.154</v>
      </c>
      <c r="O240" t="s">
        <v>215</v>
      </c>
      <c r="P240" t="s">
        <v>218</v>
      </c>
      <c r="Q240" s="1">
        <v>-5.1836566072042901E-5</v>
      </c>
      <c r="R240">
        <v>1.0736952645338299E-3</v>
      </c>
      <c r="S240">
        <v>2.6611785561425898E-4</v>
      </c>
      <c r="T240">
        <v>-5.6776110504907504E-3</v>
      </c>
      <c r="U240">
        <v>7.9972816854763904</v>
      </c>
      <c r="V240" s="1">
        <v>9.9999999944844597E-15</v>
      </c>
      <c r="W240">
        <v>1.36827600446102</v>
      </c>
      <c r="X240">
        <v>2.4999999999990998</v>
      </c>
      <c r="Y240">
        <v>63.7066556248773</v>
      </c>
      <c r="Z240">
        <v>0.49999999999948103</v>
      </c>
      <c r="AA240">
        <v>114.648465946014</v>
      </c>
      <c r="AB240" s="9">
        <f t="shared" si="35"/>
        <v>-0.3333585882809309</v>
      </c>
      <c r="AC240" s="9">
        <f t="shared" si="36"/>
        <v>-0.33378961579942507</v>
      </c>
      <c r="AD240" s="2">
        <f t="shared" si="37"/>
        <v>1.2929845927081018E-3</v>
      </c>
      <c r="AE240" s="8">
        <f t="shared" si="38"/>
        <v>8.4183867344944649E-6</v>
      </c>
      <c r="AF240" s="2">
        <f t="shared" si="39"/>
        <v>-1.4369890478037897E-4</v>
      </c>
      <c r="AG240" s="8">
        <f t="shared" si="40"/>
        <v>1.5211729151487345E-4</v>
      </c>
      <c r="AH240" s="7">
        <f t="shared" si="41"/>
        <v>-0.94465858121283108</v>
      </c>
      <c r="AI240">
        <f t="shared" si="42"/>
        <v>8</v>
      </c>
      <c r="AJ240" s="10">
        <f t="shared" si="43"/>
        <v>9.7355066569519005E-3</v>
      </c>
    </row>
    <row r="241" spans="1:36" hidden="1" x14ac:dyDescent="0.25">
      <c r="A241" t="b">
        <v>0</v>
      </c>
      <c r="B241">
        <v>1000</v>
      </c>
      <c r="C241">
        <v>9.7355066569519005E-3</v>
      </c>
      <c r="D241" t="s">
        <v>52</v>
      </c>
      <c r="E241" t="b">
        <v>1</v>
      </c>
      <c r="F241" t="s">
        <v>53</v>
      </c>
      <c r="G241">
        <v>7.4999999999999997E-2</v>
      </c>
      <c r="H241">
        <v>0.5</v>
      </c>
      <c r="I241">
        <v>1E-4</v>
      </c>
      <c r="J241" t="b">
        <v>1</v>
      </c>
      <c r="K241">
        <v>8</v>
      </c>
      <c r="L241">
        <v>1500</v>
      </c>
      <c r="M241">
        <v>0.01</v>
      </c>
      <c r="N241">
        <v>0.154</v>
      </c>
      <c r="O241" t="s">
        <v>215</v>
      </c>
      <c r="P241" t="s">
        <v>219</v>
      </c>
      <c r="Q241">
        <v>-4.1424403467109301E-4</v>
      </c>
      <c r="R241">
        <v>8.4954618665686408E-3</v>
      </c>
      <c r="S241">
        <v>2.1244713693005599E-3</v>
      </c>
      <c r="T241">
        <v>-4.5256787933118901E-2</v>
      </c>
      <c r="U241">
        <v>7.9935679045405701</v>
      </c>
      <c r="V241" s="1">
        <v>9.9999999999999905E-15</v>
      </c>
      <c r="W241">
        <v>1.3630695610227801</v>
      </c>
      <c r="X241">
        <v>2.4999999999999898</v>
      </c>
      <c r="Y241">
        <v>62.978936780704302</v>
      </c>
      <c r="Z241">
        <v>0.499999999999999</v>
      </c>
      <c r="AA241">
        <v>113.56493221903899</v>
      </c>
      <c r="AB241" s="9">
        <f t="shared" si="35"/>
        <v>-0.3328533025548816</v>
      </c>
      <c r="AC241" s="9">
        <f t="shared" si="36"/>
        <v>-0.33378961579942507</v>
      </c>
      <c r="AD241" s="2">
        <f t="shared" si="37"/>
        <v>2.8129906999767584E-3</v>
      </c>
      <c r="AE241" s="8">
        <f t="shared" si="38"/>
        <v>-1.5998466029690882E-4</v>
      </c>
      <c r="AF241" s="2">
        <f t="shared" si="39"/>
        <v>-3.1210195181178224E-4</v>
      </c>
      <c r="AG241" s="8">
        <f t="shared" si="40"/>
        <v>1.5211729151487345E-4</v>
      </c>
      <c r="AH241" s="7">
        <f t="shared" si="41"/>
        <v>-2.0517190958614071</v>
      </c>
      <c r="AI241">
        <f t="shared" si="42"/>
        <v>8</v>
      </c>
      <c r="AJ241" s="10">
        <f t="shared" si="43"/>
        <v>9.7355066569519005E-3</v>
      </c>
    </row>
    <row r="242" spans="1:36" hidden="1" x14ac:dyDescent="0.25">
      <c r="A242" t="b">
        <v>0</v>
      </c>
      <c r="B242">
        <v>1000</v>
      </c>
      <c r="C242">
        <v>9.7355066569519005E-3</v>
      </c>
      <c r="D242" t="s">
        <v>52</v>
      </c>
      <c r="E242" t="b">
        <v>1</v>
      </c>
      <c r="F242" t="s">
        <v>53</v>
      </c>
      <c r="G242">
        <v>7.4999999999999997E-2</v>
      </c>
      <c r="H242">
        <v>0.5</v>
      </c>
      <c r="I242">
        <v>1E-4</v>
      </c>
      <c r="J242" t="b">
        <v>1</v>
      </c>
      <c r="K242">
        <v>8</v>
      </c>
      <c r="L242">
        <v>1500</v>
      </c>
      <c r="M242">
        <v>0.01</v>
      </c>
      <c r="N242">
        <v>0.154</v>
      </c>
      <c r="O242" t="s">
        <v>215</v>
      </c>
      <c r="P242" t="s">
        <v>220</v>
      </c>
      <c r="Q242">
        <v>-3.6238940117634601E-4</v>
      </c>
      <c r="R242">
        <v>7.2510576660022299E-3</v>
      </c>
      <c r="S242">
        <v>1.8583814813216801E-3</v>
      </c>
      <c r="T242">
        <v>-3.9583597206281101E-2</v>
      </c>
      <c r="U242">
        <v>7.9941004415472001</v>
      </c>
      <c r="V242" s="1">
        <v>9.9999999999999905E-15</v>
      </c>
      <c r="W242">
        <v>1.33299597376736</v>
      </c>
      <c r="X242">
        <v>2.4999999999999898</v>
      </c>
      <c r="Y242">
        <v>61.510613955811898</v>
      </c>
      <c r="Z242">
        <v>0.499999999999999</v>
      </c>
      <c r="AA242">
        <v>110.790804738882</v>
      </c>
      <c r="AB242" s="9">
        <f t="shared" si="35"/>
        <v>-0.33281310245745116</v>
      </c>
      <c r="AC242" s="9">
        <f t="shared" si="36"/>
        <v>-0.33378961579942507</v>
      </c>
      <c r="AD242" s="2">
        <f t="shared" si="37"/>
        <v>2.9341192842573527E-3</v>
      </c>
      <c r="AE242" s="8">
        <f t="shared" si="38"/>
        <v>-1.7338022604511196E-4</v>
      </c>
      <c r="AF242" s="2">
        <f t="shared" si="39"/>
        <v>-3.2549751755998543E-4</v>
      </c>
      <c r="AG242" s="8">
        <f t="shared" si="40"/>
        <v>1.5211729151487345E-4</v>
      </c>
      <c r="AH242" s="7">
        <f t="shared" si="41"/>
        <v>-2.1397798653820992</v>
      </c>
      <c r="AI242">
        <f t="shared" si="42"/>
        <v>8</v>
      </c>
      <c r="AJ242" s="10">
        <f t="shared" si="43"/>
        <v>9.7355066569519005E-3</v>
      </c>
    </row>
    <row r="243" spans="1:36" hidden="1" x14ac:dyDescent="0.25">
      <c r="A243" t="b">
        <v>0</v>
      </c>
      <c r="B243">
        <v>1000</v>
      </c>
      <c r="C243">
        <v>9.7355066569519005E-3</v>
      </c>
      <c r="D243" t="s">
        <v>52</v>
      </c>
      <c r="E243" t="b">
        <v>1</v>
      </c>
      <c r="F243" t="s">
        <v>53</v>
      </c>
      <c r="G243">
        <v>7.4999999999999997E-2</v>
      </c>
      <c r="H243">
        <v>0.5</v>
      </c>
      <c r="I243">
        <v>1E-4</v>
      </c>
      <c r="J243" t="b">
        <v>1</v>
      </c>
      <c r="K243">
        <v>8</v>
      </c>
      <c r="L243">
        <v>1500</v>
      </c>
      <c r="M243">
        <v>0.01</v>
      </c>
      <c r="N243">
        <v>0.154</v>
      </c>
      <c r="O243" t="s">
        <v>215</v>
      </c>
      <c r="P243" t="s">
        <v>221</v>
      </c>
      <c r="Q243">
        <v>-4.1424403467109301E-4</v>
      </c>
      <c r="R243">
        <v>8.4954618665685905E-3</v>
      </c>
      <c r="S243">
        <v>2.1244713693005499E-3</v>
      </c>
      <c r="T243">
        <v>-4.52567879331187E-2</v>
      </c>
      <c r="U243">
        <v>7.9935679045401997</v>
      </c>
      <c r="V243" s="1">
        <v>9.9999999999999905E-15</v>
      </c>
      <c r="W243">
        <v>1.3630695610227701</v>
      </c>
      <c r="X243">
        <v>2.4999999999999898</v>
      </c>
      <c r="Y243">
        <v>62.978936780703897</v>
      </c>
      <c r="Z243">
        <v>0.499999999999999</v>
      </c>
      <c r="AA243">
        <v>113.564932219038</v>
      </c>
      <c r="AB243" s="9">
        <f t="shared" si="35"/>
        <v>-0.33285330255488166</v>
      </c>
      <c r="AC243" s="9">
        <f t="shared" si="36"/>
        <v>-0.33378961579942507</v>
      </c>
      <c r="AD243" s="2">
        <f t="shared" si="37"/>
        <v>2.8129906999767584E-3</v>
      </c>
      <c r="AE243" s="8">
        <f t="shared" si="38"/>
        <v>-1.5998466029688418E-4</v>
      </c>
      <c r="AF243" s="2">
        <f t="shared" si="39"/>
        <v>-3.1210195181175762E-4</v>
      </c>
      <c r="AG243" s="8">
        <f t="shared" si="40"/>
        <v>1.5211729151487345E-4</v>
      </c>
      <c r="AH243" s="7">
        <f t="shared" si="41"/>
        <v>-2.0517190958612455</v>
      </c>
      <c r="AI243">
        <f t="shared" si="42"/>
        <v>8</v>
      </c>
      <c r="AJ243" s="10">
        <f t="shared" si="43"/>
        <v>9.7355066569519005E-3</v>
      </c>
    </row>
    <row r="244" spans="1:36" hidden="1" x14ac:dyDescent="0.25">
      <c r="A244" t="b">
        <v>0</v>
      </c>
      <c r="B244">
        <v>1000</v>
      </c>
      <c r="C244">
        <v>9.7355066569519005E-3</v>
      </c>
      <c r="D244" t="s">
        <v>52</v>
      </c>
      <c r="E244" t="b">
        <v>1</v>
      </c>
      <c r="F244" t="s">
        <v>53</v>
      </c>
      <c r="G244">
        <v>7.4999999999999997E-2</v>
      </c>
      <c r="H244">
        <v>0.5</v>
      </c>
      <c r="I244">
        <v>1E-4</v>
      </c>
      <c r="J244" t="b">
        <v>1</v>
      </c>
      <c r="K244">
        <v>8</v>
      </c>
      <c r="L244">
        <v>1500</v>
      </c>
      <c r="M244">
        <v>0.01</v>
      </c>
      <c r="N244">
        <v>0.154</v>
      </c>
      <c r="O244" t="s">
        <v>215</v>
      </c>
      <c r="P244" t="s">
        <v>222</v>
      </c>
      <c r="Q244">
        <v>-7.7677739598088099E-4</v>
      </c>
      <c r="R244">
        <v>1.5639699134742599E-2</v>
      </c>
      <c r="S244">
        <v>3.9826300032236601E-3</v>
      </c>
      <c r="T244">
        <v>-8.4805164010754996E-2</v>
      </c>
      <c r="U244">
        <v>7.9898535618673998</v>
      </c>
      <c r="V244" s="1">
        <v>9.99999999999997E-15</v>
      </c>
      <c r="W244">
        <v>1.3385598750874601</v>
      </c>
      <c r="X244">
        <v>2.4999999999999898</v>
      </c>
      <c r="Y244">
        <v>61.895166241585102</v>
      </c>
      <c r="Z244">
        <v>0.499999999999999</v>
      </c>
      <c r="AA244">
        <v>111.47788809747</v>
      </c>
      <c r="AB244" s="9">
        <f t="shared" si="35"/>
        <v>-0.33271498647765091</v>
      </c>
      <c r="AC244" s="9">
        <f t="shared" si="36"/>
        <v>-0.33378961579942507</v>
      </c>
      <c r="AD244" s="2">
        <f t="shared" si="37"/>
        <v>3.2298795228640209E-3</v>
      </c>
      <c r="AE244" s="8">
        <f t="shared" si="38"/>
        <v>-2.0607314366732611E-4</v>
      </c>
      <c r="AF244" s="2">
        <f t="shared" si="39"/>
        <v>-3.5819043518219956E-4</v>
      </c>
      <c r="AG244" s="8">
        <f t="shared" si="40"/>
        <v>1.5211729151487345E-4</v>
      </c>
      <c r="AH244" s="7">
        <f t="shared" si="41"/>
        <v>-2.3546990063728361</v>
      </c>
      <c r="AI244">
        <f t="shared" si="42"/>
        <v>8</v>
      </c>
      <c r="AJ244" s="10">
        <f t="shared" si="43"/>
        <v>9.7355066569519005E-3</v>
      </c>
    </row>
    <row r="245" spans="1:36" hidden="1" x14ac:dyDescent="0.25">
      <c r="A245" t="b">
        <v>0</v>
      </c>
      <c r="B245">
        <v>1000</v>
      </c>
      <c r="C245">
        <v>9.7355066569519005E-3</v>
      </c>
      <c r="D245" t="s">
        <v>52</v>
      </c>
      <c r="E245" t="b">
        <v>1</v>
      </c>
      <c r="F245" t="s">
        <v>53</v>
      </c>
      <c r="G245">
        <v>7.4999999999999997E-2</v>
      </c>
      <c r="H245">
        <v>0.5</v>
      </c>
      <c r="I245">
        <v>1E-4</v>
      </c>
      <c r="J245" t="b">
        <v>1</v>
      </c>
      <c r="K245">
        <v>8</v>
      </c>
      <c r="L245">
        <v>1500</v>
      </c>
      <c r="M245">
        <v>0.01</v>
      </c>
      <c r="N245">
        <v>0.154</v>
      </c>
      <c r="O245" t="s">
        <v>216</v>
      </c>
      <c r="P245" t="s">
        <v>219</v>
      </c>
      <c r="Q245" s="1">
        <v>-5.1854633417867997E-5</v>
      </c>
      <c r="R245">
        <v>1.0736489173384001E-3</v>
      </c>
      <c r="S245">
        <v>2.66089887978871E-4</v>
      </c>
      <c r="T245">
        <v>-5.6731907268374702E-3</v>
      </c>
      <c r="U245">
        <v>7.9898542036528504</v>
      </c>
      <c r="V245" s="1">
        <v>9.9999999943665297E-15</v>
      </c>
      <c r="W245">
        <v>1.3803651737895299</v>
      </c>
      <c r="X245">
        <v>2.4999999999990901</v>
      </c>
      <c r="Y245">
        <v>63.4757003368806</v>
      </c>
      <c r="Z245">
        <v>0.49999999999946998</v>
      </c>
      <c r="AA245">
        <v>114.689756048238</v>
      </c>
      <c r="AB245" s="9">
        <f t="shared" si="35"/>
        <v>-0.33313406150133096</v>
      </c>
      <c r="AC245" s="9">
        <f t="shared" si="36"/>
        <v>-0.33378961579942507</v>
      </c>
      <c r="AD245" s="2">
        <f t="shared" si="37"/>
        <v>1.9678392991089311E-3</v>
      </c>
      <c r="AE245" s="8">
        <f t="shared" si="38"/>
        <v>-6.6419532153507433E-5</v>
      </c>
      <c r="AF245" s="2">
        <f t="shared" si="39"/>
        <v>-2.1853682366838087E-4</v>
      </c>
      <c r="AG245" s="8">
        <f t="shared" si="40"/>
        <v>1.5211729151487345E-4</v>
      </c>
      <c r="AH245" s="7">
        <f t="shared" si="41"/>
        <v>-1.436633675843572</v>
      </c>
      <c r="AI245">
        <f t="shared" si="42"/>
        <v>8</v>
      </c>
      <c r="AJ245" s="10">
        <f t="shared" si="43"/>
        <v>9.7355066569519005E-3</v>
      </c>
    </row>
    <row r="246" spans="1:36" hidden="1" x14ac:dyDescent="0.25">
      <c r="A246" t="b">
        <v>0</v>
      </c>
      <c r="B246">
        <v>1000</v>
      </c>
      <c r="C246">
        <v>9.7355066569519005E-3</v>
      </c>
      <c r="D246" t="s">
        <v>52</v>
      </c>
      <c r="E246" t="b">
        <v>1</v>
      </c>
      <c r="F246" t="s">
        <v>53</v>
      </c>
      <c r="G246">
        <v>7.4999999999999997E-2</v>
      </c>
      <c r="H246">
        <v>0.5</v>
      </c>
      <c r="I246">
        <v>1E-4</v>
      </c>
      <c r="J246" t="b">
        <v>1</v>
      </c>
      <c r="K246">
        <v>8</v>
      </c>
      <c r="L246">
        <v>1500</v>
      </c>
      <c r="M246">
        <v>0.01</v>
      </c>
      <c r="N246">
        <v>0.154</v>
      </c>
      <c r="O246" t="s">
        <v>216</v>
      </c>
      <c r="P246" t="s">
        <v>220</v>
      </c>
      <c r="Q246" s="1">
        <v>-1E-10</v>
      </c>
      <c r="R246" s="1">
        <v>3.5857859333888101E-12</v>
      </c>
      <c r="S246" s="1">
        <v>3.4661971932916899E-18</v>
      </c>
      <c r="T246" s="1">
        <v>1.7231014466568401E-16</v>
      </c>
      <c r="U246">
        <v>7.9903867406594902</v>
      </c>
      <c r="V246">
        <v>0</v>
      </c>
      <c r="W246">
        <v>6.8474548286039799E-2</v>
      </c>
      <c r="X246">
        <v>2</v>
      </c>
      <c r="Y246">
        <v>4.0005664155464598E-3</v>
      </c>
      <c r="Z246">
        <v>2.5000000000000001E-4</v>
      </c>
      <c r="AA246">
        <v>4.7933529831514898E-3</v>
      </c>
      <c r="AB246" s="9">
        <f t="shared" si="35"/>
        <v>0.77674346272391792</v>
      </c>
      <c r="AC246" s="9">
        <f t="shared" si="36"/>
        <v>-0.33378961579942507</v>
      </c>
      <c r="AD246" s="2">
        <f t="shared" si="37"/>
        <v>-1.4297295462634176</v>
      </c>
      <c r="AE246" s="8">
        <f t="shared" si="38"/>
        <v>-0.27008663125762883</v>
      </c>
      <c r="AF246" s="2">
        <f t="shared" si="39"/>
        <v>-0.2702387485491437</v>
      </c>
      <c r="AG246" s="8">
        <f t="shared" si="40"/>
        <v>1.5211729151487345E-4</v>
      </c>
      <c r="AH246" s="7">
        <f t="shared" si="41"/>
        <v>-1776.515646958655</v>
      </c>
      <c r="AI246">
        <f t="shared" si="42"/>
        <v>8</v>
      </c>
      <c r="AJ246" s="10">
        <f t="shared" si="43"/>
        <v>9.7355066569519005E-3</v>
      </c>
    </row>
    <row r="247" spans="1:36" hidden="1" x14ac:dyDescent="0.25">
      <c r="A247" t="b">
        <v>0</v>
      </c>
      <c r="B247">
        <v>1000</v>
      </c>
      <c r="C247">
        <v>9.7355066569519005E-3</v>
      </c>
      <c r="D247" t="s">
        <v>52</v>
      </c>
      <c r="E247" t="b">
        <v>1</v>
      </c>
      <c r="F247" t="s">
        <v>53</v>
      </c>
      <c r="G247">
        <v>7.4999999999999997E-2</v>
      </c>
      <c r="H247">
        <v>0.5</v>
      </c>
      <c r="I247">
        <v>1E-4</v>
      </c>
      <c r="J247" t="b">
        <v>1</v>
      </c>
      <c r="K247">
        <v>8</v>
      </c>
      <c r="L247">
        <v>1500</v>
      </c>
      <c r="M247">
        <v>0.01</v>
      </c>
      <c r="N247">
        <v>0.154</v>
      </c>
      <c r="O247" t="s">
        <v>216</v>
      </c>
      <c r="P247" t="s">
        <v>221</v>
      </c>
      <c r="Q247" s="1">
        <v>-5.1854633417867597E-5</v>
      </c>
      <c r="R247">
        <v>1.0700827376671899E-3</v>
      </c>
      <c r="S247">
        <v>2.6608988797886601E-4</v>
      </c>
      <c r="T247">
        <v>-5.6731907268372196E-3</v>
      </c>
      <c r="U247">
        <v>7.9898542036524898</v>
      </c>
      <c r="V247" s="1">
        <v>9.9999999943635099E-15</v>
      </c>
      <c r="W247">
        <v>1.36929095844937</v>
      </c>
      <c r="X247">
        <v>2.4999999999990901</v>
      </c>
      <c r="Y247">
        <v>63.3698199830663</v>
      </c>
      <c r="Z247">
        <v>0.49999999999946998</v>
      </c>
      <c r="AA247">
        <v>114.270254873474</v>
      </c>
      <c r="AB247" s="9">
        <f t="shared" si="35"/>
        <v>-0.33313406150132246</v>
      </c>
      <c r="AC247" s="9">
        <f t="shared" si="36"/>
        <v>-0.33378961579942507</v>
      </c>
      <c r="AD247" s="2">
        <f t="shared" si="37"/>
        <v>1.9678392991344662E-3</v>
      </c>
      <c r="AE247" s="8">
        <f t="shared" si="38"/>
        <v>-6.6419532156344289E-5</v>
      </c>
      <c r="AF247" s="2">
        <f t="shared" si="39"/>
        <v>-2.1853682367121773E-4</v>
      </c>
      <c r="AG247" s="8">
        <f t="shared" si="40"/>
        <v>1.5211729151487345E-4</v>
      </c>
      <c r="AH247" s="7">
        <f t="shared" si="41"/>
        <v>-1.4366336758622213</v>
      </c>
      <c r="AI247">
        <f t="shared" si="42"/>
        <v>8</v>
      </c>
      <c r="AJ247" s="10">
        <f t="shared" si="43"/>
        <v>9.7355066569519005E-3</v>
      </c>
    </row>
    <row r="248" spans="1:36" hidden="1" x14ac:dyDescent="0.25">
      <c r="A248" t="b">
        <v>0</v>
      </c>
      <c r="B248">
        <v>1000</v>
      </c>
      <c r="C248">
        <v>9.7355066569519005E-3</v>
      </c>
      <c r="D248" t="s">
        <v>52</v>
      </c>
      <c r="E248" t="b">
        <v>1</v>
      </c>
      <c r="F248" t="s">
        <v>53</v>
      </c>
      <c r="G248">
        <v>7.4999999999999997E-2</v>
      </c>
      <c r="H248">
        <v>0.5</v>
      </c>
      <c r="I248">
        <v>1E-4</v>
      </c>
      <c r="J248" t="b">
        <v>1</v>
      </c>
      <c r="K248">
        <v>8</v>
      </c>
      <c r="L248">
        <v>1500</v>
      </c>
      <c r="M248">
        <v>0.01</v>
      </c>
      <c r="N248">
        <v>0.154</v>
      </c>
      <c r="O248" t="s">
        <v>216</v>
      </c>
      <c r="P248" t="s">
        <v>222</v>
      </c>
      <c r="Q248">
        <v>-4.1438799480680199E-4</v>
      </c>
      <c r="R248">
        <v>8.6582329164149093E-3</v>
      </c>
      <c r="S248">
        <v>2.12424852190197E-3</v>
      </c>
      <c r="T248">
        <v>-4.5221566804473798E-2</v>
      </c>
      <c r="U248">
        <v>7.9861398609796899</v>
      </c>
      <c r="V248" s="1">
        <v>9.9999999999999905E-15</v>
      </c>
      <c r="W248">
        <v>1.4002875782140001</v>
      </c>
      <c r="X248">
        <v>2.4999999999999898</v>
      </c>
      <c r="Y248">
        <v>63.899935798808102</v>
      </c>
      <c r="Z248">
        <v>0.499999999999999</v>
      </c>
      <c r="AA248">
        <v>115.797504585078</v>
      </c>
      <c r="AB248" s="9">
        <f t="shared" si="35"/>
        <v>-0.33262915051354369</v>
      </c>
      <c r="AC248" s="9">
        <f t="shared" si="36"/>
        <v>-0.33378961579942507</v>
      </c>
      <c r="AD248" s="2">
        <f t="shared" si="37"/>
        <v>3.4887660449776092E-3</v>
      </c>
      <c r="AE248" s="8">
        <f t="shared" si="38"/>
        <v>-2.3467252247701207E-4</v>
      </c>
      <c r="AF248" s="2">
        <f t="shared" si="39"/>
        <v>-3.8678981399188552E-4</v>
      </c>
      <c r="AG248" s="8">
        <f t="shared" si="40"/>
        <v>1.5211729151487345E-4</v>
      </c>
      <c r="AH248" s="7">
        <f t="shared" si="41"/>
        <v>-2.5427077365104589</v>
      </c>
      <c r="AI248">
        <f t="shared" si="42"/>
        <v>8</v>
      </c>
      <c r="AJ248" s="10">
        <f t="shared" si="43"/>
        <v>9.7355066569519005E-3</v>
      </c>
    </row>
    <row r="249" spans="1:36" hidden="1" x14ac:dyDescent="0.25">
      <c r="A249" t="b">
        <v>0</v>
      </c>
      <c r="B249">
        <v>1000</v>
      </c>
      <c r="C249">
        <v>9.7355066569519005E-3</v>
      </c>
      <c r="D249" t="s">
        <v>52</v>
      </c>
      <c r="E249" t="b">
        <v>1</v>
      </c>
      <c r="F249" t="s">
        <v>53</v>
      </c>
      <c r="G249">
        <v>7.4999999999999997E-2</v>
      </c>
      <c r="H249">
        <v>0.5</v>
      </c>
      <c r="I249">
        <v>1E-4</v>
      </c>
      <c r="J249" t="b">
        <v>1</v>
      </c>
      <c r="K249">
        <v>8</v>
      </c>
      <c r="L249">
        <v>1500</v>
      </c>
      <c r="M249">
        <v>0.01</v>
      </c>
      <c r="N249">
        <v>0.154</v>
      </c>
      <c r="O249" t="s">
        <v>217</v>
      </c>
      <c r="P249" t="s">
        <v>218</v>
      </c>
      <c r="Q249" s="1">
        <v>-5.1836566072043701E-5</v>
      </c>
      <c r="R249">
        <v>1.0877450424071401E-3</v>
      </c>
      <c r="S249">
        <v>2.6611785561426001E-4</v>
      </c>
      <c r="T249">
        <v>-5.6776110504906697E-3</v>
      </c>
      <c r="U249">
        <v>7.9972816854769704</v>
      </c>
      <c r="V249" s="1">
        <v>9.99999999448475E-15</v>
      </c>
      <c r="W249">
        <v>1.3877454954194499</v>
      </c>
      <c r="X249">
        <v>2.4999999999990998</v>
      </c>
      <c r="Y249">
        <v>64.455387726642996</v>
      </c>
      <c r="Z249">
        <v>0.49999999999948103</v>
      </c>
      <c r="AA249">
        <v>116.178498230195</v>
      </c>
      <c r="AB249" s="9">
        <f t="shared" si="35"/>
        <v>-0.33335858828092485</v>
      </c>
      <c r="AC249" s="9">
        <f t="shared" si="36"/>
        <v>-0.33378961579942507</v>
      </c>
      <c r="AD249" s="2">
        <f t="shared" si="37"/>
        <v>1.2929845927263095E-3</v>
      </c>
      <c r="AE249" s="8">
        <f t="shared" si="38"/>
        <v>8.4183867324713589E-6</v>
      </c>
      <c r="AF249" s="2">
        <f t="shared" si="39"/>
        <v>-1.436989047824021E-4</v>
      </c>
      <c r="AG249" s="8">
        <f t="shared" si="40"/>
        <v>1.5211729151487345E-4</v>
      </c>
      <c r="AH249" s="7">
        <f t="shared" si="41"/>
        <v>-0.94465858122613078</v>
      </c>
      <c r="AI249">
        <f t="shared" si="42"/>
        <v>8</v>
      </c>
      <c r="AJ249" s="10">
        <f t="shared" si="43"/>
        <v>9.7355066569519005E-3</v>
      </c>
    </row>
    <row r="250" spans="1:36" hidden="1" x14ac:dyDescent="0.25">
      <c r="A250" t="b">
        <v>0</v>
      </c>
      <c r="B250">
        <v>1000</v>
      </c>
      <c r="C250">
        <v>9.7355066569519005E-3</v>
      </c>
      <c r="D250" t="s">
        <v>52</v>
      </c>
      <c r="E250" t="b">
        <v>1</v>
      </c>
      <c r="F250" t="s">
        <v>53</v>
      </c>
      <c r="G250">
        <v>7.4999999999999997E-2</v>
      </c>
      <c r="H250">
        <v>0.5</v>
      </c>
      <c r="I250">
        <v>1E-4</v>
      </c>
      <c r="J250" t="b">
        <v>1</v>
      </c>
      <c r="K250">
        <v>8</v>
      </c>
      <c r="L250">
        <v>1500</v>
      </c>
      <c r="M250">
        <v>0.01</v>
      </c>
      <c r="N250">
        <v>0.154</v>
      </c>
      <c r="O250" t="s">
        <v>217</v>
      </c>
      <c r="P250" t="s">
        <v>219</v>
      </c>
      <c r="Q250">
        <v>-4.14244034671089E-4</v>
      </c>
      <c r="R250">
        <v>8.6016493012674097E-3</v>
      </c>
      <c r="S250">
        <v>2.1244713693005599E-3</v>
      </c>
      <c r="T250">
        <v>-4.5256787933118797E-2</v>
      </c>
      <c r="U250">
        <v>7.9935679045411598</v>
      </c>
      <c r="V250" s="1">
        <v>9.9999999999999905E-15</v>
      </c>
      <c r="W250">
        <v>1.3954593386624901</v>
      </c>
      <c r="X250">
        <v>2.4999999999999898</v>
      </c>
      <c r="Y250">
        <v>63.480310401213401</v>
      </c>
      <c r="Z250">
        <v>0.499999999999999</v>
      </c>
      <c r="AA250">
        <v>115.095755320728</v>
      </c>
      <c r="AB250" s="9">
        <f t="shared" si="35"/>
        <v>-0.33285330255488083</v>
      </c>
      <c r="AC250" s="9">
        <f t="shared" si="36"/>
        <v>-0.33378961579942507</v>
      </c>
      <c r="AD250" s="2">
        <f t="shared" si="37"/>
        <v>2.8129906999792009E-3</v>
      </c>
      <c r="AE250" s="8">
        <f t="shared" si="38"/>
        <v>-1.5998466029715547E-4</v>
      </c>
      <c r="AF250" s="2">
        <f t="shared" si="39"/>
        <v>-3.1210195181202889E-4</v>
      </c>
      <c r="AG250" s="8">
        <f t="shared" si="40"/>
        <v>1.5211729151487345E-4</v>
      </c>
      <c r="AH250" s="7">
        <f t="shared" si="41"/>
        <v>-2.0517190958630285</v>
      </c>
      <c r="AI250">
        <f t="shared" si="42"/>
        <v>8</v>
      </c>
      <c r="AJ250" s="10">
        <f t="shared" si="43"/>
        <v>9.7355066569519005E-3</v>
      </c>
    </row>
    <row r="251" spans="1:36" hidden="1" x14ac:dyDescent="0.25">
      <c r="A251" t="b">
        <v>0</v>
      </c>
      <c r="B251">
        <v>1000</v>
      </c>
      <c r="C251">
        <v>9.7355066569519005E-3</v>
      </c>
      <c r="D251" t="s">
        <v>52</v>
      </c>
      <c r="E251" t="b">
        <v>1</v>
      </c>
      <c r="F251" t="s">
        <v>53</v>
      </c>
      <c r="G251">
        <v>7.4999999999999997E-2</v>
      </c>
      <c r="H251">
        <v>0.5</v>
      </c>
      <c r="I251">
        <v>1E-4</v>
      </c>
      <c r="J251" t="b">
        <v>1</v>
      </c>
      <c r="K251">
        <v>8</v>
      </c>
      <c r="L251">
        <v>1500</v>
      </c>
      <c r="M251">
        <v>0.01</v>
      </c>
      <c r="N251">
        <v>0.154</v>
      </c>
      <c r="O251" t="s">
        <v>217</v>
      </c>
      <c r="P251" t="s">
        <v>220</v>
      </c>
      <c r="Q251">
        <v>-3.6238940117634298E-4</v>
      </c>
      <c r="R251">
        <v>7.0586821118159698E-3</v>
      </c>
      <c r="S251">
        <v>1.8583814813216801E-3</v>
      </c>
      <c r="T251">
        <v>-3.9583597206281199E-2</v>
      </c>
      <c r="U251">
        <v>7.9941004415477899</v>
      </c>
      <c r="V251" s="1">
        <v>9.9999999999999905E-15</v>
      </c>
      <c r="W251">
        <v>1.28963195479523</v>
      </c>
      <c r="X251">
        <v>2.4999999999999898</v>
      </c>
      <c r="Y251">
        <v>60.125771075922401</v>
      </c>
      <c r="Z251">
        <v>0.499999999999999</v>
      </c>
      <c r="AA251">
        <v>107.764602427367</v>
      </c>
      <c r="AB251" s="9">
        <f t="shared" si="35"/>
        <v>-0.33281310245745199</v>
      </c>
      <c r="AC251" s="9">
        <f t="shared" si="36"/>
        <v>-0.33378961579942507</v>
      </c>
      <c r="AD251" s="2">
        <f t="shared" si="37"/>
        <v>2.9341192842546882E-3</v>
      </c>
      <c r="AE251" s="8">
        <f t="shared" si="38"/>
        <v>-1.7338022604482836E-4</v>
      </c>
      <c r="AF251" s="2">
        <f t="shared" si="39"/>
        <v>-3.2549751755970181E-4</v>
      </c>
      <c r="AG251" s="8">
        <f t="shared" si="40"/>
        <v>1.5211729151487345E-4</v>
      </c>
      <c r="AH251" s="7">
        <f t="shared" si="41"/>
        <v>-2.1397798653802345</v>
      </c>
      <c r="AI251">
        <f t="shared" si="42"/>
        <v>8</v>
      </c>
      <c r="AJ251" s="10">
        <f t="shared" si="43"/>
        <v>9.7355066569519005E-3</v>
      </c>
    </row>
    <row r="252" spans="1:36" hidden="1" x14ac:dyDescent="0.25">
      <c r="A252" t="b">
        <v>0</v>
      </c>
      <c r="B252">
        <v>1000</v>
      </c>
      <c r="C252">
        <v>9.7355066569519005E-3</v>
      </c>
      <c r="D252" t="s">
        <v>52</v>
      </c>
      <c r="E252" t="b">
        <v>1</v>
      </c>
      <c r="F252" t="s">
        <v>53</v>
      </c>
      <c r="G252">
        <v>7.4999999999999997E-2</v>
      </c>
      <c r="H252">
        <v>0.5</v>
      </c>
      <c r="I252">
        <v>1E-4</v>
      </c>
      <c r="J252" t="b">
        <v>1</v>
      </c>
      <c r="K252">
        <v>8</v>
      </c>
      <c r="L252">
        <v>1500</v>
      </c>
      <c r="M252">
        <v>0.01</v>
      </c>
      <c r="N252">
        <v>0.154</v>
      </c>
      <c r="O252" t="s">
        <v>217</v>
      </c>
      <c r="P252" t="s">
        <v>221</v>
      </c>
      <c r="Q252">
        <v>-4.1424403467110201E-4</v>
      </c>
      <c r="R252">
        <v>8.5763068392886201E-3</v>
      </c>
      <c r="S252">
        <v>2.1244713693005499E-3</v>
      </c>
      <c r="T252">
        <v>-4.5256787933118603E-2</v>
      </c>
      <c r="U252">
        <v>7.9935679045407904</v>
      </c>
      <c r="V252" s="1">
        <v>9.9999999999999905E-15</v>
      </c>
      <c r="W252">
        <v>1.37961315916901</v>
      </c>
      <c r="X252">
        <v>2.4999999999999898</v>
      </c>
      <c r="Y252">
        <v>63.479787460711201</v>
      </c>
      <c r="Z252">
        <v>0.499999999999999</v>
      </c>
      <c r="AA252">
        <v>114.681264889627</v>
      </c>
      <c r="AB252" s="9">
        <f t="shared" si="35"/>
        <v>-0.33285330255488094</v>
      </c>
      <c r="AC252" s="9">
        <f t="shared" si="36"/>
        <v>-0.33378961579942507</v>
      </c>
      <c r="AD252" s="2">
        <f t="shared" si="37"/>
        <v>2.8129906999787568E-3</v>
      </c>
      <c r="AE252" s="8">
        <f t="shared" si="38"/>
        <v>-1.5998466029713081E-4</v>
      </c>
      <c r="AF252" s="2">
        <f t="shared" si="39"/>
        <v>-3.1210195181200428E-4</v>
      </c>
      <c r="AG252" s="8">
        <f t="shared" si="40"/>
        <v>1.5211729151487345E-4</v>
      </c>
      <c r="AH252" s="7">
        <f t="shared" si="41"/>
        <v>-2.0517190958628668</v>
      </c>
      <c r="AI252">
        <f t="shared" si="42"/>
        <v>8</v>
      </c>
      <c r="AJ252" s="10">
        <f t="shared" si="43"/>
        <v>9.7355066569519005E-3</v>
      </c>
    </row>
    <row r="253" spans="1:36" hidden="1" x14ac:dyDescent="0.25">
      <c r="A253" t="b">
        <v>0</v>
      </c>
      <c r="B253">
        <v>1000</v>
      </c>
      <c r="C253">
        <v>9.7355066569519005E-3</v>
      </c>
      <c r="D253" t="s">
        <v>52</v>
      </c>
      <c r="E253" t="b">
        <v>1</v>
      </c>
      <c r="F253" t="s">
        <v>53</v>
      </c>
      <c r="G253">
        <v>7.4999999999999997E-2</v>
      </c>
      <c r="H253">
        <v>0.5</v>
      </c>
      <c r="I253">
        <v>1E-4</v>
      </c>
      <c r="J253" t="b">
        <v>1</v>
      </c>
      <c r="K253">
        <v>8</v>
      </c>
      <c r="L253">
        <v>1500</v>
      </c>
      <c r="M253">
        <v>0.01</v>
      </c>
      <c r="N253">
        <v>0.154</v>
      </c>
      <c r="O253" t="s">
        <v>217</v>
      </c>
      <c r="P253" t="s">
        <v>222</v>
      </c>
      <c r="Q253">
        <v>-7.7677739598089898E-4</v>
      </c>
      <c r="R253">
        <v>1.55077414578879E-2</v>
      </c>
      <c r="S253">
        <v>3.9826300032236601E-3</v>
      </c>
      <c r="T253">
        <v>-8.4805164010754996E-2</v>
      </c>
      <c r="U253">
        <v>7.9898535618679896</v>
      </c>
      <c r="V253" s="1">
        <v>9.99999999999997E-15</v>
      </c>
      <c r="W253">
        <v>1.3316578548320701</v>
      </c>
      <c r="X253">
        <v>2.4999999999999898</v>
      </c>
      <c r="Y253">
        <v>61.346376977037401</v>
      </c>
      <c r="Z253">
        <v>0.499999999999999</v>
      </c>
      <c r="AA253">
        <v>110.554694803332</v>
      </c>
      <c r="AB253" s="9">
        <f t="shared" si="35"/>
        <v>-0.33271498647765091</v>
      </c>
      <c r="AC253" s="9">
        <f t="shared" si="36"/>
        <v>-0.33378961579942507</v>
      </c>
      <c r="AD253" s="2">
        <f t="shared" si="37"/>
        <v>3.2298795228640209E-3</v>
      </c>
      <c r="AE253" s="8">
        <f t="shared" si="38"/>
        <v>-2.0607314366732611E-4</v>
      </c>
      <c r="AF253" s="2">
        <f t="shared" si="39"/>
        <v>-3.5819043518219956E-4</v>
      </c>
      <c r="AG253" s="8">
        <f t="shared" si="40"/>
        <v>1.5211729151487345E-4</v>
      </c>
      <c r="AH253" s="7">
        <f t="shared" si="41"/>
        <v>-2.3546990063728361</v>
      </c>
      <c r="AI253">
        <f t="shared" si="42"/>
        <v>8</v>
      </c>
      <c r="AJ253" s="10">
        <f t="shared" si="43"/>
        <v>9.7355066569519005E-3</v>
      </c>
    </row>
    <row r="254" spans="1:36" hidden="1" x14ac:dyDescent="0.25">
      <c r="A254" t="b">
        <v>0</v>
      </c>
      <c r="B254">
        <v>1000</v>
      </c>
      <c r="C254">
        <v>9.7355066569519005E-3</v>
      </c>
      <c r="D254" t="s">
        <v>52</v>
      </c>
      <c r="E254" t="b">
        <v>1</v>
      </c>
      <c r="F254" t="s">
        <v>53</v>
      </c>
      <c r="G254">
        <v>7.4999999999999997E-2</v>
      </c>
      <c r="H254">
        <v>0.5</v>
      </c>
      <c r="I254">
        <v>1E-4</v>
      </c>
      <c r="J254" t="b">
        <v>1</v>
      </c>
      <c r="K254">
        <v>8</v>
      </c>
      <c r="L254">
        <v>1500</v>
      </c>
      <c r="M254">
        <v>0.01</v>
      </c>
      <c r="N254">
        <v>0.154</v>
      </c>
      <c r="O254" t="s">
        <v>218</v>
      </c>
      <c r="P254" t="s">
        <v>219</v>
      </c>
      <c r="Q254">
        <v>-3.6240746852269501E-4</v>
      </c>
      <c r="R254">
        <v>6.9857580048352103E-3</v>
      </c>
      <c r="S254">
        <v>1.8583535136863E-3</v>
      </c>
      <c r="T254">
        <v>-3.9579176882628297E-2</v>
      </c>
      <c r="U254">
        <v>7.9930354475818302</v>
      </c>
      <c r="V254" s="1">
        <v>9.9999999999999905E-15</v>
      </c>
      <c r="W254">
        <v>1.27509503306796</v>
      </c>
      <c r="X254">
        <v>2.4999999999999898</v>
      </c>
      <c r="Y254">
        <v>59.569087944077303</v>
      </c>
      <c r="Z254">
        <v>0.499999999999999</v>
      </c>
      <c r="AA254">
        <v>106.623716744848</v>
      </c>
      <c r="AB254" s="9">
        <f t="shared" si="35"/>
        <v>-0.33278094519504892</v>
      </c>
      <c r="AC254" s="9">
        <f t="shared" si="36"/>
        <v>-0.33378961579942507</v>
      </c>
      <c r="AD254" s="2">
        <f t="shared" si="37"/>
        <v>3.0310347360331669E-3</v>
      </c>
      <c r="AE254" s="8">
        <f t="shared" si="38"/>
        <v>-1.8409548204128146E-4</v>
      </c>
      <c r="AF254" s="2">
        <f t="shared" si="39"/>
        <v>-3.3621277355615491E-4</v>
      </c>
      <c r="AG254" s="8">
        <f t="shared" si="40"/>
        <v>1.5211729151487345E-4</v>
      </c>
      <c r="AH254" s="7">
        <f t="shared" si="41"/>
        <v>-2.210220614684566</v>
      </c>
      <c r="AI254">
        <f t="shared" si="42"/>
        <v>8</v>
      </c>
      <c r="AJ254" s="10">
        <f t="shared" si="43"/>
        <v>9.7355066569519005E-3</v>
      </c>
    </row>
    <row r="255" spans="1:36" hidden="1" x14ac:dyDescent="0.25">
      <c r="A255" t="b">
        <v>0</v>
      </c>
      <c r="B255">
        <v>1000</v>
      </c>
      <c r="C255">
        <v>9.7355066569519005E-3</v>
      </c>
      <c r="D255" t="s">
        <v>52</v>
      </c>
      <c r="E255" t="b">
        <v>1</v>
      </c>
      <c r="F255" t="s">
        <v>53</v>
      </c>
      <c r="G255">
        <v>7.4999999999999997E-2</v>
      </c>
      <c r="H255">
        <v>0.5</v>
      </c>
      <c r="I255">
        <v>1E-4</v>
      </c>
      <c r="J255" t="b">
        <v>1</v>
      </c>
      <c r="K255">
        <v>8</v>
      </c>
      <c r="L255">
        <v>1500</v>
      </c>
      <c r="M255">
        <v>0.01</v>
      </c>
      <c r="N255">
        <v>0.154</v>
      </c>
      <c r="O255" t="s">
        <v>218</v>
      </c>
      <c r="P255" t="s">
        <v>220</v>
      </c>
      <c r="Q255">
        <v>-3.1055283502794497E-4</v>
      </c>
      <c r="R255">
        <v>6.4828284455655701E-3</v>
      </c>
      <c r="S255">
        <v>1.5922636257074199E-3</v>
      </c>
      <c r="T255">
        <v>-3.3905986155790498E-2</v>
      </c>
      <c r="U255">
        <v>7.99356798458847</v>
      </c>
      <c r="V255" s="1">
        <v>9.9999999999999905E-15</v>
      </c>
      <c r="W255">
        <v>1.4076090185732499</v>
      </c>
      <c r="X255">
        <v>2.4999999999999898</v>
      </c>
      <c r="Y255">
        <v>63.713335799193999</v>
      </c>
      <c r="Z255">
        <v>0.499999999999999</v>
      </c>
      <c r="AA255">
        <v>115.75111504814799</v>
      </c>
      <c r="AB255" s="9">
        <f t="shared" si="35"/>
        <v>-0.33272193444025477</v>
      </c>
      <c r="AC255" s="9">
        <f t="shared" si="36"/>
        <v>-0.33378961579942507</v>
      </c>
      <c r="AD255" s="2">
        <f t="shared" si="37"/>
        <v>3.2089298860518145E-3</v>
      </c>
      <c r="AE255" s="8">
        <f t="shared" si="38"/>
        <v>-2.0375810519952819E-4</v>
      </c>
      <c r="AF255" s="2">
        <f t="shared" si="39"/>
        <v>-3.5587539671440164E-4</v>
      </c>
      <c r="AG255" s="8">
        <f t="shared" si="40"/>
        <v>1.5211729151487345E-4</v>
      </c>
      <c r="AH255" s="7">
        <f t="shared" si="41"/>
        <v>-2.3394802337747742</v>
      </c>
      <c r="AI255">
        <f t="shared" si="42"/>
        <v>8</v>
      </c>
      <c r="AJ255" s="10">
        <f t="shared" si="43"/>
        <v>9.7355066569519005E-3</v>
      </c>
    </row>
    <row r="256" spans="1:36" hidden="1" x14ac:dyDescent="0.25">
      <c r="A256" t="b">
        <v>0</v>
      </c>
      <c r="B256">
        <v>1000</v>
      </c>
      <c r="C256">
        <v>9.7355066569519005E-3</v>
      </c>
      <c r="D256" t="s">
        <v>52</v>
      </c>
      <c r="E256" t="b">
        <v>1</v>
      </c>
      <c r="F256" t="s">
        <v>53</v>
      </c>
      <c r="G256">
        <v>7.4999999999999997E-2</v>
      </c>
      <c r="H256">
        <v>0.5</v>
      </c>
      <c r="I256">
        <v>1E-4</v>
      </c>
      <c r="J256" t="b">
        <v>1</v>
      </c>
      <c r="K256">
        <v>8</v>
      </c>
      <c r="L256">
        <v>1500</v>
      </c>
      <c r="M256">
        <v>0.01</v>
      </c>
      <c r="N256">
        <v>0.154</v>
      </c>
      <c r="O256" t="s">
        <v>218</v>
      </c>
      <c r="P256" t="s">
        <v>221</v>
      </c>
      <c r="Q256">
        <v>-3.6240746852269799E-4</v>
      </c>
      <c r="R256">
        <v>6.9909342658886599E-3</v>
      </c>
      <c r="S256">
        <v>1.85835351368629E-3</v>
      </c>
      <c r="T256">
        <v>-3.9579176882627999E-2</v>
      </c>
      <c r="U256">
        <v>7.9930354475814598</v>
      </c>
      <c r="V256" s="1">
        <v>9.9999999999999905E-15</v>
      </c>
      <c r="W256">
        <v>1.26618165458641</v>
      </c>
      <c r="X256">
        <v>2.4999999999999898</v>
      </c>
      <c r="Y256">
        <v>59.752034621106702</v>
      </c>
      <c r="Z256">
        <v>0.499999999999999</v>
      </c>
      <c r="AA256">
        <v>106.64465277287501</v>
      </c>
      <c r="AB256" s="9">
        <f t="shared" si="35"/>
        <v>-0.33278094519504819</v>
      </c>
      <c r="AC256" s="9">
        <f t="shared" si="36"/>
        <v>-0.33378961579942507</v>
      </c>
      <c r="AD256" s="2">
        <f t="shared" si="37"/>
        <v>3.0310347360353873E-3</v>
      </c>
      <c r="AE256" s="8">
        <f t="shared" si="38"/>
        <v>-1.8409548204151576E-4</v>
      </c>
      <c r="AF256" s="2">
        <f t="shared" si="39"/>
        <v>-3.362127735563892E-4</v>
      </c>
      <c r="AG256" s="8">
        <f t="shared" si="40"/>
        <v>1.5211729151487345E-4</v>
      </c>
      <c r="AH256" s="7">
        <f t="shared" si="41"/>
        <v>-2.2102206146861061</v>
      </c>
      <c r="AI256">
        <f t="shared" si="42"/>
        <v>8</v>
      </c>
      <c r="AJ256" s="10">
        <f t="shared" si="43"/>
        <v>9.7355066569519005E-3</v>
      </c>
    </row>
    <row r="257" spans="1:36" hidden="1" x14ac:dyDescent="0.25">
      <c r="A257" t="b">
        <v>0</v>
      </c>
      <c r="B257">
        <v>1000</v>
      </c>
      <c r="C257">
        <v>9.7355066569519005E-3</v>
      </c>
      <c r="D257" t="s">
        <v>52</v>
      </c>
      <c r="E257" t="b">
        <v>1</v>
      </c>
      <c r="F257" t="s">
        <v>53</v>
      </c>
      <c r="G257">
        <v>7.4999999999999997E-2</v>
      </c>
      <c r="H257">
        <v>0.5</v>
      </c>
      <c r="I257">
        <v>1E-4</v>
      </c>
      <c r="J257" t="b">
        <v>1</v>
      </c>
      <c r="K257">
        <v>8</v>
      </c>
      <c r="L257">
        <v>1500</v>
      </c>
      <c r="M257">
        <v>0.01</v>
      </c>
      <c r="N257">
        <v>0.154</v>
      </c>
      <c r="O257" t="s">
        <v>218</v>
      </c>
      <c r="P257" t="s">
        <v>222</v>
      </c>
      <c r="Q257">
        <v>-7.2494082983297998E-4</v>
      </c>
      <c r="R257">
        <v>1.43096616387904E-2</v>
      </c>
      <c r="S257">
        <v>3.7165121476093899E-3</v>
      </c>
      <c r="T257">
        <v>-7.9127552960264205E-2</v>
      </c>
      <c r="U257">
        <v>7.9893211049086599</v>
      </c>
      <c r="V257" s="1">
        <v>9.99999999999997E-15</v>
      </c>
      <c r="W257">
        <v>1.3114004293587</v>
      </c>
      <c r="X257">
        <v>2.4999999999999898</v>
      </c>
      <c r="Y257">
        <v>60.785853667512399</v>
      </c>
      <c r="Z257">
        <v>0.499999999999999</v>
      </c>
      <c r="AA257">
        <v>109.25977102658599</v>
      </c>
      <c r="AB257" s="9">
        <f t="shared" si="35"/>
        <v>-0.33266890188947984</v>
      </c>
      <c r="AC257" s="9">
        <f t="shared" si="36"/>
        <v>-0.33378961579942507</v>
      </c>
      <c r="AD257" s="2">
        <f t="shared" si="37"/>
        <v>3.3688568531047292E-3</v>
      </c>
      <c r="AE257" s="8">
        <f t="shared" si="38"/>
        <v>-2.2142810668561948E-4</v>
      </c>
      <c r="AF257" s="2">
        <f t="shared" si="39"/>
        <v>-3.7354539820049295E-4</v>
      </c>
      <c r="AG257" s="8">
        <f t="shared" si="40"/>
        <v>1.5211729151487345E-4</v>
      </c>
      <c r="AH257" s="7">
        <f t="shared" si="41"/>
        <v>-2.4556406078527182</v>
      </c>
      <c r="AI257">
        <f t="shared" si="42"/>
        <v>8</v>
      </c>
      <c r="AJ257" s="10">
        <f t="shared" si="43"/>
        <v>9.7355066569519005E-3</v>
      </c>
    </row>
    <row r="258" spans="1:36" hidden="1" x14ac:dyDescent="0.25">
      <c r="A258" t="b">
        <v>0</v>
      </c>
      <c r="B258">
        <v>1000</v>
      </c>
      <c r="C258">
        <v>9.7355066569519005E-3</v>
      </c>
      <c r="D258" t="s">
        <v>52</v>
      </c>
      <c r="E258" t="b">
        <v>1</v>
      </c>
      <c r="F258" t="s">
        <v>53</v>
      </c>
      <c r="G258">
        <v>7.4999999999999997E-2</v>
      </c>
      <c r="H258">
        <v>0.5</v>
      </c>
      <c r="I258">
        <v>1E-4</v>
      </c>
      <c r="J258" t="b">
        <v>1</v>
      </c>
      <c r="K258">
        <v>8</v>
      </c>
      <c r="L258">
        <v>1500</v>
      </c>
      <c r="M258">
        <v>0.01</v>
      </c>
      <c r="N258">
        <v>0.154</v>
      </c>
      <c r="O258" t="s">
        <v>219</v>
      </c>
      <c r="P258" t="s">
        <v>221</v>
      </c>
      <c r="Q258" s="1">
        <v>-1E-10</v>
      </c>
      <c r="R258" s="1">
        <v>3.5857859571251899E-12</v>
      </c>
      <c r="S258" s="1">
        <v>6.9230738142317101E-19</v>
      </c>
      <c r="T258" s="1">
        <v>2.1624401393734E-16</v>
      </c>
      <c r="U258">
        <v>7.9893216666456404</v>
      </c>
      <c r="V258">
        <v>0</v>
      </c>
      <c r="W258">
        <v>6.8474548739312205E-2</v>
      </c>
      <c r="X258">
        <v>2</v>
      </c>
      <c r="Y258">
        <v>4.0005664420285098E-3</v>
      </c>
      <c r="Z258">
        <v>2.5000000000000001E-4</v>
      </c>
      <c r="AA258">
        <v>4.7933530148814496E-3</v>
      </c>
      <c r="AB258" s="9">
        <f t="shared" si="35"/>
        <v>4.8805094506216848</v>
      </c>
      <c r="AC258" s="9">
        <f t="shared" si="36"/>
        <v>-0.33378961579942507</v>
      </c>
      <c r="AD258" s="2">
        <f t="shared" si="37"/>
        <v>-1.0683923715703298</v>
      </c>
      <c r="AE258" s="8">
        <f t="shared" si="38"/>
        <v>-0.63476291439857813</v>
      </c>
      <c r="AF258" s="2">
        <f t="shared" si="39"/>
        <v>-0.634915031690093</v>
      </c>
      <c r="AG258" s="8">
        <f t="shared" si="40"/>
        <v>1.5211729151487345E-4</v>
      </c>
      <c r="AH258" s="7">
        <f t="shared" si="41"/>
        <v>-4173.851804533434</v>
      </c>
      <c r="AI258">
        <f t="shared" si="42"/>
        <v>8</v>
      </c>
      <c r="AJ258" s="10">
        <f t="shared" si="43"/>
        <v>9.7355066569519005E-3</v>
      </c>
    </row>
    <row r="259" spans="1:36" hidden="1" x14ac:dyDescent="0.25">
      <c r="A259" t="b">
        <v>0</v>
      </c>
      <c r="B259">
        <v>1000</v>
      </c>
      <c r="C259">
        <v>9.7355066569519005E-3</v>
      </c>
      <c r="D259" t="s">
        <v>52</v>
      </c>
      <c r="E259" t="b">
        <v>1</v>
      </c>
      <c r="F259" t="s">
        <v>53</v>
      </c>
      <c r="G259">
        <v>7.4999999999999997E-2</v>
      </c>
      <c r="H259">
        <v>0.5</v>
      </c>
      <c r="I259">
        <v>1E-4</v>
      </c>
      <c r="J259" t="b">
        <v>1</v>
      </c>
      <c r="K259">
        <v>8</v>
      </c>
      <c r="L259">
        <v>1500</v>
      </c>
      <c r="M259">
        <v>0.01</v>
      </c>
      <c r="N259">
        <v>0.154</v>
      </c>
      <c r="O259" t="s">
        <v>219</v>
      </c>
      <c r="P259" t="s">
        <v>222</v>
      </c>
      <c r="Q259">
        <v>-3.6253336131205401E-4</v>
      </c>
      <c r="R259">
        <v>7.1176546460256403E-3</v>
      </c>
      <c r="S259">
        <v>1.8581586339230999E-3</v>
      </c>
      <c r="T259">
        <v>-3.9548376077635998E-2</v>
      </c>
      <c r="U259">
        <v>7.9856073239728396</v>
      </c>
      <c r="V259" s="1">
        <v>9.9999999999999905E-15</v>
      </c>
      <c r="W259">
        <v>1.30402272493479</v>
      </c>
      <c r="X259">
        <v>2.4999999999999898</v>
      </c>
      <c r="Y259">
        <v>60.495506980114101</v>
      </c>
      <c r="Z259">
        <v>0.499999999999999</v>
      </c>
      <c r="AA259">
        <v>108.662608903774</v>
      </c>
      <c r="AB259" s="9">
        <f t="shared" si="35"/>
        <v>-0.33255684683304393</v>
      </c>
      <c r="AC259" s="9">
        <f t="shared" si="36"/>
        <v>-0.33378961579942507</v>
      </c>
      <c r="AD259" s="2">
        <f t="shared" si="37"/>
        <v>3.7069420705688749E-3</v>
      </c>
      <c r="AE259" s="8">
        <f t="shared" si="38"/>
        <v>-2.5876185839986192E-4</v>
      </c>
      <c r="AF259" s="2">
        <f t="shared" si="39"/>
        <v>-4.1087914991473536E-4</v>
      </c>
      <c r="AG259" s="8">
        <f t="shared" si="40"/>
        <v>1.5211729151487345E-4</v>
      </c>
      <c r="AH259" s="7">
        <f t="shared" si="41"/>
        <v>-2.701068010237095</v>
      </c>
      <c r="AI259">
        <f t="shared" si="42"/>
        <v>8</v>
      </c>
      <c r="AJ259" s="10">
        <f t="shared" si="43"/>
        <v>9.7355066569519005E-3</v>
      </c>
    </row>
    <row r="260" spans="1:36" hidden="1" x14ac:dyDescent="0.25">
      <c r="A260" t="b">
        <v>0</v>
      </c>
      <c r="B260">
        <v>1000</v>
      </c>
      <c r="C260">
        <v>9.7355066569519005E-3</v>
      </c>
      <c r="D260" t="s">
        <v>52</v>
      </c>
      <c r="E260" t="b">
        <v>1</v>
      </c>
      <c r="F260" t="s">
        <v>53</v>
      </c>
      <c r="G260">
        <v>7.4999999999999997E-2</v>
      </c>
      <c r="H260">
        <v>0.5</v>
      </c>
      <c r="I260">
        <v>1E-4</v>
      </c>
      <c r="J260" t="b">
        <v>1</v>
      </c>
      <c r="K260">
        <v>8</v>
      </c>
      <c r="L260">
        <v>1500</v>
      </c>
      <c r="M260">
        <v>0.01</v>
      </c>
      <c r="N260">
        <v>0.154</v>
      </c>
      <c r="O260" t="s">
        <v>220</v>
      </c>
      <c r="P260" t="s">
        <v>221</v>
      </c>
      <c r="Q260" s="1">
        <v>-5.1854633417868201E-5</v>
      </c>
      <c r="R260">
        <v>1.0741875433330501E-3</v>
      </c>
      <c r="S260">
        <v>2.66089887978871E-4</v>
      </c>
      <c r="T260">
        <v>-5.6731907268374199E-3</v>
      </c>
      <c r="U260">
        <v>7.9898542036522802</v>
      </c>
      <c r="V260" s="1">
        <v>9.9999999943642799E-15</v>
      </c>
      <c r="W260">
        <v>1.3892444577710501</v>
      </c>
      <c r="X260">
        <v>2.4999999999990901</v>
      </c>
      <c r="Y260">
        <v>63.378723999307098</v>
      </c>
      <c r="Z260">
        <v>0.49999999999946998</v>
      </c>
      <c r="AA260">
        <v>114.803485161739</v>
      </c>
      <c r="AB260" s="9">
        <f t="shared" si="35"/>
        <v>-0.33313406150132802</v>
      </c>
      <c r="AC260" s="9">
        <f t="shared" si="36"/>
        <v>-0.33378961579942507</v>
      </c>
      <c r="AD260" s="2">
        <f t="shared" si="37"/>
        <v>1.9678392991178129E-3</v>
      </c>
      <c r="AE260" s="8">
        <f t="shared" si="38"/>
        <v>-6.6419532154494165E-5</v>
      </c>
      <c r="AF260" s="2">
        <f t="shared" si="39"/>
        <v>-2.185368236693676E-4</v>
      </c>
      <c r="AG260" s="8">
        <f t="shared" si="40"/>
        <v>1.5211729151487345E-4</v>
      </c>
      <c r="AH260" s="7">
        <f t="shared" si="41"/>
        <v>-1.4366336758500589</v>
      </c>
      <c r="AI260">
        <f t="shared" si="42"/>
        <v>8</v>
      </c>
      <c r="AJ260" s="10">
        <f t="shared" si="43"/>
        <v>9.7355066569519005E-3</v>
      </c>
    </row>
    <row r="261" spans="1:36" hidden="1" x14ac:dyDescent="0.25">
      <c r="A261" t="b">
        <v>0</v>
      </c>
      <c r="B261">
        <v>1000</v>
      </c>
      <c r="C261">
        <v>9.7355066569519005E-3</v>
      </c>
      <c r="D261" t="s">
        <v>52</v>
      </c>
      <c r="E261" t="b">
        <v>1</v>
      </c>
      <c r="F261" t="s">
        <v>53</v>
      </c>
      <c r="G261">
        <v>7.4999999999999997E-2</v>
      </c>
      <c r="H261">
        <v>0.5</v>
      </c>
      <c r="I261">
        <v>1E-4</v>
      </c>
      <c r="J261" t="b">
        <v>1</v>
      </c>
      <c r="K261">
        <v>8</v>
      </c>
      <c r="L261">
        <v>1500</v>
      </c>
      <c r="M261">
        <v>0.01</v>
      </c>
      <c r="N261">
        <v>0.154</v>
      </c>
      <c r="O261" t="s">
        <v>220</v>
      </c>
      <c r="P261" t="s">
        <v>222</v>
      </c>
      <c r="Q261">
        <v>-4.1438799480681299E-4</v>
      </c>
      <c r="R261">
        <v>8.6542336795021099E-3</v>
      </c>
      <c r="S261">
        <v>2.12424852190198E-3</v>
      </c>
      <c r="T261">
        <v>-4.5221566804474103E-2</v>
      </c>
      <c r="U261">
        <v>7.9861398609794803</v>
      </c>
      <c r="V261" s="1">
        <v>9.9999999999999905E-15</v>
      </c>
      <c r="W261">
        <v>1.3903300109318599</v>
      </c>
      <c r="X261">
        <v>2.4999999999999898</v>
      </c>
      <c r="Y261">
        <v>64.010192660717905</v>
      </c>
      <c r="Z261">
        <v>0.499999999999999</v>
      </c>
      <c r="AA261">
        <v>115.685712511402</v>
      </c>
      <c r="AB261" s="9">
        <f t="shared" si="35"/>
        <v>-0.33262915051354436</v>
      </c>
      <c r="AC261" s="9">
        <f t="shared" si="36"/>
        <v>-0.33378961579942507</v>
      </c>
      <c r="AD261" s="2">
        <f t="shared" si="37"/>
        <v>3.4887660449756108E-3</v>
      </c>
      <c r="AE261" s="8">
        <f t="shared" si="38"/>
        <v>-2.3467252247679014E-4</v>
      </c>
      <c r="AF261" s="2">
        <f t="shared" si="39"/>
        <v>-3.8678981399166358E-4</v>
      </c>
      <c r="AG261" s="8">
        <f t="shared" si="40"/>
        <v>1.5211729151487345E-4</v>
      </c>
      <c r="AH261" s="7">
        <f t="shared" si="41"/>
        <v>-2.5427077365090001</v>
      </c>
      <c r="AI261">
        <f t="shared" si="42"/>
        <v>8</v>
      </c>
      <c r="AJ261" s="10">
        <f t="shared" si="43"/>
        <v>9.7355066569519005E-3</v>
      </c>
    </row>
    <row r="262" spans="1:36" hidden="1" x14ac:dyDescent="0.25">
      <c r="A262" t="b">
        <v>0</v>
      </c>
      <c r="B262">
        <v>1000</v>
      </c>
      <c r="C262">
        <v>9.7355066569519005E-3</v>
      </c>
      <c r="D262" t="s">
        <v>52</v>
      </c>
      <c r="E262" t="b">
        <v>1</v>
      </c>
      <c r="F262" t="s">
        <v>53</v>
      </c>
      <c r="G262">
        <v>7.4999999999999997E-2</v>
      </c>
      <c r="H262">
        <v>0.5</v>
      </c>
      <c r="I262">
        <v>1E-4</v>
      </c>
      <c r="J262" t="b">
        <v>1</v>
      </c>
      <c r="K262">
        <v>8</v>
      </c>
      <c r="L262">
        <v>1500</v>
      </c>
      <c r="M262">
        <v>0.01</v>
      </c>
      <c r="N262">
        <v>0.154</v>
      </c>
      <c r="O262" t="s">
        <v>221</v>
      </c>
      <c r="P262" t="s">
        <v>222</v>
      </c>
      <c r="Q262">
        <v>-3.6253336131205998E-4</v>
      </c>
      <c r="R262">
        <v>7.1540511344042696E-3</v>
      </c>
      <c r="S262">
        <v>1.8581586339230999E-3</v>
      </c>
      <c r="T262">
        <v>-3.9548376077636303E-2</v>
      </c>
      <c r="U262">
        <v>7.9856073239724799</v>
      </c>
      <c r="V262" s="1">
        <v>9.9999999999999905E-15</v>
      </c>
      <c r="W262">
        <v>1.31700871729921</v>
      </c>
      <c r="X262">
        <v>2.4999999999999898</v>
      </c>
      <c r="Y262">
        <v>60.6891408933528</v>
      </c>
      <c r="Z262">
        <v>0.499999999999999</v>
      </c>
      <c r="AA262">
        <v>109.261639886943</v>
      </c>
      <c r="AB262" s="9">
        <f t="shared" si="35"/>
        <v>-0.33255684683304648</v>
      </c>
      <c r="AC262" s="9">
        <f t="shared" si="36"/>
        <v>-0.33378961579942507</v>
      </c>
      <c r="AD262" s="2">
        <f t="shared" si="37"/>
        <v>3.7069420705611034E-3</v>
      </c>
      <c r="AE262" s="8">
        <f t="shared" si="38"/>
        <v>-2.5876185839899889E-4</v>
      </c>
      <c r="AF262" s="2">
        <f t="shared" si="39"/>
        <v>-4.1087914991387234E-4</v>
      </c>
      <c r="AG262" s="8">
        <f t="shared" si="40"/>
        <v>1.5211729151487345E-4</v>
      </c>
      <c r="AH262" s="7">
        <f t="shared" si="41"/>
        <v>-2.7010680102314217</v>
      </c>
      <c r="AI262">
        <f t="shared" si="42"/>
        <v>8</v>
      </c>
      <c r="AJ262" s="10">
        <f t="shared" si="43"/>
        <v>9.7355066569519005E-3</v>
      </c>
    </row>
    <row r="263" spans="1:36" hidden="1" x14ac:dyDescent="0.25">
      <c r="A263" t="b">
        <v>0</v>
      </c>
      <c r="B263">
        <v>1000</v>
      </c>
      <c r="C263">
        <v>4.8677533284660499E-2</v>
      </c>
      <c r="D263" t="s">
        <v>52</v>
      </c>
      <c r="E263" t="b">
        <v>1</v>
      </c>
      <c r="F263" t="s">
        <v>53</v>
      </c>
      <c r="G263">
        <v>7.4999999999999997E-2</v>
      </c>
      <c r="H263">
        <v>0.5</v>
      </c>
      <c r="I263">
        <v>1E-4</v>
      </c>
      <c r="J263" t="b">
        <v>1</v>
      </c>
      <c r="K263">
        <v>8</v>
      </c>
      <c r="L263">
        <v>1500</v>
      </c>
      <c r="M263">
        <v>0.05</v>
      </c>
      <c r="N263">
        <v>0.154</v>
      </c>
      <c r="O263" t="s">
        <v>223</v>
      </c>
      <c r="P263" t="s">
        <v>224</v>
      </c>
      <c r="Q263" s="1">
        <v>-5.1769232953384798E-5</v>
      </c>
      <c r="R263">
        <v>1.07640296204406E-3</v>
      </c>
      <c r="S263">
        <v>2.6613739317764702E-4</v>
      </c>
      <c r="T263">
        <v>-5.6895962601056704E-3</v>
      </c>
      <c r="U263">
        <v>7.9967050565463502</v>
      </c>
      <c r="V263" s="1">
        <v>9.9999999950918494E-15</v>
      </c>
      <c r="W263">
        <v>1.39870221779291</v>
      </c>
      <c r="X263">
        <v>2.4999999999991598</v>
      </c>
      <c r="Y263">
        <v>63.561542298926298</v>
      </c>
      <c r="Z263">
        <v>0.49999999999954198</v>
      </c>
      <c r="AA263">
        <v>115.256693524471</v>
      </c>
      <c r="AB263" s="9">
        <f t="shared" si="35"/>
        <v>-0.33403777087727876</v>
      </c>
      <c r="AC263" s="9">
        <f t="shared" si="36"/>
        <v>-0.33561335854974927</v>
      </c>
      <c r="AD263" s="2">
        <f t="shared" si="37"/>
        <v>4.7167949550512844E-3</v>
      </c>
      <c r="AE263" s="8">
        <f t="shared" si="38"/>
        <v>2.348676645153843E-4</v>
      </c>
      <c r="AF263" s="2">
        <f t="shared" si="39"/>
        <v>-5.2571879305743602E-4</v>
      </c>
      <c r="AG263" s="8">
        <f t="shared" si="40"/>
        <v>7.6058645757282029E-4</v>
      </c>
      <c r="AH263" s="7">
        <f t="shared" si="41"/>
        <v>-0.69120188483911116</v>
      </c>
      <c r="AI263">
        <f t="shared" si="42"/>
        <v>8</v>
      </c>
      <c r="AJ263" s="10">
        <f t="shared" si="43"/>
        <v>4.8677533284660499E-2</v>
      </c>
    </row>
    <row r="264" spans="1:36" hidden="1" x14ac:dyDescent="0.25">
      <c r="A264" t="b">
        <v>0</v>
      </c>
      <c r="B264">
        <v>1000</v>
      </c>
      <c r="C264">
        <v>4.8677533284660499E-2</v>
      </c>
      <c r="D264" t="s">
        <v>52</v>
      </c>
      <c r="E264" t="b">
        <v>1</v>
      </c>
      <c r="F264" t="s">
        <v>53</v>
      </c>
      <c r="G264">
        <v>7.4999999999999997E-2</v>
      </c>
      <c r="H264">
        <v>0.5</v>
      </c>
      <c r="I264">
        <v>1E-4</v>
      </c>
      <c r="J264" t="b">
        <v>1</v>
      </c>
      <c r="K264">
        <v>8</v>
      </c>
      <c r="L264">
        <v>1500</v>
      </c>
      <c r="M264">
        <v>0.05</v>
      </c>
      <c r="N264">
        <v>0.154</v>
      </c>
      <c r="O264" t="s">
        <v>223</v>
      </c>
      <c r="P264" t="s">
        <v>225</v>
      </c>
      <c r="Q264">
        <v>-4.1370741446258299E-4</v>
      </c>
      <c r="R264">
        <v>8.7224637379265599E-3</v>
      </c>
      <c r="S264">
        <v>2.12461785244488E-3</v>
      </c>
      <c r="T264">
        <v>-4.5351816664335701E-2</v>
      </c>
      <c r="U264">
        <v>7.9929832107009497</v>
      </c>
      <c r="V264" s="1">
        <v>9.9999999999999905E-15</v>
      </c>
      <c r="W264">
        <v>1.4074210475412501</v>
      </c>
      <c r="X264">
        <v>2.4999999999999898</v>
      </c>
      <c r="Y264">
        <v>64.541689025864898</v>
      </c>
      <c r="Z264">
        <v>0.499999999999999</v>
      </c>
      <c r="AA264">
        <v>116.820223841402</v>
      </c>
      <c r="AB264" s="9">
        <f t="shared" si="35"/>
        <v>-0.33352922012060021</v>
      </c>
      <c r="AC264" s="9">
        <f t="shared" si="36"/>
        <v>-0.33561335854974927</v>
      </c>
      <c r="AD264" s="2">
        <f t="shared" si="37"/>
        <v>6.2487431487876499E-3</v>
      </c>
      <c r="AE264" s="8">
        <f t="shared" si="38"/>
        <v>6.5299859548864267E-5</v>
      </c>
      <c r="AF264" s="2">
        <f t="shared" si="39"/>
        <v>-6.9528659802395602E-4</v>
      </c>
      <c r="AG264" s="8">
        <f t="shared" si="40"/>
        <v>7.6058645757282029E-4</v>
      </c>
      <c r="AH264" s="7">
        <f t="shared" si="41"/>
        <v>-0.91414538229191078</v>
      </c>
      <c r="AI264">
        <f t="shared" si="42"/>
        <v>8</v>
      </c>
      <c r="AJ264" s="10">
        <f t="shared" si="43"/>
        <v>4.8677533284660499E-2</v>
      </c>
    </row>
    <row r="265" spans="1:36" hidden="1" x14ac:dyDescent="0.25">
      <c r="A265" t="b">
        <v>0</v>
      </c>
      <c r="B265">
        <v>1000</v>
      </c>
      <c r="C265">
        <v>4.8677533284660499E-2</v>
      </c>
      <c r="D265" t="s">
        <v>52</v>
      </c>
      <c r="E265" t="b">
        <v>1</v>
      </c>
      <c r="F265" t="s">
        <v>53</v>
      </c>
      <c r="G265">
        <v>7.4999999999999997E-2</v>
      </c>
      <c r="H265">
        <v>0.5</v>
      </c>
      <c r="I265">
        <v>1E-4</v>
      </c>
      <c r="J265" t="b">
        <v>1</v>
      </c>
      <c r="K265">
        <v>8</v>
      </c>
      <c r="L265">
        <v>1500</v>
      </c>
      <c r="M265">
        <v>0.05</v>
      </c>
      <c r="N265">
        <v>0.154</v>
      </c>
      <c r="O265" t="s">
        <v>223</v>
      </c>
      <c r="P265" t="s">
        <v>226</v>
      </c>
      <c r="Q265" s="1">
        <v>-5.1769232953384601E-5</v>
      </c>
      <c r="R265">
        <v>1.0749223692457801E-3</v>
      </c>
      <c r="S265">
        <v>2.6613739317764501E-4</v>
      </c>
      <c r="T265">
        <v>-5.6895962601055403E-3</v>
      </c>
      <c r="U265">
        <v>7.9967050565442603</v>
      </c>
      <c r="V265" s="1">
        <v>9.9999999950938705E-15</v>
      </c>
      <c r="W265">
        <v>1.3817676808907</v>
      </c>
      <c r="X265">
        <v>2.4999999999991598</v>
      </c>
      <c r="Y265">
        <v>63.704988447422899</v>
      </c>
      <c r="Z265">
        <v>0.49999999999954198</v>
      </c>
      <c r="AA265">
        <v>115.001078872992</v>
      </c>
      <c r="AB265" s="9">
        <f t="shared" si="35"/>
        <v>-0.3340377708772736</v>
      </c>
      <c r="AC265" s="9">
        <f t="shared" si="36"/>
        <v>-0.33561335854974927</v>
      </c>
      <c r="AD265" s="2">
        <f t="shared" si="37"/>
        <v>4.7167949550668276E-3</v>
      </c>
      <c r="AE265" s="8">
        <f t="shared" si="38"/>
        <v>2.3486766451368113E-4</v>
      </c>
      <c r="AF265" s="2">
        <f t="shared" si="39"/>
        <v>-5.2571879305913919E-4</v>
      </c>
      <c r="AG265" s="8">
        <f t="shared" si="40"/>
        <v>7.6058645757282029E-4</v>
      </c>
      <c r="AH265" s="7">
        <f t="shared" si="41"/>
        <v>-0.69120188484135048</v>
      </c>
      <c r="AI265">
        <f t="shared" si="42"/>
        <v>8</v>
      </c>
      <c r="AJ265" s="10">
        <f t="shared" si="43"/>
        <v>4.8677533284660499E-2</v>
      </c>
    </row>
    <row r="266" spans="1:36" hidden="1" x14ac:dyDescent="0.25">
      <c r="A266" t="b">
        <v>0</v>
      </c>
      <c r="B266">
        <v>1000</v>
      </c>
      <c r="C266">
        <v>4.8677533284660499E-2</v>
      </c>
      <c r="D266" t="s">
        <v>52</v>
      </c>
      <c r="E266" t="b">
        <v>1</v>
      </c>
      <c r="F266" t="s">
        <v>53</v>
      </c>
      <c r="G266">
        <v>7.4999999999999997E-2</v>
      </c>
      <c r="H266">
        <v>0.5</v>
      </c>
      <c r="I266">
        <v>1E-4</v>
      </c>
      <c r="J266" t="b">
        <v>1</v>
      </c>
      <c r="K266">
        <v>8</v>
      </c>
      <c r="L266">
        <v>1500</v>
      </c>
      <c r="M266">
        <v>0.05</v>
      </c>
      <c r="N266">
        <v>0.154</v>
      </c>
      <c r="O266" t="s">
        <v>223</v>
      </c>
      <c r="P266" t="s">
        <v>227</v>
      </c>
      <c r="Q266">
        <v>-1.03541070643424E-4</v>
      </c>
      <c r="R266">
        <v>2.19166887251492E-3</v>
      </c>
      <c r="S266">
        <v>5.3227065009557996E-4</v>
      </c>
      <c r="T266">
        <v>-1.137854970437E-2</v>
      </c>
      <c r="U266">
        <v>7.9961714261863097</v>
      </c>
      <c r="V266" s="1">
        <v>9.9999999929408103E-15</v>
      </c>
      <c r="W266">
        <v>1.4060916654440401</v>
      </c>
      <c r="X266">
        <v>2.49999999999643</v>
      </c>
      <c r="Y266">
        <v>64.891023699341105</v>
      </c>
      <c r="Z266">
        <v>0.49999999999786698</v>
      </c>
      <c r="AA266">
        <v>117.242483610169</v>
      </c>
      <c r="AB266" s="9">
        <f t="shared" si="35"/>
        <v>-0.33402149658046237</v>
      </c>
      <c r="AC266" s="9">
        <f t="shared" si="36"/>
        <v>-0.33561335854974927</v>
      </c>
      <c r="AD266" s="2">
        <f t="shared" si="37"/>
        <v>4.7657470719206785E-3</v>
      </c>
      <c r="AE266" s="8">
        <f t="shared" si="38"/>
        <v>2.2944037985528188E-4</v>
      </c>
      <c r="AF266" s="2">
        <f t="shared" si="39"/>
        <v>-5.3114607771753838E-4</v>
      </c>
      <c r="AG266" s="8">
        <f t="shared" si="40"/>
        <v>7.6058645757282029E-4</v>
      </c>
      <c r="AH266" s="7">
        <f t="shared" si="41"/>
        <v>-0.69833754260170378</v>
      </c>
      <c r="AI266">
        <f t="shared" si="42"/>
        <v>8</v>
      </c>
      <c r="AJ266" s="10">
        <f t="shared" si="43"/>
        <v>4.8677533284660499E-2</v>
      </c>
    </row>
    <row r="267" spans="1:36" hidden="1" x14ac:dyDescent="0.25">
      <c r="A267" t="b">
        <v>0</v>
      </c>
      <c r="B267">
        <v>1000</v>
      </c>
      <c r="C267">
        <v>4.8677533284660499E-2</v>
      </c>
      <c r="D267" t="s">
        <v>52</v>
      </c>
      <c r="E267" t="b">
        <v>1</v>
      </c>
      <c r="F267" t="s">
        <v>53</v>
      </c>
      <c r="G267">
        <v>7.4999999999999997E-2</v>
      </c>
      <c r="H267">
        <v>0.5</v>
      </c>
      <c r="I267">
        <v>1E-4</v>
      </c>
      <c r="J267" t="b">
        <v>1</v>
      </c>
      <c r="K267">
        <v>8</v>
      </c>
      <c r="L267">
        <v>1500</v>
      </c>
      <c r="M267">
        <v>0.05</v>
      </c>
      <c r="N267">
        <v>0.154</v>
      </c>
      <c r="O267" t="s">
        <v>223</v>
      </c>
      <c r="P267" t="s">
        <v>228</v>
      </c>
      <c r="Q267">
        <v>-4.65497402435223E-4</v>
      </c>
      <c r="R267">
        <v>1.00870781179272E-2</v>
      </c>
      <c r="S267">
        <v>2.39072228722669E-3</v>
      </c>
      <c r="T267">
        <v>-5.1036291033684802E-2</v>
      </c>
      <c r="U267">
        <v>7.9924495036123897</v>
      </c>
      <c r="V267" s="1">
        <v>9.9999999999999905E-15</v>
      </c>
      <c r="W267">
        <v>1.45818432065055</v>
      </c>
      <c r="X267">
        <v>2.4999999999999898</v>
      </c>
      <c r="Y267">
        <v>66.038342989668394</v>
      </c>
      <c r="Z267">
        <v>0.499999999999999</v>
      </c>
      <c r="AA267">
        <v>120.17078571019699</v>
      </c>
      <c r="AB267" s="9">
        <f t="shared" si="35"/>
        <v>-0.33355695542805264</v>
      </c>
      <c r="AC267" s="9">
        <f t="shared" si="36"/>
        <v>-0.33561335854974927</v>
      </c>
      <c r="AD267" s="2">
        <f t="shared" si="37"/>
        <v>6.1650734251896822E-3</v>
      </c>
      <c r="AE267" s="8">
        <f t="shared" si="38"/>
        <v>7.4546254969664564E-5</v>
      </c>
      <c r="AF267" s="2">
        <f t="shared" si="39"/>
        <v>-6.8604020260315578E-4</v>
      </c>
      <c r="AG267" s="8">
        <f t="shared" si="40"/>
        <v>7.6058645757282029E-4</v>
      </c>
      <c r="AH267" s="7">
        <f t="shared" si="41"/>
        <v>-0.90198845347896917</v>
      </c>
      <c r="AI267">
        <f t="shared" si="42"/>
        <v>8</v>
      </c>
      <c r="AJ267" s="10">
        <f t="shared" si="43"/>
        <v>4.8677533284660499E-2</v>
      </c>
    </row>
    <row r="268" spans="1:36" hidden="1" x14ac:dyDescent="0.25">
      <c r="A268" t="b">
        <v>0</v>
      </c>
      <c r="B268">
        <v>1000</v>
      </c>
      <c r="C268">
        <v>4.8677533284660499E-2</v>
      </c>
      <c r="D268" t="s">
        <v>52</v>
      </c>
      <c r="E268" t="b">
        <v>1</v>
      </c>
      <c r="F268" t="s">
        <v>53</v>
      </c>
      <c r="G268">
        <v>7.4999999999999997E-2</v>
      </c>
      <c r="H268">
        <v>0.5</v>
      </c>
      <c r="I268">
        <v>1E-4</v>
      </c>
      <c r="J268" t="b">
        <v>1</v>
      </c>
      <c r="K268">
        <v>8</v>
      </c>
      <c r="L268">
        <v>1500</v>
      </c>
      <c r="M268">
        <v>0.05</v>
      </c>
      <c r="N268">
        <v>0.154</v>
      </c>
      <c r="O268" t="s">
        <v>223</v>
      </c>
      <c r="P268" t="s">
        <v>229</v>
      </c>
      <c r="Q268">
        <v>-4.1370741446258998E-4</v>
      </c>
      <c r="R268">
        <v>8.57385317425155E-3</v>
      </c>
      <c r="S268">
        <v>2.1246178524448899E-3</v>
      </c>
      <c r="T268">
        <v>-4.5351816664335798E-2</v>
      </c>
      <c r="U268">
        <v>7.9929832106983598</v>
      </c>
      <c r="V268" s="1">
        <v>9.9999999999999905E-15</v>
      </c>
      <c r="W268">
        <v>1.38518571658537</v>
      </c>
      <c r="X268">
        <v>2.4999999999999898</v>
      </c>
      <c r="Y268">
        <v>63.498003136230103</v>
      </c>
      <c r="Z268">
        <v>0.499999999999999</v>
      </c>
      <c r="AA268">
        <v>114.815951947112</v>
      </c>
      <c r="AB268" s="9">
        <f t="shared" si="35"/>
        <v>-0.33352922012059938</v>
      </c>
      <c r="AC268" s="9">
        <f t="shared" si="36"/>
        <v>-0.33561335854974927</v>
      </c>
      <c r="AD268" s="2">
        <f t="shared" si="37"/>
        <v>6.2487431487900924E-3</v>
      </c>
      <c r="AE268" s="8">
        <f t="shared" si="38"/>
        <v>6.5299859548568172E-5</v>
      </c>
      <c r="AF268" s="2">
        <f t="shared" si="39"/>
        <v>-6.9528659802425212E-4</v>
      </c>
      <c r="AG268" s="8">
        <f t="shared" si="40"/>
        <v>7.6058645757282029E-4</v>
      </c>
      <c r="AH268" s="7">
        <f t="shared" si="41"/>
        <v>-0.91414538229230013</v>
      </c>
      <c r="AI268">
        <f t="shared" si="42"/>
        <v>8</v>
      </c>
      <c r="AJ268" s="10">
        <f t="shared" si="43"/>
        <v>4.8677533284660499E-2</v>
      </c>
    </row>
    <row r="269" spans="1:36" hidden="1" x14ac:dyDescent="0.25">
      <c r="A269" t="b">
        <v>0</v>
      </c>
      <c r="B269">
        <v>1000</v>
      </c>
      <c r="C269">
        <v>4.8677533284660499E-2</v>
      </c>
      <c r="D269" t="s">
        <v>52</v>
      </c>
      <c r="E269" t="b">
        <v>1</v>
      </c>
      <c r="F269" t="s">
        <v>53</v>
      </c>
      <c r="G269">
        <v>7.4999999999999997E-2</v>
      </c>
      <c r="H269">
        <v>0.5</v>
      </c>
      <c r="I269">
        <v>1E-4</v>
      </c>
      <c r="J269" t="b">
        <v>1</v>
      </c>
      <c r="K269">
        <v>8</v>
      </c>
      <c r="L269">
        <v>1500</v>
      </c>
      <c r="M269">
        <v>0.05</v>
      </c>
      <c r="N269">
        <v>0.154</v>
      </c>
      <c r="O269" t="s">
        <v>223</v>
      </c>
      <c r="P269" t="s">
        <v>230</v>
      </c>
      <c r="Q269">
        <v>-4.6549740243521898E-4</v>
      </c>
      <c r="R269">
        <v>9.97109567712017E-3</v>
      </c>
      <c r="S269">
        <v>2.39072228722668E-3</v>
      </c>
      <c r="T269">
        <v>-5.10362910336844E-2</v>
      </c>
      <c r="U269">
        <v>7.9924495036116898</v>
      </c>
      <c r="V269" s="1">
        <v>9.9999999999999905E-15</v>
      </c>
      <c r="W269">
        <v>1.4449487709825199</v>
      </c>
      <c r="X269">
        <v>2.4999999999999898</v>
      </c>
      <c r="Y269">
        <v>65.274999808172794</v>
      </c>
      <c r="Z269">
        <v>0.499999999999999</v>
      </c>
      <c r="AA269">
        <v>118.79969919789001</v>
      </c>
      <c r="AB269" s="9">
        <f t="shared" si="35"/>
        <v>-0.33355695542805136</v>
      </c>
      <c r="AC269" s="9">
        <f t="shared" si="36"/>
        <v>-0.33561335854974927</v>
      </c>
      <c r="AD269" s="2">
        <f t="shared" si="37"/>
        <v>6.1650734251934569E-3</v>
      </c>
      <c r="AE269" s="8">
        <f t="shared" si="38"/>
        <v>7.4546254969245072E-5</v>
      </c>
      <c r="AF269" s="2">
        <f t="shared" si="39"/>
        <v>-6.8604020260357526E-4</v>
      </c>
      <c r="AG269" s="8">
        <f t="shared" si="40"/>
        <v>7.6058645757282029E-4</v>
      </c>
      <c r="AH269" s="7">
        <f t="shared" si="41"/>
        <v>-0.90198845347952072</v>
      </c>
      <c r="AI269">
        <f t="shared" si="42"/>
        <v>8</v>
      </c>
      <c r="AJ269" s="10">
        <f t="shared" si="43"/>
        <v>4.8677533284660499E-2</v>
      </c>
    </row>
    <row r="270" spans="1:36" hidden="1" x14ac:dyDescent="0.25">
      <c r="A270" t="b">
        <v>0</v>
      </c>
      <c r="B270">
        <v>1000</v>
      </c>
      <c r="C270">
        <v>4.8677533284660499E-2</v>
      </c>
      <c r="D270" t="s">
        <v>52</v>
      </c>
      <c r="E270" t="b">
        <v>1</v>
      </c>
      <c r="F270" t="s">
        <v>53</v>
      </c>
      <c r="G270">
        <v>7.4999999999999997E-2</v>
      </c>
      <c r="H270">
        <v>0.5</v>
      </c>
      <c r="I270">
        <v>1E-4</v>
      </c>
      <c r="J270" t="b">
        <v>1</v>
      </c>
      <c r="K270">
        <v>8</v>
      </c>
      <c r="L270">
        <v>1500</v>
      </c>
      <c r="M270">
        <v>0.05</v>
      </c>
      <c r="N270">
        <v>0.154</v>
      </c>
      <c r="O270" t="s">
        <v>223</v>
      </c>
      <c r="P270" t="s">
        <v>231</v>
      </c>
      <c r="Q270">
        <v>-8.2758019941749604E-4</v>
      </c>
      <c r="R270">
        <v>1.6979666369012301E-2</v>
      </c>
      <c r="S270">
        <v>4.2489730867504702E-3</v>
      </c>
      <c r="T270">
        <v>-9.0662822603064103E-2</v>
      </c>
      <c r="U270">
        <v>7.9887270424448698</v>
      </c>
      <c r="V270" s="1">
        <v>9.99999999999997E-15</v>
      </c>
      <c r="W270">
        <v>1.36853575768344</v>
      </c>
      <c r="X270">
        <v>2.4999999999999898</v>
      </c>
      <c r="Y270">
        <v>62.947440891700197</v>
      </c>
      <c r="Z270">
        <v>0.499999999999999</v>
      </c>
      <c r="AA270">
        <v>113.64041941340101</v>
      </c>
      <c r="AB270" s="9">
        <f t="shared" si="35"/>
        <v>-0.33339975901242269</v>
      </c>
      <c r="AC270" s="9">
        <f t="shared" si="36"/>
        <v>-0.33561335854974927</v>
      </c>
      <c r="AD270" s="2">
        <f t="shared" si="37"/>
        <v>6.6394755169696396E-3</v>
      </c>
      <c r="AE270" s="8">
        <f t="shared" si="38"/>
        <v>2.2142383304068677E-5</v>
      </c>
      <c r="AF270" s="2">
        <f t="shared" si="39"/>
        <v>-7.3844407426875162E-4</v>
      </c>
      <c r="AG270" s="8">
        <f t="shared" si="40"/>
        <v>7.6058645757282029E-4</v>
      </c>
      <c r="AH270" s="7">
        <f t="shared" si="41"/>
        <v>-0.97088774973100456</v>
      </c>
      <c r="AI270">
        <f t="shared" si="42"/>
        <v>8</v>
      </c>
      <c r="AJ270" s="10">
        <f t="shared" si="43"/>
        <v>4.8677533284660499E-2</v>
      </c>
    </row>
    <row r="271" spans="1:36" hidden="1" x14ac:dyDescent="0.25">
      <c r="A271" t="b">
        <v>0</v>
      </c>
      <c r="B271">
        <v>1000</v>
      </c>
      <c r="C271">
        <v>4.8677533284660499E-2</v>
      </c>
      <c r="D271" t="s">
        <v>52</v>
      </c>
      <c r="E271" t="b">
        <v>1</v>
      </c>
      <c r="F271" t="s">
        <v>53</v>
      </c>
      <c r="G271">
        <v>7.4999999999999997E-2</v>
      </c>
      <c r="H271">
        <v>0.5</v>
      </c>
      <c r="I271">
        <v>1E-4</v>
      </c>
      <c r="J271" t="b">
        <v>1</v>
      </c>
      <c r="K271">
        <v>8</v>
      </c>
      <c r="L271">
        <v>1500</v>
      </c>
      <c r="M271">
        <v>0.05</v>
      </c>
      <c r="N271">
        <v>0.154</v>
      </c>
      <c r="O271" t="s">
        <v>224</v>
      </c>
      <c r="P271" t="s">
        <v>225</v>
      </c>
      <c r="Q271">
        <v>-3.6193818143573998E-4</v>
      </c>
      <c r="R271">
        <v>6.9391787688624796E-3</v>
      </c>
      <c r="S271">
        <v>1.85848045926723E-3</v>
      </c>
      <c r="T271">
        <v>-3.9662220404230002E-2</v>
      </c>
      <c r="U271">
        <v>7.9924495912739699</v>
      </c>
      <c r="V271" s="1">
        <v>9.9999999999999795E-15</v>
      </c>
      <c r="W271">
        <v>1.2705390080361501</v>
      </c>
      <c r="X271">
        <v>2.4999999999999898</v>
      </c>
      <c r="Y271">
        <v>59.252397322840899</v>
      </c>
      <c r="Z271">
        <v>0.499999999999999</v>
      </c>
      <c r="AA271">
        <v>106.05834572605499</v>
      </c>
      <c r="AB271" s="9">
        <f t="shared" si="35"/>
        <v>-0.33345639483368078</v>
      </c>
      <c r="AC271" s="9">
        <f t="shared" si="36"/>
        <v>-0.33561335854974927</v>
      </c>
      <c r="AD271" s="2">
        <f t="shared" si="37"/>
        <v>6.4685030771245433E-3</v>
      </c>
      <c r="AE271" s="8">
        <f t="shared" si="38"/>
        <v>4.102218286626653E-5</v>
      </c>
      <c r="AF271" s="2">
        <f t="shared" si="39"/>
        <v>-7.1956427470655374E-4</v>
      </c>
      <c r="AG271" s="8">
        <f t="shared" si="40"/>
        <v>7.6058645757282029E-4</v>
      </c>
      <c r="AH271" s="7">
        <f t="shared" si="41"/>
        <v>-0.94606506274490298</v>
      </c>
      <c r="AI271">
        <f t="shared" si="42"/>
        <v>8</v>
      </c>
      <c r="AJ271" s="10">
        <f t="shared" si="43"/>
        <v>4.8677533284660499E-2</v>
      </c>
    </row>
    <row r="272" spans="1:36" hidden="1" x14ac:dyDescent="0.25">
      <c r="A272" t="b">
        <v>0</v>
      </c>
      <c r="B272">
        <v>1000</v>
      </c>
      <c r="C272">
        <v>4.8677533284660499E-2</v>
      </c>
      <c r="D272" t="s">
        <v>52</v>
      </c>
      <c r="E272" t="b">
        <v>1</v>
      </c>
      <c r="F272" t="s">
        <v>53</v>
      </c>
      <c r="G272">
        <v>7.4999999999999997E-2</v>
      </c>
      <c r="H272">
        <v>0.5</v>
      </c>
      <c r="I272">
        <v>1E-4</v>
      </c>
      <c r="J272" t="b">
        <v>1</v>
      </c>
      <c r="K272">
        <v>8</v>
      </c>
      <c r="L272">
        <v>1500</v>
      </c>
      <c r="M272">
        <v>0.05</v>
      </c>
      <c r="N272">
        <v>0.154</v>
      </c>
      <c r="O272" t="s">
        <v>224</v>
      </c>
      <c r="P272" t="s">
        <v>227</v>
      </c>
      <c r="Q272" s="1">
        <v>-5.177183781928E-5</v>
      </c>
      <c r="R272">
        <v>1.07559812906735E-3</v>
      </c>
      <c r="S272">
        <v>2.6613325691793099E-4</v>
      </c>
      <c r="T272">
        <v>-5.6889534442641897E-3</v>
      </c>
      <c r="U272">
        <v>7.9956378067593299</v>
      </c>
      <c r="V272" s="1">
        <v>9.9999999950767001E-15</v>
      </c>
      <c r="W272">
        <v>1.3796134087829599</v>
      </c>
      <c r="X272">
        <v>2.4999999999991598</v>
      </c>
      <c r="Y272">
        <v>63.7728184284843</v>
      </c>
      <c r="Z272">
        <v>0.49999999999954098</v>
      </c>
      <c r="AA272">
        <v>115.054899267407</v>
      </c>
      <c r="AB272" s="9">
        <f t="shared" si="35"/>
        <v>-0.33400522203070415</v>
      </c>
      <c r="AC272" s="9">
        <f t="shared" si="36"/>
        <v>-0.33561335854974927</v>
      </c>
      <c r="AD272" s="2">
        <f t="shared" si="37"/>
        <v>4.8147047200874926E-3</v>
      </c>
      <c r="AE272" s="8">
        <f t="shared" si="38"/>
        <v>2.240130697401468E-4</v>
      </c>
      <c r="AF272" s="2">
        <f t="shared" si="39"/>
        <v>-5.3657338783267346E-4</v>
      </c>
      <c r="AG272" s="8">
        <f t="shared" si="40"/>
        <v>7.6058645757282029E-4</v>
      </c>
      <c r="AH272" s="7">
        <f t="shared" si="41"/>
        <v>-0.70547323383193516</v>
      </c>
      <c r="AI272">
        <f t="shared" si="42"/>
        <v>8</v>
      </c>
      <c r="AJ272" s="10">
        <f t="shared" si="43"/>
        <v>4.8677533284660499E-2</v>
      </c>
    </row>
    <row r="273" spans="1:36" hidden="1" x14ac:dyDescent="0.25">
      <c r="A273" t="b">
        <v>0</v>
      </c>
      <c r="B273">
        <v>1000</v>
      </c>
      <c r="C273">
        <v>4.8677533284660499E-2</v>
      </c>
      <c r="D273" t="s">
        <v>52</v>
      </c>
      <c r="E273" t="b">
        <v>1</v>
      </c>
      <c r="F273" t="s">
        <v>53</v>
      </c>
      <c r="G273">
        <v>7.4999999999999997E-2</v>
      </c>
      <c r="H273">
        <v>0.5</v>
      </c>
      <c r="I273">
        <v>1E-4</v>
      </c>
      <c r="J273" t="b">
        <v>1</v>
      </c>
      <c r="K273">
        <v>8</v>
      </c>
      <c r="L273">
        <v>1500</v>
      </c>
      <c r="M273">
        <v>0.05</v>
      </c>
      <c r="N273">
        <v>0.154</v>
      </c>
      <c r="O273" t="s">
        <v>224</v>
      </c>
      <c r="P273" t="s">
        <v>228</v>
      </c>
      <c r="Q273">
        <v>-4.13728169408402E-4</v>
      </c>
      <c r="R273">
        <v>8.5597887686607501E-3</v>
      </c>
      <c r="S273">
        <v>2.1245848940490402E-3</v>
      </c>
      <c r="T273">
        <v>-4.5346694773578999E-2</v>
      </c>
      <c r="U273">
        <v>7.9919158841854099</v>
      </c>
      <c r="V273" s="1">
        <v>9.9999999999999905E-15</v>
      </c>
      <c r="W273">
        <v>1.38072659997254</v>
      </c>
      <c r="X273">
        <v>2.4999999999999898</v>
      </c>
      <c r="Y273">
        <v>63.424798267830603</v>
      </c>
      <c r="Z273">
        <v>0.499999999999999</v>
      </c>
      <c r="AA273">
        <v>114.611378522954</v>
      </c>
      <c r="AB273" s="9">
        <f t="shared" si="35"/>
        <v>-0.33349672579419981</v>
      </c>
      <c r="AC273" s="9">
        <f t="shared" si="36"/>
        <v>-0.33561335854974927</v>
      </c>
      <c r="AD273" s="2">
        <f t="shared" si="37"/>
        <v>6.3467872151032889E-3</v>
      </c>
      <c r="AE273" s="8">
        <f t="shared" si="38"/>
        <v>5.4467120127751007E-5</v>
      </c>
      <c r="AF273" s="2">
        <f t="shared" si="39"/>
        <v>-7.0611933744506924E-4</v>
      </c>
      <c r="AG273" s="8">
        <f t="shared" si="40"/>
        <v>7.6058645757282029E-4</v>
      </c>
      <c r="AH273" s="7">
        <f t="shared" si="41"/>
        <v>-0.92838799641323322</v>
      </c>
      <c r="AI273">
        <f t="shared" si="42"/>
        <v>8</v>
      </c>
      <c r="AJ273" s="10">
        <f t="shared" si="43"/>
        <v>4.8677533284660499E-2</v>
      </c>
    </row>
    <row r="274" spans="1:36" hidden="1" x14ac:dyDescent="0.25">
      <c r="A274" t="b">
        <v>0</v>
      </c>
      <c r="B274">
        <v>1000</v>
      </c>
      <c r="C274">
        <v>4.8677533284660499E-2</v>
      </c>
      <c r="D274" t="s">
        <v>52</v>
      </c>
      <c r="E274" t="b">
        <v>1</v>
      </c>
      <c r="F274" t="s">
        <v>53</v>
      </c>
      <c r="G274">
        <v>7.4999999999999997E-2</v>
      </c>
      <c r="H274">
        <v>0.5</v>
      </c>
      <c r="I274">
        <v>1E-4</v>
      </c>
      <c r="J274" t="b">
        <v>1</v>
      </c>
      <c r="K274">
        <v>8</v>
      </c>
      <c r="L274">
        <v>1500</v>
      </c>
      <c r="M274">
        <v>0.05</v>
      </c>
      <c r="N274">
        <v>0.154</v>
      </c>
      <c r="O274" t="s">
        <v>224</v>
      </c>
      <c r="P274" t="s">
        <v>229</v>
      </c>
      <c r="Q274">
        <v>-3.6193818143574898E-4</v>
      </c>
      <c r="R274">
        <v>7.0616462895907103E-3</v>
      </c>
      <c r="S274">
        <v>1.8584804592672399E-3</v>
      </c>
      <c r="T274">
        <v>-3.9662220404230002E-2</v>
      </c>
      <c r="U274">
        <v>7.99244959127138</v>
      </c>
      <c r="V274" s="1">
        <v>9.9999999999999795E-15</v>
      </c>
      <c r="W274">
        <v>1.29166721661263</v>
      </c>
      <c r="X274">
        <v>2.4999999999999898</v>
      </c>
      <c r="Y274">
        <v>60.233036310133897</v>
      </c>
      <c r="Z274">
        <v>0.499999999999999</v>
      </c>
      <c r="AA274">
        <v>107.945094695501</v>
      </c>
      <c r="AB274" s="9">
        <f t="shared" si="35"/>
        <v>-0.33345639483367895</v>
      </c>
      <c r="AC274" s="9">
        <f t="shared" si="36"/>
        <v>-0.33561335854974927</v>
      </c>
      <c r="AD274" s="2">
        <f t="shared" si="37"/>
        <v>6.4685030771300944E-3</v>
      </c>
      <c r="AE274" s="8">
        <f t="shared" si="38"/>
        <v>4.1022182865649687E-5</v>
      </c>
      <c r="AF274" s="2">
        <f t="shared" si="39"/>
        <v>-7.1956427470717065E-4</v>
      </c>
      <c r="AG274" s="8">
        <f t="shared" si="40"/>
        <v>7.6058645757282029E-4</v>
      </c>
      <c r="AH274" s="7">
        <f t="shared" si="41"/>
        <v>-0.94606506274571411</v>
      </c>
      <c r="AI274">
        <f t="shared" si="42"/>
        <v>8</v>
      </c>
      <c r="AJ274" s="10">
        <f t="shared" si="43"/>
        <v>4.8677533284660499E-2</v>
      </c>
    </row>
    <row r="275" spans="1:36" hidden="1" x14ac:dyDescent="0.25">
      <c r="A275" t="b">
        <v>0</v>
      </c>
      <c r="B275">
        <v>1000</v>
      </c>
      <c r="C275">
        <v>4.8677533284660499E-2</v>
      </c>
      <c r="D275" t="s">
        <v>52</v>
      </c>
      <c r="E275" t="b">
        <v>1</v>
      </c>
      <c r="F275" t="s">
        <v>53</v>
      </c>
      <c r="G275">
        <v>7.4999999999999997E-2</v>
      </c>
      <c r="H275">
        <v>0.5</v>
      </c>
      <c r="I275">
        <v>1E-4</v>
      </c>
      <c r="J275" t="b">
        <v>1</v>
      </c>
      <c r="K275">
        <v>8</v>
      </c>
      <c r="L275">
        <v>1500</v>
      </c>
      <c r="M275">
        <v>0.05</v>
      </c>
      <c r="N275">
        <v>0.154</v>
      </c>
      <c r="O275" t="s">
        <v>224</v>
      </c>
      <c r="P275" t="s">
        <v>230</v>
      </c>
      <c r="Q275">
        <v>-4.1372816940839701E-4</v>
      </c>
      <c r="R275">
        <v>8.6397097870493603E-3</v>
      </c>
      <c r="S275">
        <v>2.1245848940490402E-3</v>
      </c>
      <c r="T275">
        <v>-4.5346694773578701E-2</v>
      </c>
      <c r="U275">
        <v>7.99191588418471</v>
      </c>
      <c r="V275" s="1">
        <v>9.9999999999999905E-15</v>
      </c>
      <c r="W275">
        <v>1.4017119858421101</v>
      </c>
      <c r="X275">
        <v>2.4999999999999898</v>
      </c>
      <c r="Y275">
        <v>63.858247444234699</v>
      </c>
      <c r="Z275">
        <v>0.499999999999999</v>
      </c>
      <c r="AA275">
        <v>115.738826888635</v>
      </c>
      <c r="AB275" s="9">
        <f t="shared" si="35"/>
        <v>-0.33349672579419765</v>
      </c>
      <c r="AC275" s="9">
        <f t="shared" si="36"/>
        <v>-0.33561335854974927</v>
      </c>
      <c r="AD275" s="2">
        <f t="shared" si="37"/>
        <v>6.3467872151099503E-3</v>
      </c>
      <c r="AE275" s="8">
        <f t="shared" si="38"/>
        <v>5.4467120127035461E-5</v>
      </c>
      <c r="AF275" s="2">
        <f t="shared" si="39"/>
        <v>-7.0611933744578481E-4</v>
      </c>
      <c r="AG275" s="8">
        <f t="shared" si="40"/>
        <v>7.6058645757282029E-4</v>
      </c>
      <c r="AH275" s="7">
        <f t="shared" si="41"/>
        <v>-0.92838799641417402</v>
      </c>
      <c r="AI275">
        <f t="shared" si="42"/>
        <v>8</v>
      </c>
      <c r="AJ275" s="10">
        <f t="shared" si="43"/>
        <v>4.8677533284660499E-2</v>
      </c>
    </row>
    <row r="276" spans="1:36" hidden="1" x14ac:dyDescent="0.25">
      <c r="A276" t="b">
        <v>0</v>
      </c>
      <c r="B276">
        <v>1000</v>
      </c>
      <c r="C276">
        <v>4.8677533284660499E-2</v>
      </c>
      <c r="D276" t="s">
        <v>52</v>
      </c>
      <c r="E276" t="b">
        <v>1</v>
      </c>
      <c r="F276" t="s">
        <v>53</v>
      </c>
      <c r="G276">
        <v>7.4999999999999997E-2</v>
      </c>
      <c r="H276">
        <v>0.5</v>
      </c>
      <c r="I276">
        <v>1E-4</v>
      </c>
      <c r="J276" t="b">
        <v>1</v>
      </c>
      <c r="K276">
        <v>8</v>
      </c>
      <c r="L276">
        <v>1500</v>
      </c>
      <c r="M276">
        <v>0.05</v>
      </c>
      <c r="N276">
        <v>0.154</v>
      </c>
      <c r="O276" t="s">
        <v>224</v>
      </c>
      <c r="P276" t="s">
        <v>231</v>
      </c>
      <c r="Q276">
        <v>-7.7581096639111897E-4</v>
      </c>
      <c r="R276">
        <v>1.56856246323098E-2</v>
      </c>
      <c r="S276">
        <v>3.9828356935728204E-3</v>
      </c>
      <c r="T276">
        <v>-8.4973226342958397E-2</v>
      </c>
      <c r="U276">
        <v>7.9881934230178997</v>
      </c>
      <c r="V276" s="1">
        <v>9.99999999999997E-15</v>
      </c>
      <c r="W276">
        <v>1.3481347106769499</v>
      </c>
      <c r="X276">
        <v>2.4999999999999898</v>
      </c>
      <c r="Y276">
        <v>62.088805675179202</v>
      </c>
      <c r="Z276">
        <v>0.499999999999999</v>
      </c>
      <c r="AA276">
        <v>111.971573692975</v>
      </c>
      <c r="AB276" s="9">
        <f t="shared" si="35"/>
        <v>-0.33335712636885101</v>
      </c>
      <c r="AC276" s="9">
        <f t="shared" si="36"/>
        <v>-0.33561335854974927</v>
      </c>
      <c r="AD276" s="2">
        <f t="shared" si="37"/>
        <v>6.7682134336668476E-3</v>
      </c>
      <c r="AE276" s="8">
        <f t="shared" si="38"/>
        <v>7.9310747406666865E-6</v>
      </c>
      <c r="AF276" s="2">
        <f t="shared" si="39"/>
        <v>-7.5265538283215364E-4</v>
      </c>
      <c r="AG276" s="8">
        <f t="shared" si="40"/>
        <v>7.6058645757282029E-4</v>
      </c>
      <c r="AH276" s="7">
        <f t="shared" si="41"/>
        <v>-0.98957242183094307</v>
      </c>
      <c r="AI276">
        <f t="shared" si="42"/>
        <v>8</v>
      </c>
      <c r="AJ276" s="10">
        <f t="shared" si="43"/>
        <v>4.8677533284660499E-2</v>
      </c>
    </row>
    <row r="277" spans="1:36" hidden="1" x14ac:dyDescent="0.25">
      <c r="A277" t="b">
        <v>0</v>
      </c>
      <c r="B277">
        <v>1000</v>
      </c>
      <c r="C277">
        <v>4.8677533284660499E-2</v>
      </c>
      <c r="D277" t="s">
        <v>52</v>
      </c>
      <c r="E277" t="b">
        <v>1</v>
      </c>
      <c r="F277" t="s">
        <v>53</v>
      </c>
      <c r="G277">
        <v>7.4999999999999997E-2</v>
      </c>
      <c r="H277">
        <v>0.5</v>
      </c>
      <c r="I277">
        <v>1E-4</v>
      </c>
      <c r="J277" t="b">
        <v>1</v>
      </c>
      <c r="K277">
        <v>8</v>
      </c>
      <c r="L277">
        <v>1500</v>
      </c>
      <c r="M277">
        <v>0.05</v>
      </c>
      <c r="N277">
        <v>0.154</v>
      </c>
      <c r="O277" t="s">
        <v>225</v>
      </c>
      <c r="P277" t="s">
        <v>228</v>
      </c>
      <c r="Q277" s="1">
        <v>-5.1789987898623903E-5</v>
      </c>
      <c r="R277">
        <v>1.0829715282822199E-3</v>
      </c>
      <c r="S277">
        <v>2.6610443478180298E-4</v>
      </c>
      <c r="T277">
        <v>-5.6844743693488398E-3</v>
      </c>
      <c r="U277">
        <v>7.9881940383400103</v>
      </c>
      <c r="V277" s="1">
        <v>9.9999999949653793E-15</v>
      </c>
      <c r="W277">
        <v>1.3842724820486001</v>
      </c>
      <c r="X277">
        <v>2.49999999999915</v>
      </c>
      <c r="Y277">
        <v>64.220718697765804</v>
      </c>
      <c r="Z277">
        <v>0.49999999999953099</v>
      </c>
      <c r="AA277">
        <v>115.78070424681199</v>
      </c>
      <c r="AB277" s="9">
        <f t="shared" si="35"/>
        <v>-0.33377839829653749</v>
      </c>
      <c r="AC277" s="9">
        <f t="shared" si="36"/>
        <v>-0.33561335854974927</v>
      </c>
      <c r="AD277" s="2">
        <f t="shared" si="37"/>
        <v>5.4975404716921528E-3</v>
      </c>
      <c r="AE277" s="8">
        <f t="shared" si="38"/>
        <v>1.4837700020277125E-4</v>
      </c>
      <c r="AF277" s="2">
        <f t="shared" si="39"/>
        <v>-6.1220945737004901E-4</v>
      </c>
      <c r="AG277" s="8">
        <f t="shared" si="40"/>
        <v>7.6058645757282029E-4</v>
      </c>
      <c r="AH277" s="7">
        <f t="shared" si="41"/>
        <v>-0.80491764121560716</v>
      </c>
      <c r="AI277">
        <f t="shared" si="42"/>
        <v>8</v>
      </c>
      <c r="AJ277" s="10">
        <f t="shared" si="43"/>
        <v>4.8677533284660499E-2</v>
      </c>
    </row>
    <row r="278" spans="1:36" hidden="1" x14ac:dyDescent="0.25">
      <c r="A278" t="b">
        <v>0</v>
      </c>
      <c r="B278">
        <v>1000</v>
      </c>
      <c r="C278">
        <v>4.8677533284660499E-2</v>
      </c>
      <c r="D278" t="s">
        <v>52</v>
      </c>
      <c r="E278" t="b">
        <v>1</v>
      </c>
      <c r="F278" t="s">
        <v>53</v>
      </c>
      <c r="G278">
        <v>7.4999999999999997E-2</v>
      </c>
      <c r="H278">
        <v>0.5</v>
      </c>
      <c r="I278">
        <v>1E-4</v>
      </c>
      <c r="J278" t="b">
        <v>1</v>
      </c>
      <c r="K278">
        <v>8</v>
      </c>
      <c r="L278">
        <v>1500</v>
      </c>
      <c r="M278">
        <v>0.05</v>
      </c>
      <c r="N278">
        <v>0.154</v>
      </c>
      <c r="O278" t="s">
        <v>225</v>
      </c>
      <c r="P278" t="s">
        <v>229</v>
      </c>
      <c r="Q278" s="1">
        <v>-1E-10</v>
      </c>
      <c r="R278" s="1">
        <v>3.58578593201218E-12</v>
      </c>
      <c r="S278" s="1">
        <v>6.4645130132955098E-18</v>
      </c>
      <c r="T278" s="1">
        <v>2.1082044748347301E-17</v>
      </c>
      <c r="U278">
        <v>7.9887277454259698</v>
      </c>
      <c r="V278">
        <v>0</v>
      </c>
      <c r="W278">
        <v>6.8474548259751494E-2</v>
      </c>
      <c r="X278">
        <v>2</v>
      </c>
      <c r="Y278">
        <v>4.0005664140105902E-3</v>
      </c>
      <c r="Z278">
        <v>2.5000000000000001E-4</v>
      </c>
      <c r="AA278">
        <v>4.7933529813112604E-3</v>
      </c>
      <c r="AB278" s="9">
        <f t="shared" si="35"/>
        <v>5.0956189354934865E-2</v>
      </c>
      <c r="AC278" s="9">
        <f t="shared" si="36"/>
        <v>-0.33561335854974927</v>
      </c>
      <c r="AD278" s="2">
        <f t="shared" si="37"/>
        <v>-7.5863119436195969</v>
      </c>
      <c r="AE278" s="8">
        <f t="shared" si="38"/>
        <v>-0.11355101864423603</v>
      </c>
      <c r="AF278" s="2">
        <f t="shared" si="39"/>
        <v>-0.11431160510180885</v>
      </c>
      <c r="AG278" s="8">
        <f t="shared" si="40"/>
        <v>7.6058645757282029E-4</v>
      </c>
      <c r="AH278" s="7">
        <f t="shared" si="41"/>
        <v>-150.29403161686506</v>
      </c>
      <c r="AI278">
        <f t="shared" si="42"/>
        <v>8</v>
      </c>
      <c r="AJ278" s="10">
        <f t="shared" si="43"/>
        <v>4.8677533284660499E-2</v>
      </c>
    </row>
    <row r="279" spans="1:36" hidden="1" x14ac:dyDescent="0.25">
      <c r="A279" t="b">
        <v>0</v>
      </c>
      <c r="B279">
        <v>1000</v>
      </c>
      <c r="C279">
        <v>4.8677533284660499E-2</v>
      </c>
      <c r="D279" t="s">
        <v>52</v>
      </c>
      <c r="E279" t="b">
        <v>1</v>
      </c>
      <c r="F279" t="s">
        <v>53</v>
      </c>
      <c r="G279">
        <v>7.4999999999999997E-2</v>
      </c>
      <c r="H279">
        <v>0.5</v>
      </c>
      <c r="I279">
        <v>1E-4</v>
      </c>
      <c r="J279" t="b">
        <v>1</v>
      </c>
      <c r="K279">
        <v>8</v>
      </c>
      <c r="L279">
        <v>1500</v>
      </c>
      <c r="M279">
        <v>0.05</v>
      </c>
      <c r="N279">
        <v>0.154</v>
      </c>
      <c r="O279" t="s">
        <v>225</v>
      </c>
      <c r="P279" t="s">
        <v>230</v>
      </c>
      <c r="Q279" s="1">
        <v>-5.1789987898623002E-5</v>
      </c>
      <c r="R279">
        <v>1.0876776573173999E-3</v>
      </c>
      <c r="S279">
        <v>2.6610443478179398E-4</v>
      </c>
      <c r="T279">
        <v>-5.6844743693484703E-3</v>
      </c>
      <c r="U279">
        <v>7.9881940383393104</v>
      </c>
      <c r="V279" s="1">
        <v>9.99999999497385E-15</v>
      </c>
      <c r="W279">
        <v>1.3847924062203001</v>
      </c>
      <c r="X279">
        <v>2.49999999999915</v>
      </c>
      <c r="Y279">
        <v>64.561976762042704</v>
      </c>
      <c r="Z279">
        <v>0.49999999999953099</v>
      </c>
      <c r="AA279">
        <v>116.256606302733</v>
      </c>
      <c r="AB279" s="9">
        <f t="shared" si="35"/>
        <v>-0.33377839829652711</v>
      </c>
      <c r="AC279" s="9">
        <f t="shared" si="36"/>
        <v>-0.33561335854974927</v>
      </c>
      <c r="AD279" s="2">
        <f t="shared" si="37"/>
        <v>5.4975404717234611E-3</v>
      </c>
      <c r="AE279" s="8">
        <f t="shared" si="38"/>
        <v>1.4837700019931617E-4</v>
      </c>
      <c r="AF279" s="2">
        <f t="shared" si="39"/>
        <v>-6.1220945737350415E-4</v>
      </c>
      <c r="AG279" s="8">
        <f t="shared" si="40"/>
        <v>7.6058645757282029E-4</v>
      </c>
      <c r="AH279" s="7">
        <f t="shared" si="41"/>
        <v>-0.80491764122014997</v>
      </c>
      <c r="AI279">
        <f t="shared" si="42"/>
        <v>8</v>
      </c>
      <c r="AJ279" s="10">
        <f t="shared" si="43"/>
        <v>4.8677533284660499E-2</v>
      </c>
    </row>
    <row r="280" spans="1:36" hidden="1" x14ac:dyDescent="0.25">
      <c r="A280" t="b">
        <v>0</v>
      </c>
      <c r="B280">
        <v>1000</v>
      </c>
      <c r="C280">
        <v>4.8677533284660499E-2</v>
      </c>
      <c r="D280" t="s">
        <v>52</v>
      </c>
      <c r="E280" t="b">
        <v>1</v>
      </c>
      <c r="F280" t="s">
        <v>53</v>
      </c>
      <c r="G280">
        <v>7.4999999999999997E-2</v>
      </c>
      <c r="H280">
        <v>0.5</v>
      </c>
      <c r="I280">
        <v>1E-4</v>
      </c>
      <c r="J280" t="b">
        <v>1</v>
      </c>
      <c r="K280">
        <v>8</v>
      </c>
      <c r="L280">
        <v>1500</v>
      </c>
      <c r="M280">
        <v>0.05</v>
      </c>
      <c r="N280">
        <v>0.154</v>
      </c>
      <c r="O280" t="s">
        <v>225</v>
      </c>
      <c r="P280" t="s">
        <v>231</v>
      </c>
      <c r="Q280">
        <v>-4.1387278495747502E-4</v>
      </c>
      <c r="R280">
        <v>8.5813119846894492E-3</v>
      </c>
      <c r="S280">
        <v>2.1243552343055798E-3</v>
      </c>
      <c r="T280">
        <v>-4.5311005938728201E-2</v>
      </c>
      <c r="U280">
        <v>7.9844715771724903</v>
      </c>
      <c r="V280" s="1">
        <v>9.9999999999999905E-15</v>
      </c>
      <c r="W280">
        <v>1.39184176782652</v>
      </c>
      <c r="X280">
        <v>2.4999999999999898</v>
      </c>
      <c r="Y280">
        <v>63.428597045325503</v>
      </c>
      <c r="Z280">
        <v>0.499999999999999</v>
      </c>
      <c r="AA280">
        <v>114.91221226414901</v>
      </c>
      <c r="AB280" s="9">
        <f t="shared" si="35"/>
        <v>-0.3332702818999374</v>
      </c>
      <c r="AC280" s="9">
        <f t="shared" si="36"/>
        <v>-0.33561335854974927</v>
      </c>
      <c r="AD280" s="2">
        <f t="shared" si="37"/>
        <v>7.0305598100564026E-3</v>
      </c>
      <c r="AE280" s="8">
        <f t="shared" si="38"/>
        <v>-2.1016702754225665E-5</v>
      </c>
      <c r="AF280" s="2">
        <f t="shared" si="39"/>
        <v>-7.8160316032704598E-4</v>
      </c>
      <c r="AG280" s="8">
        <f t="shared" si="40"/>
        <v>7.6058645757282029E-4</v>
      </c>
      <c r="AH280" s="7">
        <f t="shared" si="41"/>
        <v>-1.0276322337125146</v>
      </c>
      <c r="AI280">
        <f t="shared" si="42"/>
        <v>8</v>
      </c>
      <c r="AJ280" s="10">
        <f t="shared" si="43"/>
        <v>4.8677533284660499E-2</v>
      </c>
    </row>
    <row r="281" spans="1:36" hidden="1" x14ac:dyDescent="0.25">
      <c r="A281" t="b">
        <v>0</v>
      </c>
      <c r="B281">
        <v>1000</v>
      </c>
      <c r="C281">
        <v>4.8677533284660499E-2</v>
      </c>
      <c r="D281" t="s">
        <v>52</v>
      </c>
      <c r="E281" t="b">
        <v>1</v>
      </c>
      <c r="F281" t="s">
        <v>53</v>
      </c>
      <c r="G281">
        <v>7.4999999999999997E-2</v>
      </c>
      <c r="H281">
        <v>0.5</v>
      </c>
      <c r="I281">
        <v>1E-4</v>
      </c>
      <c r="J281" t="b">
        <v>1</v>
      </c>
      <c r="K281">
        <v>8</v>
      </c>
      <c r="L281">
        <v>1500</v>
      </c>
      <c r="M281">
        <v>0.05</v>
      </c>
      <c r="N281">
        <v>0.154</v>
      </c>
      <c r="O281" t="s">
        <v>226</v>
      </c>
      <c r="P281" t="s">
        <v>227</v>
      </c>
      <c r="Q281" s="1">
        <v>-5.1771837819279898E-5</v>
      </c>
      <c r="R281">
        <v>1.0801726703678499E-3</v>
      </c>
      <c r="S281">
        <v>2.6613325691793402E-4</v>
      </c>
      <c r="T281">
        <v>-5.6889534442643303E-3</v>
      </c>
      <c r="U281">
        <v>7.9956378067572302</v>
      </c>
      <c r="V281" s="1">
        <v>9.9999999950764493E-15</v>
      </c>
      <c r="W281">
        <v>1.38212748329204</v>
      </c>
      <c r="X281">
        <v>2.4999999999991598</v>
      </c>
      <c r="Y281">
        <v>64.074152720690094</v>
      </c>
      <c r="Z281">
        <v>0.49999999999954098</v>
      </c>
      <c r="AA281">
        <v>115.529066486701</v>
      </c>
      <c r="AB281" s="9">
        <f t="shared" si="35"/>
        <v>-0.33400522203070859</v>
      </c>
      <c r="AC281" s="9">
        <f t="shared" si="36"/>
        <v>-0.33561335854974927</v>
      </c>
      <c r="AD281" s="2">
        <f t="shared" si="37"/>
        <v>4.8147047200741699E-3</v>
      </c>
      <c r="AE281" s="8">
        <f t="shared" si="38"/>
        <v>2.2401306974162774E-4</v>
      </c>
      <c r="AF281" s="2">
        <f t="shared" si="39"/>
        <v>-5.3657338783119255E-4</v>
      </c>
      <c r="AG281" s="8">
        <f t="shared" si="40"/>
        <v>7.6058645757282029E-4</v>
      </c>
      <c r="AH281" s="7">
        <f t="shared" si="41"/>
        <v>-0.70547323382998806</v>
      </c>
      <c r="AI281">
        <f t="shared" si="42"/>
        <v>8</v>
      </c>
      <c r="AJ281" s="10">
        <f t="shared" si="43"/>
        <v>4.8677533284660499E-2</v>
      </c>
    </row>
    <row r="282" spans="1:36" hidden="1" x14ac:dyDescent="0.25">
      <c r="A282" t="b">
        <v>0</v>
      </c>
      <c r="B282">
        <v>1000</v>
      </c>
      <c r="C282">
        <v>4.8677533284660499E-2</v>
      </c>
      <c r="D282" t="s">
        <v>52</v>
      </c>
      <c r="E282" t="b">
        <v>1</v>
      </c>
      <c r="F282" t="s">
        <v>53</v>
      </c>
      <c r="G282">
        <v>7.4999999999999997E-2</v>
      </c>
      <c r="H282">
        <v>0.5</v>
      </c>
      <c r="I282">
        <v>1E-4</v>
      </c>
      <c r="J282" t="b">
        <v>1</v>
      </c>
      <c r="K282">
        <v>8</v>
      </c>
      <c r="L282">
        <v>1500</v>
      </c>
      <c r="M282">
        <v>0.05</v>
      </c>
      <c r="N282">
        <v>0.154</v>
      </c>
      <c r="O282" t="s">
        <v>226</v>
      </c>
      <c r="P282" t="s">
        <v>228</v>
      </c>
      <c r="Q282">
        <v>-4.1372816940839799E-4</v>
      </c>
      <c r="R282">
        <v>8.5457358524720795E-3</v>
      </c>
      <c r="S282">
        <v>2.1245848940490402E-3</v>
      </c>
      <c r="T282">
        <v>-4.5346694773579103E-2</v>
      </c>
      <c r="U282">
        <v>7.9919158841833102</v>
      </c>
      <c r="V282" s="1">
        <v>9.9999999999999905E-15</v>
      </c>
      <c r="W282">
        <v>1.38711839480955</v>
      </c>
      <c r="X282">
        <v>2.4999999999999898</v>
      </c>
      <c r="Y282">
        <v>63.202269563599401</v>
      </c>
      <c r="Z282">
        <v>0.499999999999999</v>
      </c>
      <c r="AA282">
        <v>114.47324553487699</v>
      </c>
      <c r="AB282" s="9">
        <f t="shared" si="35"/>
        <v>-0.33349672579420059</v>
      </c>
      <c r="AC282" s="9">
        <f t="shared" si="36"/>
        <v>-0.33561335854974927</v>
      </c>
      <c r="AD282" s="2">
        <f t="shared" si="37"/>
        <v>6.3467872151010685E-3</v>
      </c>
      <c r="AE282" s="8">
        <f t="shared" si="38"/>
        <v>5.446712012802243E-5</v>
      </c>
      <c r="AF282" s="2">
        <f t="shared" si="39"/>
        <v>-7.0611933744479786E-4</v>
      </c>
      <c r="AG282" s="8">
        <f t="shared" si="40"/>
        <v>7.6058645757282029E-4</v>
      </c>
      <c r="AH282" s="7">
        <f t="shared" si="41"/>
        <v>-0.92838799641287639</v>
      </c>
      <c r="AI282">
        <f t="shared" si="42"/>
        <v>8</v>
      </c>
      <c r="AJ282" s="10">
        <f t="shared" si="43"/>
        <v>4.8677533284660499E-2</v>
      </c>
    </row>
    <row r="283" spans="1:36" hidden="1" x14ac:dyDescent="0.25">
      <c r="A283" t="b">
        <v>0</v>
      </c>
      <c r="B283">
        <v>1000</v>
      </c>
      <c r="C283">
        <v>4.8677533284660499E-2</v>
      </c>
      <c r="D283" t="s">
        <v>52</v>
      </c>
      <c r="E283" t="b">
        <v>1</v>
      </c>
      <c r="F283" t="s">
        <v>53</v>
      </c>
      <c r="G283">
        <v>7.4999999999999997E-2</v>
      </c>
      <c r="H283">
        <v>0.5</v>
      </c>
      <c r="I283">
        <v>1E-4</v>
      </c>
      <c r="J283" t="b">
        <v>1</v>
      </c>
      <c r="K283">
        <v>8</v>
      </c>
      <c r="L283">
        <v>1500</v>
      </c>
      <c r="M283">
        <v>0.05</v>
      </c>
      <c r="N283">
        <v>0.154</v>
      </c>
      <c r="O283" t="s">
        <v>226</v>
      </c>
      <c r="P283" t="s">
        <v>229</v>
      </c>
      <c r="Q283">
        <v>-3.6193818143573402E-4</v>
      </c>
      <c r="R283">
        <v>7.1192861056183204E-3</v>
      </c>
      <c r="S283">
        <v>1.8584804592672399E-3</v>
      </c>
      <c r="T283">
        <v>-3.9662220404230099E-2</v>
      </c>
      <c r="U283">
        <v>7.9924495912692803</v>
      </c>
      <c r="V283" s="1">
        <v>9.9999999999999795E-15</v>
      </c>
      <c r="W283">
        <v>1.30423828637943</v>
      </c>
      <c r="X283">
        <v>2.4999999999999898</v>
      </c>
      <c r="Y283">
        <v>60.659154418926398</v>
      </c>
      <c r="Z283">
        <v>0.499999999999999</v>
      </c>
      <c r="AA283">
        <v>108.84483017720299</v>
      </c>
      <c r="AB283" s="9">
        <f t="shared" si="35"/>
        <v>-0.33345639483367978</v>
      </c>
      <c r="AC283" s="9">
        <f t="shared" si="36"/>
        <v>-0.33561335854974927</v>
      </c>
      <c r="AD283" s="2">
        <f t="shared" si="37"/>
        <v>6.4685030771274299E-3</v>
      </c>
      <c r="AE283" s="8">
        <f t="shared" si="38"/>
        <v>4.1022182865945769E-5</v>
      </c>
      <c r="AF283" s="2">
        <f t="shared" si="39"/>
        <v>-7.1956427470687455E-4</v>
      </c>
      <c r="AG283" s="8">
        <f t="shared" si="40"/>
        <v>7.6058645757282029E-4</v>
      </c>
      <c r="AH283" s="7">
        <f t="shared" si="41"/>
        <v>-0.94606506274532476</v>
      </c>
      <c r="AI283">
        <f t="shared" si="42"/>
        <v>8</v>
      </c>
      <c r="AJ283" s="10">
        <f t="shared" si="43"/>
        <v>4.8677533284660499E-2</v>
      </c>
    </row>
    <row r="284" spans="1:36" hidden="1" x14ac:dyDescent="0.25">
      <c r="A284" t="b">
        <v>0</v>
      </c>
      <c r="B284">
        <v>1000</v>
      </c>
      <c r="C284">
        <v>4.8677533284660499E-2</v>
      </c>
      <c r="D284" t="s">
        <v>52</v>
      </c>
      <c r="E284" t="b">
        <v>1</v>
      </c>
      <c r="F284" t="s">
        <v>53</v>
      </c>
      <c r="G284">
        <v>7.4999999999999997E-2</v>
      </c>
      <c r="H284">
        <v>0.5</v>
      </c>
      <c r="I284">
        <v>1E-4</v>
      </c>
      <c r="J284" t="b">
        <v>1</v>
      </c>
      <c r="K284">
        <v>8</v>
      </c>
      <c r="L284">
        <v>1500</v>
      </c>
      <c r="M284">
        <v>0.05</v>
      </c>
      <c r="N284">
        <v>0.154</v>
      </c>
      <c r="O284" t="s">
        <v>226</v>
      </c>
      <c r="P284" t="s">
        <v>230</v>
      </c>
      <c r="Q284">
        <v>-4.1372816940839902E-4</v>
      </c>
      <c r="R284">
        <v>8.4672419183593299E-3</v>
      </c>
      <c r="S284">
        <v>2.1245848940490402E-3</v>
      </c>
      <c r="T284">
        <v>-4.5346694773578798E-2</v>
      </c>
      <c r="U284">
        <v>7.9919158841826103</v>
      </c>
      <c r="V284" s="1">
        <v>9.9999999999999905E-15</v>
      </c>
      <c r="W284">
        <v>1.3710426452517901</v>
      </c>
      <c r="X284">
        <v>2.4999999999999898</v>
      </c>
      <c r="Y284">
        <v>62.713358108548</v>
      </c>
      <c r="Z284">
        <v>0.499999999999999</v>
      </c>
      <c r="AA284">
        <v>113.389831160841</v>
      </c>
      <c r="AB284" s="9">
        <f t="shared" si="35"/>
        <v>-0.33349672579419837</v>
      </c>
      <c r="AC284" s="9">
        <f t="shared" si="36"/>
        <v>-0.33561335854974927</v>
      </c>
      <c r="AD284" s="2">
        <f t="shared" si="37"/>
        <v>6.3467872151077298E-3</v>
      </c>
      <c r="AE284" s="8">
        <f t="shared" si="38"/>
        <v>5.4467120127282198E-5</v>
      </c>
      <c r="AF284" s="2">
        <f t="shared" si="39"/>
        <v>-7.0611933744553804E-4</v>
      </c>
      <c r="AG284" s="8">
        <f t="shared" si="40"/>
        <v>7.6058645757282029E-4</v>
      </c>
      <c r="AH284" s="7">
        <f t="shared" si="41"/>
        <v>-0.92838799641384961</v>
      </c>
      <c r="AI284">
        <f t="shared" si="42"/>
        <v>8</v>
      </c>
      <c r="AJ284" s="10">
        <f t="shared" si="43"/>
        <v>4.8677533284660499E-2</v>
      </c>
    </row>
    <row r="285" spans="1:36" hidden="1" x14ac:dyDescent="0.25">
      <c r="A285" t="b">
        <v>0</v>
      </c>
      <c r="B285">
        <v>1000</v>
      </c>
      <c r="C285">
        <v>4.8677533284660499E-2</v>
      </c>
      <c r="D285" t="s">
        <v>52</v>
      </c>
      <c r="E285" t="b">
        <v>1</v>
      </c>
      <c r="F285" t="s">
        <v>53</v>
      </c>
      <c r="G285">
        <v>7.4999999999999997E-2</v>
      </c>
      <c r="H285">
        <v>0.5</v>
      </c>
      <c r="I285">
        <v>1E-4</v>
      </c>
      <c r="J285" t="b">
        <v>1</v>
      </c>
      <c r="K285">
        <v>8</v>
      </c>
      <c r="L285">
        <v>1500</v>
      </c>
      <c r="M285">
        <v>0.05</v>
      </c>
      <c r="N285">
        <v>0.154</v>
      </c>
      <c r="O285" t="s">
        <v>226</v>
      </c>
      <c r="P285" t="s">
        <v>231</v>
      </c>
      <c r="Q285">
        <v>-7.7581096639115995E-4</v>
      </c>
      <c r="R285">
        <v>1.57639270417625E-2</v>
      </c>
      <c r="S285">
        <v>3.9828356935728204E-3</v>
      </c>
      <c r="T285">
        <v>-8.4973226342958494E-2</v>
      </c>
      <c r="U285">
        <v>7.9881934230158</v>
      </c>
      <c r="V285" s="1">
        <v>9.99999999999997E-15</v>
      </c>
      <c r="W285">
        <v>1.3637516592985399</v>
      </c>
      <c r="X285">
        <v>2.4999999999999898</v>
      </c>
      <c r="Y285">
        <v>62.246176518105301</v>
      </c>
      <c r="Z285">
        <v>0.499999999999999</v>
      </c>
      <c r="AA285">
        <v>112.59122154827099</v>
      </c>
      <c r="AB285" s="9">
        <f t="shared" si="35"/>
        <v>-0.33335712636885134</v>
      </c>
      <c r="AC285" s="9">
        <f t="shared" si="36"/>
        <v>-0.33561335854974927</v>
      </c>
      <c r="AD285" s="2">
        <f t="shared" si="37"/>
        <v>6.7682134336659594E-3</v>
      </c>
      <c r="AE285" s="8">
        <f t="shared" si="38"/>
        <v>7.9310747407900484E-6</v>
      </c>
      <c r="AF285" s="2">
        <f t="shared" si="39"/>
        <v>-7.5265538283203026E-4</v>
      </c>
      <c r="AG285" s="8">
        <f t="shared" si="40"/>
        <v>7.6058645757282029E-4</v>
      </c>
      <c r="AH285" s="7">
        <f t="shared" si="41"/>
        <v>-0.98957242183078087</v>
      </c>
      <c r="AI285">
        <f t="shared" si="42"/>
        <v>8</v>
      </c>
      <c r="AJ285" s="10">
        <f t="shared" si="43"/>
        <v>4.8677533284660499E-2</v>
      </c>
    </row>
    <row r="286" spans="1:36" hidden="1" x14ac:dyDescent="0.25">
      <c r="A286" t="b">
        <v>0</v>
      </c>
      <c r="B286">
        <v>1000</v>
      </c>
      <c r="C286">
        <v>4.8677533284660499E-2</v>
      </c>
      <c r="D286" t="s">
        <v>52</v>
      </c>
      <c r="E286" t="b">
        <v>1</v>
      </c>
      <c r="F286" t="s">
        <v>53</v>
      </c>
      <c r="G286">
        <v>7.4999999999999997E-2</v>
      </c>
      <c r="H286">
        <v>0.5</v>
      </c>
      <c r="I286">
        <v>1E-4</v>
      </c>
      <c r="J286" t="b">
        <v>1</v>
      </c>
      <c r="K286">
        <v>8</v>
      </c>
      <c r="L286">
        <v>1500</v>
      </c>
      <c r="M286">
        <v>0.05</v>
      </c>
      <c r="N286">
        <v>0.154</v>
      </c>
      <c r="O286" t="s">
        <v>227</v>
      </c>
      <c r="P286" t="s">
        <v>228</v>
      </c>
      <c r="Q286">
        <v>-3.6195633151558801E-4</v>
      </c>
      <c r="R286">
        <v>7.0791538230666404E-3</v>
      </c>
      <c r="S286">
        <v>1.8584516371311099E-3</v>
      </c>
      <c r="T286">
        <v>-3.9657741329314801E-2</v>
      </c>
      <c r="U286">
        <v>7.9913822538253596</v>
      </c>
      <c r="V286" s="1">
        <v>9.9999999999999905E-15</v>
      </c>
      <c r="W286">
        <v>1.3069256894950101</v>
      </c>
      <c r="X286">
        <v>2.4999999999999898</v>
      </c>
      <c r="Y286">
        <v>60.186783748801197</v>
      </c>
      <c r="Z286">
        <v>0.499999999999999</v>
      </c>
      <c r="AA286">
        <v>108.286875475678</v>
      </c>
      <c r="AB286" s="9">
        <f t="shared" si="35"/>
        <v>-0.33342390831708718</v>
      </c>
      <c r="AC286" s="9">
        <f t="shared" si="36"/>
        <v>-0.33561335854974927</v>
      </c>
      <c r="AD286" s="2">
        <f t="shared" si="37"/>
        <v>6.5665663980518651E-3</v>
      </c>
      <c r="AE286" s="8">
        <f t="shared" si="38"/>
        <v>3.0192572815219433E-5</v>
      </c>
      <c r="AF286" s="2">
        <f t="shared" si="39"/>
        <v>-7.3039388475760081E-4</v>
      </c>
      <c r="AG286" s="8">
        <f t="shared" si="40"/>
        <v>7.6058645757282029E-4</v>
      </c>
      <c r="AH286" s="7">
        <f t="shared" si="41"/>
        <v>-0.96030356244894255</v>
      </c>
      <c r="AI286">
        <f t="shared" si="42"/>
        <v>8</v>
      </c>
      <c r="AJ286" s="10">
        <f t="shared" si="43"/>
        <v>4.8677533284660499E-2</v>
      </c>
    </row>
    <row r="287" spans="1:36" hidden="1" x14ac:dyDescent="0.25">
      <c r="A287" t="b">
        <v>0</v>
      </c>
      <c r="B287">
        <v>1000</v>
      </c>
      <c r="C287">
        <v>4.8677533284660499E-2</v>
      </c>
      <c r="D287" t="s">
        <v>52</v>
      </c>
      <c r="E287" t="b">
        <v>1</v>
      </c>
      <c r="F287" t="s">
        <v>53</v>
      </c>
      <c r="G287">
        <v>7.4999999999999997E-2</v>
      </c>
      <c r="H287">
        <v>0.5</v>
      </c>
      <c r="I287">
        <v>1E-4</v>
      </c>
      <c r="J287" t="b">
        <v>1</v>
      </c>
      <c r="K287">
        <v>8</v>
      </c>
      <c r="L287">
        <v>1500</v>
      </c>
      <c r="M287">
        <v>0.05</v>
      </c>
      <c r="N287">
        <v>0.154</v>
      </c>
      <c r="O287" t="s">
        <v>227</v>
      </c>
      <c r="P287" t="s">
        <v>229</v>
      </c>
      <c r="Q287">
        <v>-3.1016634354290198E-4</v>
      </c>
      <c r="R287">
        <v>6.4557833939755099E-3</v>
      </c>
      <c r="S287">
        <v>1.5923472023493101E-3</v>
      </c>
      <c r="T287">
        <v>-3.3973266959965998E-2</v>
      </c>
      <c r="U287">
        <v>7.9919159609113297</v>
      </c>
      <c r="V287" s="1">
        <v>9.9999999999999905E-15</v>
      </c>
      <c r="W287">
        <v>1.3990817721926301</v>
      </c>
      <c r="X287">
        <v>2.4999999999999898</v>
      </c>
      <c r="Y287">
        <v>63.628905451713401</v>
      </c>
      <c r="Z287">
        <v>0.499999999999999</v>
      </c>
      <c r="AA287">
        <v>115.369477340667</v>
      </c>
      <c r="AB287" s="9">
        <f t="shared" si="35"/>
        <v>-0.33336466787286828</v>
      </c>
      <c r="AC287" s="9">
        <f t="shared" si="36"/>
        <v>-0.33561335854974927</v>
      </c>
      <c r="AD287" s="2">
        <f t="shared" si="37"/>
        <v>6.7454379350679883E-3</v>
      </c>
      <c r="AE287" s="8">
        <f t="shared" si="38"/>
        <v>1.0444955607601217E-5</v>
      </c>
      <c r="AF287" s="2">
        <f t="shared" si="39"/>
        <v>-7.5014150196521902E-4</v>
      </c>
      <c r="AG287" s="8">
        <f t="shared" si="40"/>
        <v>7.6058645757282029E-4</v>
      </c>
      <c r="AH287" s="7">
        <f t="shared" si="41"/>
        <v>-0.98626723431162167</v>
      </c>
      <c r="AI287">
        <f t="shared" si="42"/>
        <v>8</v>
      </c>
      <c r="AJ287" s="10">
        <f t="shared" si="43"/>
        <v>4.8677533284660499E-2</v>
      </c>
    </row>
    <row r="288" spans="1:36" hidden="1" x14ac:dyDescent="0.25">
      <c r="A288" t="b">
        <v>0</v>
      </c>
      <c r="B288">
        <v>1000</v>
      </c>
      <c r="C288">
        <v>4.8677533284660499E-2</v>
      </c>
      <c r="D288" t="s">
        <v>52</v>
      </c>
      <c r="E288" t="b">
        <v>1</v>
      </c>
      <c r="F288" t="s">
        <v>53</v>
      </c>
      <c r="G288">
        <v>7.4999999999999997E-2</v>
      </c>
      <c r="H288">
        <v>0.5</v>
      </c>
      <c r="I288">
        <v>1E-4</v>
      </c>
      <c r="J288" t="b">
        <v>1</v>
      </c>
      <c r="K288">
        <v>8</v>
      </c>
      <c r="L288">
        <v>1500</v>
      </c>
      <c r="M288">
        <v>0.05</v>
      </c>
      <c r="N288">
        <v>0.154</v>
      </c>
      <c r="O288" t="s">
        <v>227</v>
      </c>
      <c r="P288" t="s">
        <v>230</v>
      </c>
      <c r="Q288">
        <v>-3.6195633151558102E-4</v>
      </c>
      <c r="R288">
        <v>7.0972932511595404E-3</v>
      </c>
      <c r="S288">
        <v>1.8584516371310999E-3</v>
      </c>
      <c r="T288">
        <v>-3.9657741329314503E-2</v>
      </c>
      <c r="U288">
        <v>7.9913822538246597</v>
      </c>
      <c r="V288" s="1">
        <v>9.9999999999999905E-15</v>
      </c>
      <c r="W288">
        <v>1.3152400977841301</v>
      </c>
      <c r="X288">
        <v>2.4999999999999898</v>
      </c>
      <c r="Y288">
        <v>60.259502078345697</v>
      </c>
      <c r="Z288">
        <v>0.499999999999999</v>
      </c>
      <c r="AA288">
        <v>108.595519497095</v>
      </c>
      <c r="AB288" s="9">
        <f t="shared" si="35"/>
        <v>-0.33342390831708646</v>
      </c>
      <c r="AC288" s="9">
        <f t="shared" si="36"/>
        <v>-0.33561335854974927</v>
      </c>
      <c r="AD288" s="2">
        <f t="shared" si="37"/>
        <v>6.5665663980540856E-3</v>
      </c>
      <c r="AE288" s="8">
        <f t="shared" si="38"/>
        <v>3.0192572814972706E-5</v>
      </c>
      <c r="AF288" s="2">
        <f t="shared" si="39"/>
        <v>-7.3039388475784758E-4</v>
      </c>
      <c r="AG288" s="8">
        <f t="shared" si="40"/>
        <v>7.6058645757282029E-4</v>
      </c>
      <c r="AH288" s="7">
        <f t="shared" si="41"/>
        <v>-0.96030356244926696</v>
      </c>
      <c r="AI288">
        <f t="shared" si="42"/>
        <v>8</v>
      </c>
      <c r="AJ288" s="10">
        <f t="shared" si="43"/>
        <v>4.8677533284660499E-2</v>
      </c>
    </row>
    <row r="289" spans="1:36" hidden="1" x14ac:dyDescent="0.25">
      <c r="A289" t="b">
        <v>0</v>
      </c>
      <c r="B289">
        <v>1000</v>
      </c>
      <c r="C289">
        <v>4.8677533284660499E-2</v>
      </c>
      <c r="D289" t="s">
        <v>52</v>
      </c>
      <c r="E289" t="b">
        <v>1</v>
      </c>
      <c r="F289" t="s">
        <v>53</v>
      </c>
      <c r="G289">
        <v>7.4999999999999997E-2</v>
      </c>
      <c r="H289">
        <v>0.5</v>
      </c>
      <c r="I289">
        <v>1E-4</v>
      </c>
      <c r="J289" t="b">
        <v>1</v>
      </c>
      <c r="K289">
        <v>8</v>
      </c>
      <c r="L289">
        <v>1500</v>
      </c>
      <c r="M289">
        <v>0.05</v>
      </c>
      <c r="N289">
        <v>0.154</v>
      </c>
      <c r="O289" t="s">
        <v>227</v>
      </c>
      <c r="P289" t="s">
        <v>231</v>
      </c>
      <c r="Q289">
        <v>-7.2403912849872002E-4</v>
      </c>
      <c r="R289">
        <v>1.42516128111477E-2</v>
      </c>
      <c r="S289">
        <v>3.7167024366548899E-3</v>
      </c>
      <c r="T289">
        <v>-7.9284272898694205E-2</v>
      </c>
      <c r="U289">
        <v>7.9876597926578503</v>
      </c>
      <c r="V289" s="1">
        <v>9.9999999999999795E-15</v>
      </c>
      <c r="W289">
        <v>1.3025112761547999</v>
      </c>
      <c r="X289">
        <v>2.4999999999999898</v>
      </c>
      <c r="Y289">
        <v>60.7304451716697</v>
      </c>
      <c r="Z289">
        <v>0.499999999999999</v>
      </c>
      <c r="AA289">
        <v>108.90789650957799</v>
      </c>
      <c r="AB289" s="9">
        <f t="shared" si="35"/>
        <v>-0.33331071969190462</v>
      </c>
      <c r="AC289" s="9">
        <f t="shared" si="36"/>
        <v>-0.33561335854974927</v>
      </c>
      <c r="AD289" s="2">
        <f t="shared" si="37"/>
        <v>6.9083852447742178E-3</v>
      </c>
      <c r="AE289" s="8">
        <f t="shared" si="38"/>
        <v>-7.5378236570232568E-6</v>
      </c>
      <c r="AF289" s="2">
        <f t="shared" si="39"/>
        <v>-7.6812428122984358E-4</v>
      </c>
      <c r="AG289" s="8">
        <f t="shared" si="40"/>
        <v>7.6058645757282029E-4</v>
      </c>
      <c r="AH289" s="7">
        <f t="shared" si="41"/>
        <v>-1.0099105415064553</v>
      </c>
      <c r="AI289">
        <f t="shared" si="42"/>
        <v>8</v>
      </c>
      <c r="AJ289" s="10">
        <f t="shared" si="43"/>
        <v>4.8677533284660499E-2</v>
      </c>
    </row>
    <row r="290" spans="1:36" hidden="1" x14ac:dyDescent="0.25">
      <c r="A290" t="b">
        <v>0</v>
      </c>
      <c r="B290">
        <v>1000</v>
      </c>
      <c r="C290">
        <v>4.8677533284660499E-2</v>
      </c>
      <c r="D290" t="s">
        <v>52</v>
      </c>
      <c r="E290" t="b">
        <v>1</v>
      </c>
      <c r="F290" t="s">
        <v>53</v>
      </c>
      <c r="G290">
        <v>7.4999999999999997E-2</v>
      </c>
      <c r="H290">
        <v>0.5</v>
      </c>
      <c r="I290">
        <v>1E-4</v>
      </c>
      <c r="J290" t="b">
        <v>1</v>
      </c>
      <c r="K290">
        <v>8</v>
      </c>
      <c r="L290">
        <v>1500</v>
      </c>
      <c r="M290">
        <v>0.05</v>
      </c>
      <c r="N290">
        <v>0.154</v>
      </c>
      <c r="O290" t="s">
        <v>228</v>
      </c>
      <c r="P290" t="s">
        <v>230</v>
      </c>
      <c r="Q290" s="1">
        <v>-1E-10</v>
      </c>
      <c r="R290" s="1">
        <v>3.5857859632426199E-12</v>
      </c>
      <c r="S290" s="1">
        <v>-3.6562742044853499E-18</v>
      </c>
      <c r="T290" s="1">
        <v>4.1796971152370502E-16</v>
      </c>
      <c r="U290">
        <v>7.9876603312507504</v>
      </c>
      <c r="V290">
        <v>0</v>
      </c>
      <c r="W290">
        <v>6.8474548856131204E-2</v>
      </c>
      <c r="X290">
        <v>2</v>
      </c>
      <c r="Y290">
        <v>4.0005664488535599E-3</v>
      </c>
      <c r="Z290">
        <v>2.5000000000000001E-4</v>
      </c>
      <c r="AA290">
        <v>4.7933530230590098E-3</v>
      </c>
      <c r="AB290" s="9">
        <f t="shared" si="35"/>
        <v>-1.7861835238030652</v>
      </c>
      <c r="AC290" s="9">
        <f t="shared" si="36"/>
        <v>-0.33561335854974927</v>
      </c>
      <c r="AD290" s="2">
        <f t="shared" si="37"/>
        <v>-0.8121058927723307</v>
      </c>
      <c r="AE290" s="8">
        <f t="shared" si="38"/>
        <v>0.93904945824918751</v>
      </c>
      <c r="AF290" s="2">
        <f t="shared" si="39"/>
        <v>0.93828887179161469</v>
      </c>
      <c r="AG290" s="8">
        <f t="shared" si="40"/>
        <v>7.6058645757282029E-4</v>
      </c>
      <c r="AH290" s="7">
        <f t="shared" si="41"/>
        <v>1233.638677693365</v>
      </c>
      <c r="AI290">
        <f t="shared" si="42"/>
        <v>8</v>
      </c>
      <c r="AJ290" s="10">
        <f t="shared" si="43"/>
        <v>4.8677533284660499E-2</v>
      </c>
    </row>
    <row r="291" spans="1:36" hidden="1" x14ac:dyDescent="0.25">
      <c r="A291" t="b">
        <v>0</v>
      </c>
      <c r="B291">
        <v>1000</v>
      </c>
      <c r="C291">
        <v>4.8677533284660499E-2</v>
      </c>
      <c r="D291" t="s">
        <v>52</v>
      </c>
      <c r="E291" t="b">
        <v>1</v>
      </c>
      <c r="F291" t="s">
        <v>53</v>
      </c>
      <c r="G291">
        <v>7.4999999999999997E-2</v>
      </c>
      <c r="H291">
        <v>0.5</v>
      </c>
      <c r="I291">
        <v>1E-4</v>
      </c>
      <c r="J291" t="b">
        <v>1</v>
      </c>
      <c r="K291">
        <v>8</v>
      </c>
      <c r="L291">
        <v>1500</v>
      </c>
      <c r="M291">
        <v>0.05</v>
      </c>
      <c r="N291">
        <v>0.154</v>
      </c>
      <c r="O291" t="s">
        <v>228</v>
      </c>
      <c r="P291" t="s">
        <v>231</v>
      </c>
      <c r="Q291">
        <v>-3.62082796984813E-4</v>
      </c>
      <c r="R291">
        <v>7.0533927253333198E-3</v>
      </c>
      <c r="S291">
        <v>1.85825079952377E-3</v>
      </c>
      <c r="T291">
        <v>-3.9626531569379397E-2</v>
      </c>
      <c r="U291">
        <v>7.9839378700839303</v>
      </c>
      <c r="V291" s="1">
        <v>9.9999999999999905E-15</v>
      </c>
      <c r="W291">
        <v>1.3036856610201699</v>
      </c>
      <c r="X291">
        <v>2.4999999999999898</v>
      </c>
      <c r="Y291">
        <v>59.935485420721697</v>
      </c>
      <c r="Z291">
        <v>0.499999999999999</v>
      </c>
      <c r="AA291">
        <v>107.859509242673</v>
      </c>
      <c r="AB291" s="9">
        <f t="shared" si="35"/>
        <v>-0.33319751883342752</v>
      </c>
      <c r="AC291" s="9">
        <f t="shared" si="36"/>
        <v>-0.33561335854974927</v>
      </c>
      <c r="AD291" s="2">
        <f t="shared" si="37"/>
        <v>7.250473307184091E-3</v>
      </c>
      <c r="AE291" s="8">
        <f t="shared" si="38"/>
        <v>-4.5269450552675324E-5</v>
      </c>
      <c r="AF291" s="2">
        <f t="shared" si="39"/>
        <v>-8.0585590812549566E-4</v>
      </c>
      <c r="AG291" s="8">
        <f t="shared" si="40"/>
        <v>7.6058645757282029E-4</v>
      </c>
      <c r="AH291" s="7">
        <f t="shared" si="41"/>
        <v>-1.0595191382938096</v>
      </c>
      <c r="AI291">
        <f t="shared" si="42"/>
        <v>8</v>
      </c>
      <c r="AJ291" s="10">
        <f t="shared" si="43"/>
        <v>4.8677533284660499E-2</v>
      </c>
    </row>
    <row r="292" spans="1:36" hidden="1" x14ac:dyDescent="0.25">
      <c r="A292" t="b">
        <v>0</v>
      </c>
      <c r="B292">
        <v>1000</v>
      </c>
      <c r="C292">
        <v>4.8677533284660499E-2</v>
      </c>
      <c r="D292" t="s">
        <v>52</v>
      </c>
      <c r="E292" t="b">
        <v>1</v>
      </c>
      <c r="F292" t="s">
        <v>53</v>
      </c>
      <c r="G292">
        <v>7.4999999999999997E-2</v>
      </c>
      <c r="H292">
        <v>0.5</v>
      </c>
      <c r="I292">
        <v>1E-4</v>
      </c>
      <c r="J292" t="b">
        <v>1</v>
      </c>
      <c r="K292">
        <v>8</v>
      </c>
      <c r="L292">
        <v>1500</v>
      </c>
      <c r="M292">
        <v>0.05</v>
      </c>
      <c r="N292">
        <v>0.154</v>
      </c>
      <c r="O292" t="s">
        <v>229</v>
      </c>
      <c r="P292" t="s">
        <v>230</v>
      </c>
      <c r="Q292" s="1">
        <v>-5.1789987898622798E-5</v>
      </c>
      <c r="R292">
        <v>1.0754898673596999E-3</v>
      </c>
      <c r="S292">
        <v>2.6610443478179501E-4</v>
      </c>
      <c r="T292">
        <v>-5.6844743693485302E-3</v>
      </c>
      <c r="U292">
        <v>7.9881940383367098</v>
      </c>
      <c r="V292" s="1">
        <v>9.99999999497045E-15</v>
      </c>
      <c r="W292">
        <v>1.37946509259621</v>
      </c>
      <c r="X292">
        <v>2.49999999999915</v>
      </c>
      <c r="Y292">
        <v>63.733976033847803</v>
      </c>
      <c r="Z292">
        <v>0.49999999999953099</v>
      </c>
      <c r="AA292">
        <v>115.00508254303</v>
      </c>
      <c r="AB292" s="9">
        <f t="shared" ref="AB292:AB355" si="44">T292/S292/K292^2</f>
        <v>-0.33377839829652933</v>
      </c>
      <c r="AC292" s="9">
        <f t="shared" ref="AC292:AC355" si="45">(1+10*C292/K292^2)/(-3-3*C292/K292^2)</f>
        <v>-0.33561335854974927</v>
      </c>
      <c r="AD292" s="2">
        <f t="shared" ref="AD292:AD355" si="46">(AC292/AB292-1)</f>
        <v>5.4975404717165777E-3</v>
      </c>
      <c r="AE292" s="8">
        <f t="shared" ref="AE292:AE355" si="47">-(1+3*AB292)/(10+3*AB292)</f>
        <v>1.4837700020005654E-4</v>
      </c>
      <c r="AF292" s="2">
        <f t="shared" ref="AF292:AF355" si="48">(AE292-C292/K292^2)</f>
        <v>-6.1220945737276375E-4</v>
      </c>
      <c r="AG292" s="8">
        <f t="shared" ref="AG292:AG355" si="49">C292/K292^2</f>
        <v>7.6058645757282029E-4</v>
      </c>
      <c r="AH292" s="7">
        <f t="shared" ref="AH292:AH355" si="50">AF292/AG292</f>
        <v>-0.80491764121917642</v>
      </c>
      <c r="AI292">
        <f t="shared" ref="AI292:AI355" si="51">K292</f>
        <v>8</v>
      </c>
      <c r="AJ292" s="10">
        <f t="shared" ref="AJ292:AJ355" si="52">C292</f>
        <v>4.8677533284660499E-2</v>
      </c>
    </row>
    <row r="293" spans="1:36" hidden="1" x14ac:dyDescent="0.25">
      <c r="A293" t="b">
        <v>0</v>
      </c>
      <c r="B293">
        <v>1000</v>
      </c>
      <c r="C293">
        <v>4.8677533284660499E-2</v>
      </c>
      <c r="D293" t="s">
        <v>52</v>
      </c>
      <c r="E293" t="b">
        <v>1</v>
      </c>
      <c r="F293" t="s">
        <v>53</v>
      </c>
      <c r="G293">
        <v>7.4999999999999997E-2</v>
      </c>
      <c r="H293">
        <v>0.5</v>
      </c>
      <c r="I293">
        <v>1E-4</v>
      </c>
      <c r="J293" t="b">
        <v>1</v>
      </c>
      <c r="K293">
        <v>8</v>
      </c>
      <c r="L293">
        <v>1500</v>
      </c>
      <c r="M293">
        <v>0.05</v>
      </c>
      <c r="N293">
        <v>0.154</v>
      </c>
      <c r="O293" t="s">
        <v>229</v>
      </c>
      <c r="P293" t="s">
        <v>231</v>
      </c>
      <c r="Q293">
        <v>-4.13872784957487E-4</v>
      </c>
      <c r="R293">
        <v>8.5600209860623895E-3</v>
      </c>
      <c r="S293">
        <v>2.1243552343055698E-3</v>
      </c>
      <c r="T293">
        <v>-4.5311005938728097E-2</v>
      </c>
      <c r="U293">
        <v>7.9844715771699004</v>
      </c>
      <c r="V293" s="1">
        <v>9.9999999999999905E-15</v>
      </c>
      <c r="W293">
        <v>1.39029629789031</v>
      </c>
      <c r="X293">
        <v>2.4999999999999898</v>
      </c>
      <c r="Y293">
        <v>63.251822228038201</v>
      </c>
      <c r="Z293">
        <v>0.499999999999999</v>
      </c>
      <c r="AA293">
        <v>114.636884865477</v>
      </c>
      <c r="AB293" s="9">
        <f t="shared" si="44"/>
        <v>-0.33327028189993818</v>
      </c>
      <c r="AC293" s="9">
        <f t="shared" si="45"/>
        <v>-0.33561335854974927</v>
      </c>
      <c r="AD293" s="2">
        <f t="shared" si="46"/>
        <v>7.0305598100539601E-3</v>
      </c>
      <c r="AE293" s="8">
        <f t="shared" si="47"/>
        <v>-2.1016702753978958E-5</v>
      </c>
      <c r="AF293" s="2">
        <f t="shared" si="48"/>
        <v>-7.8160316032679922E-4</v>
      </c>
      <c r="AG293" s="8">
        <f t="shared" si="49"/>
        <v>7.6058645757282029E-4</v>
      </c>
      <c r="AH293" s="7">
        <f t="shared" si="50"/>
        <v>-1.0276322337121901</v>
      </c>
      <c r="AI293">
        <f t="shared" si="51"/>
        <v>8</v>
      </c>
      <c r="AJ293" s="10">
        <f t="shared" si="52"/>
        <v>4.8677533284660499E-2</v>
      </c>
    </row>
    <row r="294" spans="1:36" hidden="1" x14ac:dyDescent="0.25">
      <c r="A294" t="b">
        <v>0</v>
      </c>
      <c r="B294">
        <v>1000</v>
      </c>
      <c r="C294">
        <v>4.8677533284660499E-2</v>
      </c>
      <c r="D294" t="s">
        <v>52</v>
      </c>
      <c r="E294" t="b">
        <v>1</v>
      </c>
      <c r="F294" t="s">
        <v>53</v>
      </c>
      <c r="G294">
        <v>7.4999999999999997E-2</v>
      </c>
      <c r="H294">
        <v>0.5</v>
      </c>
      <c r="I294">
        <v>1E-4</v>
      </c>
      <c r="J294" t="b">
        <v>1</v>
      </c>
      <c r="K294">
        <v>8</v>
      </c>
      <c r="L294">
        <v>1500</v>
      </c>
      <c r="M294">
        <v>0.05</v>
      </c>
      <c r="N294">
        <v>0.154</v>
      </c>
      <c r="O294" t="s">
        <v>230</v>
      </c>
      <c r="P294" t="s">
        <v>231</v>
      </c>
      <c r="Q294">
        <v>-3.6208279698481702E-4</v>
      </c>
      <c r="R294">
        <v>7.1630613120355702E-3</v>
      </c>
      <c r="S294">
        <v>1.85825079952378E-3</v>
      </c>
      <c r="T294">
        <v>-3.9626531569379703E-2</v>
      </c>
      <c r="U294">
        <v>7.9839378700832304</v>
      </c>
      <c r="V294" s="1">
        <v>9.9999999999999905E-15</v>
      </c>
      <c r="W294">
        <v>1.3171134400222799</v>
      </c>
      <c r="X294">
        <v>2.4999999999999898</v>
      </c>
      <c r="Y294">
        <v>60.892545868095503</v>
      </c>
      <c r="Z294">
        <v>0.499999999999999</v>
      </c>
      <c r="AA294">
        <v>109.51562178652399</v>
      </c>
      <c r="AB294" s="9">
        <f t="shared" si="44"/>
        <v>-0.3331975188334283</v>
      </c>
      <c r="AC294" s="9">
        <f t="shared" si="45"/>
        <v>-0.33561335854974927</v>
      </c>
      <c r="AD294" s="2">
        <f t="shared" si="46"/>
        <v>7.2504733071818706E-3</v>
      </c>
      <c r="AE294" s="8">
        <f t="shared" si="47"/>
        <v>-4.5269450552416302E-5</v>
      </c>
      <c r="AF294" s="2">
        <f t="shared" si="48"/>
        <v>-8.0585590812523654E-4</v>
      </c>
      <c r="AG294" s="8">
        <f t="shared" si="49"/>
        <v>7.6058645757282029E-4</v>
      </c>
      <c r="AH294" s="7">
        <f t="shared" si="50"/>
        <v>-1.0595191382934688</v>
      </c>
      <c r="AI294">
        <f t="shared" si="51"/>
        <v>8</v>
      </c>
      <c r="AJ294" s="10">
        <f t="shared" si="52"/>
        <v>4.8677533284660499E-2</v>
      </c>
    </row>
    <row r="295" spans="1:36" hidden="1" x14ac:dyDescent="0.25">
      <c r="A295" t="b">
        <v>0</v>
      </c>
      <c r="B295">
        <v>1000</v>
      </c>
      <c r="C295">
        <v>4.8677533284681801E-2</v>
      </c>
      <c r="D295" t="s">
        <v>52</v>
      </c>
      <c r="E295" t="b">
        <v>1</v>
      </c>
      <c r="F295" t="s">
        <v>53</v>
      </c>
      <c r="G295">
        <v>7.4999999999999997E-2</v>
      </c>
      <c r="H295">
        <v>0.5</v>
      </c>
      <c r="I295">
        <v>1E-4</v>
      </c>
      <c r="J295" t="b">
        <v>1</v>
      </c>
      <c r="K295">
        <v>4</v>
      </c>
      <c r="L295">
        <v>1500</v>
      </c>
      <c r="M295">
        <v>0.05</v>
      </c>
      <c r="N295">
        <v>0.154</v>
      </c>
      <c r="O295" t="s">
        <v>232</v>
      </c>
      <c r="P295" t="s">
        <v>233</v>
      </c>
      <c r="Q295" s="1">
        <v>-1.95211661127266E-5</v>
      </c>
      <c r="R295" s="1">
        <v>3.9340575580028801E-5</v>
      </c>
      <c r="S295" s="1">
        <v>6.6750599932600895E-5</v>
      </c>
      <c r="T295">
        <v>-3.6408462985079297E-4</v>
      </c>
      <c r="U295">
        <v>4.0033755919499097</v>
      </c>
      <c r="V295" s="1">
        <v>9.9999999999999905E-15</v>
      </c>
      <c r="W295">
        <v>0.134873339861353</v>
      </c>
      <c r="X295">
        <v>2.4999999999999898</v>
      </c>
      <c r="Y295">
        <v>6.1611018493846199</v>
      </c>
      <c r="Z295">
        <v>0.49999999992883898</v>
      </c>
      <c r="AA295">
        <v>11.16913654625</v>
      </c>
      <c r="AB295" s="9">
        <f t="shared" si="44"/>
        <v>-0.34090014754400599</v>
      </c>
      <c r="AC295" s="9">
        <f t="shared" si="45"/>
        <v>-0.34243268744217975</v>
      </c>
      <c r="AD295" s="2">
        <f t="shared" si="46"/>
        <v>4.4955683041350003E-3</v>
      </c>
      <c r="AE295" s="8">
        <f t="shared" si="47"/>
        <v>2.5286493434862659E-3</v>
      </c>
      <c r="AF295" s="2">
        <f t="shared" si="48"/>
        <v>-5.1369648680634665E-4</v>
      </c>
      <c r="AG295" s="8">
        <f t="shared" si="49"/>
        <v>3.0423458302926126E-3</v>
      </c>
      <c r="AH295" s="7">
        <f t="shared" si="50"/>
        <v>-0.16884881452051734</v>
      </c>
      <c r="AI295">
        <f t="shared" si="51"/>
        <v>4</v>
      </c>
      <c r="AJ295" s="10">
        <f t="shared" si="52"/>
        <v>4.8677533284681801E-2</v>
      </c>
    </row>
    <row r="296" spans="1:36" hidden="1" x14ac:dyDescent="0.25">
      <c r="A296" t="b">
        <v>0</v>
      </c>
      <c r="B296">
        <v>1000</v>
      </c>
      <c r="C296">
        <v>4.8677533284681801E-2</v>
      </c>
      <c r="D296" t="s">
        <v>52</v>
      </c>
      <c r="E296" t="b">
        <v>1</v>
      </c>
      <c r="F296" t="s">
        <v>53</v>
      </c>
      <c r="G296">
        <v>7.4999999999999997E-2</v>
      </c>
      <c r="H296">
        <v>0.5</v>
      </c>
      <c r="I296">
        <v>1E-4</v>
      </c>
      <c r="J296" t="b">
        <v>1</v>
      </c>
      <c r="K296">
        <v>4</v>
      </c>
      <c r="L296">
        <v>1500</v>
      </c>
      <c r="M296">
        <v>0.05</v>
      </c>
      <c r="N296">
        <v>0.154</v>
      </c>
      <c r="O296" t="s">
        <v>232</v>
      </c>
      <c r="P296" t="s">
        <v>234</v>
      </c>
      <c r="Q296">
        <v>-1.56056459158595E-4</v>
      </c>
      <c r="R296">
        <v>3.1384771522273799E-4</v>
      </c>
      <c r="S296">
        <v>5.3359067071324896E-4</v>
      </c>
      <c r="T296">
        <v>-2.9090779769670901E-3</v>
      </c>
      <c r="U296">
        <v>4.0028987431314196</v>
      </c>
      <c r="V296" s="1">
        <v>9.9999999999995693E-15</v>
      </c>
      <c r="W296">
        <v>0.135797489780732</v>
      </c>
      <c r="X296">
        <v>2.4999999999999898</v>
      </c>
      <c r="Y296">
        <v>6.1320549321913997</v>
      </c>
      <c r="Z296">
        <v>0.49999999951892798</v>
      </c>
      <c r="AA296">
        <v>11.1530796118571</v>
      </c>
      <c r="AB296" s="9">
        <f t="shared" si="44"/>
        <v>-0.34074316426373874</v>
      </c>
      <c r="AC296" s="9">
        <f t="shared" si="45"/>
        <v>-0.34243268744217975</v>
      </c>
      <c r="AD296" s="2">
        <f t="shared" si="46"/>
        <v>4.9583479747616899E-3</v>
      </c>
      <c r="AE296" s="8">
        <f t="shared" si="47"/>
        <v>2.4760593705716503E-3</v>
      </c>
      <c r="AF296" s="2">
        <f t="shared" si="48"/>
        <v>-5.662864597209623E-4</v>
      </c>
      <c r="AG296" s="8">
        <f t="shared" si="49"/>
        <v>3.0423458302926126E-3</v>
      </c>
      <c r="AH296" s="7">
        <f t="shared" si="50"/>
        <v>-0.18613480889728334</v>
      </c>
      <c r="AI296">
        <f t="shared" si="51"/>
        <v>4</v>
      </c>
      <c r="AJ296" s="10">
        <f t="shared" si="52"/>
        <v>4.8677533284681801E-2</v>
      </c>
    </row>
    <row r="297" spans="1:36" hidden="1" x14ac:dyDescent="0.25">
      <c r="A297" t="b">
        <v>0</v>
      </c>
      <c r="B297">
        <v>1000</v>
      </c>
      <c r="C297">
        <v>4.8677533284681801E-2</v>
      </c>
      <c r="D297" t="s">
        <v>52</v>
      </c>
      <c r="E297" t="b">
        <v>1</v>
      </c>
      <c r="F297" t="s">
        <v>53</v>
      </c>
      <c r="G297">
        <v>7.4999999999999997E-2</v>
      </c>
      <c r="H297">
        <v>0.5</v>
      </c>
      <c r="I297">
        <v>1E-4</v>
      </c>
      <c r="J297" t="b">
        <v>1</v>
      </c>
      <c r="K297">
        <v>4</v>
      </c>
      <c r="L297">
        <v>1500</v>
      </c>
      <c r="M297">
        <v>0.05</v>
      </c>
      <c r="N297">
        <v>0.154</v>
      </c>
      <c r="O297" t="s">
        <v>232</v>
      </c>
      <c r="P297" t="s">
        <v>235</v>
      </c>
      <c r="Q297" s="1">
        <v>-1.9521166112728798E-5</v>
      </c>
      <c r="R297" s="1">
        <v>3.9320382520186102E-5</v>
      </c>
      <c r="S297" s="1">
        <v>6.6750599932605706E-5</v>
      </c>
      <c r="T297">
        <v>-3.6408462985085401E-4</v>
      </c>
      <c r="U297">
        <v>4.0033755919437803</v>
      </c>
      <c r="V297" s="1">
        <v>9.9999999999999905E-15</v>
      </c>
      <c r="W297">
        <v>0.13574769501982301</v>
      </c>
      <c r="X297">
        <v>2.4999999999999898</v>
      </c>
      <c r="Y297">
        <v>6.1440150571144496</v>
      </c>
      <c r="Z297">
        <v>0.49999999992884298</v>
      </c>
      <c r="AA297">
        <v>11.169350854835301</v>
      </c>
      <c r="AB297" s="9">
        <f t="shared" si="44"/>
        <v>-0.34090014754403858</v>
      </c>
      <c r="AC297" s="9">
        <f t="shared" si="45"/>
        <v>-0.34243268744217975</v>
      </c>
      <c r="AD297" s="2">
        <f t="shared" si="46"/>
        <v>4.495568304038855E-3</v>
      </c>
      <c r="AE297" s="8">
        <f t="shared" si="47"/>
        <v>2.5286493434971765E-3</v>
      </c>
      <c r="AF297" s="2">
        <f t="shared" si="48"/>
        <v>-5.1369648679543611E-4</v>
      </c>
      <c r="AG297" s="8">
        <f t="shared" si="49"/>
        <v>3.0423458302926126E-3</v>
      </c>
      <c r="AH297" s="7">
        <f t="shared" si="50"/>
        <v>-0.16884881451693112</v>
      </c>
      <c r="AI297">
        <f t="shared" si="51"/>
        <v>4</v>
      </c>
      <c r="AJ297" s="10">
        <f t="shared" si="52"/>
        <v>4.8677533284681801E-2</v>
      </c>
    </row>
    <row r="298" spans="1:36" hidden="1" x14ac:dyDescent="0.25">
      <c r="A298" t="b">
        <v>0</v>
      </c>
      <c r="B298">
        <v>1000</v>
      </c>
      <c r="C298">
        <v>4.8677533284681801E-2</v>
      </c>
      <c r="D298" t="s">
        <v>52</v>
      </c>
      <c r="E298" t="b">
        <v>1</v>
      </c>
      <c r="F298" t="s">
        <v>53</v>
      </c>
      <c r="G298">
        <v>7.4999999999999997E-2</v>
      </c>
      <c r="H298">
        <v>0.5</v>
      </c>
      <c r="I298">
        <v>1E-4</v>
      </c>
      <c r="J298" t="b">
        <v>1</v>
      </c>
      <c r="K298">
        <v>4</v>
      </c>
      <c r="L298">
        <v>1500</v>
      </c>
      <c r="M298">
        <v>0.05</v>
      </c>
      <c r="N298">
        <v>0.154</v>
      </c>
      <c r="O298" t="s">
        <v>232</v>
      </c>
      <c r="P298" t="s">
        <v>236</v>
      </c>
      <c r="Q298" s="1">
        <v>-3.9042331553838498E-5</v>
      </c>
      <c r="R298" s="1">
        <v>7.8154821703905897E-5</v>
      </c>
      <c r="S298">
        <v>1.3350113002802899E-4</v>
      </c>
      <c r="T298">
        <v>-7.2816566375323696E-4</v>
      </c>
      <c r="U298">
        <v>4.00330738198641</v>
      </c>
      <c r="V298" s="1">
        <v>9.9999999999998801E-15</v>
      </c>
      <c r="W298">
        <v>0.13378238453678301</v>
      </c>
      <c r="X298">
        <v>2.4999999999999898</v>
      </c>
      <c r="Y298">
        <v>6.1271691675753397</v>
      </c>
      <c r="Z298">
        <v>0.49999999975464399</v>
      </c>
      <c r="AA298">
        <v>11.091547133873499</v>
      </c>
      <c r="AB298" s="9">
        <f t="shared" si="44"/>
        <v>-0.34089864239368062</v>
      </c>
      <c r="AC298" s="9">
        <f t="shared" si="45"/>
        <v>-0.34243268744217975</v>
      </c>
      <c r="AD298" s="2">
        <f t="shared" si="46"/>
        <v>4.5000033961049013E-3</v>
      </c>
      <c r="AE298" s="8">
        <f t="shared" si="47"/>
        <v>2.5281450864251629E-3</v>
      </c>
      <c r="AF298" s="2">
        <f t="shared" si="48"/>
        <v>-5.1420074386744966E-4</v>
      </c>
      <c r="AG298" s="8">
        <f t="shared" si="49"/>
        <v>3.0423458302926126E-3</v>
      </c>
      <c r="AH298" s="7">
        <f t="shared" si="50"/>
        <v>-0.16901456065499099</v>
      </c>
      <c r="AI298">
        <f t="shared" si="51"/>
        <v>4</v>
      </c>
      <c r="AJ298" s="10">
        <f t="shared" si="52"/>
        <v>4.8677533284681801E-2</v>
      </c>
    </row>
    <row r="299" spans="1:36" hidden="1" x14ac:dyDescent="0.25">
      <c r="A299" t="b">
        <v>0</v>
      </c>
      <c r="B299">
        <v>1000</v>
      </c>
      <c r="C299">
        <v>4.8677533284681801E-2</v>
      </c>
      <c r="D299" t="s">
        <v>52</v>
      </c>
      <c r="E299" t="b">
        <v>1</v>
      </c>
      <c r="F299" t="s">
        <v>53</v>
      </c>
      <c r="G299">
        <v>7.4999999999999997E-2</v>
      </c>
      <c r="H299">
        <v>0.5</v>
      </c>
      <c r="I299">
        <v>1E-4</v>
      </c>
      <c r="J299" t="b">
        <v>1</v>
      </c>
      <c r="K299">
        <v>4</v>
      </c>
      <c r="L299">
        <v>1500</v>
      </c>
      <c r="M299">
        <v>0.05</v>
      </c>
      <c r="N299">
        <v>0.154</v>
      </c>
      <c r="O299" t="s">
        <v>232</v>
      </c>
      <c r="P299" t="s">
        <v>237</v>
      </c>
      <c r="Q299">
        <v>-1.7557762002416499E-4</v>
      </c>
      <c r="R299">
        <v>3.22283819144157E-4</v>
      </c>
      <c r="S299">
        <v>6.0034071264152499E-4</v>
      </c>
      <c r="T299">
        <v>-3.2731338771598401E-3</v>
      </c>
      <c r="U299">
        <v>4.0028305216274598</v>
      </c>
      <c r="V299" s="1">
        <v>9.9999999999995503E-15</v>
      </c>
      <c r="W299">
        <v>0.122422582385489</v>
      </c>
      <c r="X299">
        <v>2.4999999999999898</v>
      </c>
      <c r="Y299">
        <v>5.6579847890569299</v>
      </c>
      <c r="Z299">
        <v>0.49999999951271001</v>
      </c>
      <c r="AA299">
        <v>10.159702188374499</v>
      </c>
      <c r="AB299" s="9">
        <f t="shared" si="44"/>
        <v>-0.34075794463841935</v>
      </c>
      <c r="AC299" s="9">
        <f t="shared" si="45"/>
        <v>-0.34243268744217975</v>
      </c>
      <c r="AD299" s="2">
        <f t="shared" si="46"/>
        <v>4.9147579098631766E-3</v>
      </c>
      <c r="AE299" s="8">
        <f t="shared" si="47"/>
        <v>2.4810106148483407E-3</v>
      </c>
      <c r="AF299" s="2">
        <f t="shared" si="48"/>
        <v>-5.6133521544427184E-4</v>
      </c>
      <c r="AG299" s="8">
        <f t="shared" si="49"/>
        <v>3.0423458302926126E-3</v>
      </c>
      <c r="AH299" s="7">
        <f t="shared" si="50"/>
        <v>-0.18450736594606099</v>
      </c>
      <c r="AI299">
        <f t="shared" si="51"/>
        <v>4</v>
      </c>
      <c r="AJ299" s="10">
        <f t="shared" si="52"/>
        <v>4.8677533284681801E-2</v>
      </c>
    </row>
    <row r="300" spans="1:36" hidden="1" x14ac:dyDescent="0.25">
      <c r="A300" t="b">
        <v>0</v>
      </c>
      <c r="B300">
        <v>1000</v>
      </c>
      <c r="C300">
        <v>4.8677533284681801E-2</v>
      </c>
      <c r="D300" t="s">
        <v>52</v>
      </c>
      <c r="E300" t="b">
        <v>1</v>
      </c>
      <c r="F300" t="s">
        <v>53</v>
      </c>
      <c r="G300">
        <v>7.4999999999999997E-2</v>
      </c>
      <c r="H300">
        <v>0.5</v>
      </c>
      <c r="I300">
        <v>1E-4</v>
      </c>
      <c r="J300" t="b">
        <v>1</v>
      </c>
      <c r="K300">
        <v>4</v>
      </c>
      <c r="L300">
        <v>1500</v>
      </c>
      <c r="M300">
        <v>0.05</v>
      </c>
      <c r="N300">
        <v>0.154</v>
      </c>
      <c r="O300" t="s">
        <v>232</v>
      </c>
      <c r="P300" t="s">
        <v>238</v>
      </c>
      <c r="Q300">
        <v>-1.5605645915858099E-4</v>
      </c>
      <c r="R300">
        <v>3.0903512163150401E-4</v>
      </c>
      <c r="S300">
        <v>5.3359067071324299E-4</v>
      </c>
      <c r="T300">
        <v>-2.9090779769668298E-3</v>
      </c>
      <c r="U300">
        <v>4.00289874313086</v>
      </c>
      <c r="V300" s="1">
        <v>9.9999999999995598E-15</v>
      </c>
      <c r="W300">
        <v>0.13355442491862701</v>
      </c>
      <c r="X300">
        <v>2.4999999999999898</v>
      </c>
      <c r="Y300">
        <v>6.04626865059931</v>
      </c>
      <c r="Z300">
        <v>0.49999999951893498</v>
      </c>
      <c r="AA300">
        <v>10.979462748565499</v>
      </c>
      <c r="AB300" s="9">
        <f t="shared" si="44"/>
        <v>-0.34074316426371209</v>
      </c>
      <c r="AC300" s="9">
        <f t="shared" si="45"/>
        <v>-0.34243268744217975</v>
      </c>
      <c r="AD300" s="2">
        <f t="shared" si="46"/>
        <v>4.9583479748402937E-3</v>
      </c>
      <c r="AE300" s="8">
        <f t="shared" si="47"/>
        <v>2.4760593705627251E-3</v>
      </c>
      <c r="AF300" s="2">
        <f t="shared" si="48"/>
        <v>-5.6628645972988745E-4</v>
      </c>
      <c r="AG300" s="8">
        <f t="shared" si="49"/>
        <v>3.0423458302926126E-3</v>
      </c>
      <c r="AH300" s="7">
        <f t="shared" si="50"/>
        <v>-0.186134808900217</v>
      </c>
      <c r="AI300">
        <f t="shared" si="51"/>
        <v>4</v>
      </c>
      <c r="AJ300" s="10">
        <f t="shared" si="52"/>
        <v>4.8677533284681801E-2</v>
      </c>
    </row>
    <row r="301" spans="1:36" hidden="1" x14ac:dyDescent="0.25">
      <c r="A301" t="b">
        <v>0</v>
      </c>
      <c r="B301">
        <v>1000</v>
      </c>
      <c r="C301">
        <v>4.8677533284681801E-2</v>
      </c>
      <c r="D301" t="s">
        <v>52</v>
      </c>
      <c r="E301" t="b">
        <v>1</v>
      </c>
      <c r="F301" t="s">
        <v>53</v>
      </c>
      <c r="G301">
        <v>7.4999999999999997E-2</v>
      </c>
      <c r="H301">
        <v>0.5</v>
      </c>
      <c r="I301">
        <v>1E-4</v>
      </c>
      <c r="J301" t="b">
        <v>1</v>
      </c>
      <c r="K301">
        <v>4</v>
      </c>
      <c r="L301">
        <v>1500</v>
      </c>
      <c r="M301">
        <v>0.05</v>
      </c>
      <c r="N301">
        <v>0.154</v>
      </c>
      <c r="O301" t="s">
        <v>232</v>
      </c>
      <c r="P301" t="s">
        <v>239</v>
      </c>
      <c r="Q301">
        <v>-1.7557762002415699E-4</v>
      </c>
      <c r="R301">
        <v>3.1722464684680801E-4</v>
      </c>
      <c r="S301">
        <v>6.0034071264152E-4</v>
      </c>
      <c r="T301">
        <v>-3.2731338771597499E-3</v>
      </c>
      <c r="U301">
        <v>4.0028305216272697</v>
      </c>
      <c r="V301" s="1">
        <v>9.9999999999995503E-15</v>
      </c>
      <c r="W301">
        <v>0.11945555797412601</v>
      </c>
      <c r="X301">
        <v>2.4999999999999898</v>
      </c>
      <c r="Y301">
        <v>5.5915918997090701</v>
      </c>
      <c r="Z301">
        <v>0.499999999512727</v>
      </c>
      <c r="AA301">
        <v>9.9919444213388608</v>
      </c>
      <c r="AB301" s="9">
        <f t="shared" si="44"/>
        <v>-0.3407579446384128</v>
      </c>
      <c r="AC301" s="9">
        <f t="shared" si="45"/>
        <v>-0.34243268744217975</v>
      </c>
      <c r="AD301" s="2">
        <f t="shared" si="46"/>
        <v>4.9147579098824945E-3</v>
      </c>
      <c r="AE301" s="8">
        <f t="shared" si="47"/>
        <v>2.4810106148461593E-3</v>
      </c>
      <c r="AF301" s="2">
        <f t="shared" si="48"/>
        <v>-5.6133521544645326E-4</v>
      </c>
      <c r="AG301" s="8">
        <f t="shared" si="49"/>
        <v>3.0423458302926126E-3</v>
      </c>
      <c r="AH301" s="7">
        <f t="shared" si="50"/>
        <v>-0.18450736594677802</v>
      </c>
      <c r="AI301">
        <f t="shared" si="51"/>
        <v>4</v>
      </c>
      <c r="AJ301" s="10">
        <f t="shared" si="52"/>
        <v>4.8677533284681801E-2</v>
      </c>
    </row>
    <row r="302" spans="1:36" hidden="1" x14ac:dyDescent="0.25">
      <c r="A302" t="b">
        <v>0</v>
      </c>
      <c r="B302">
        <v>1000</v>
      </c>
      <c r="C302">
        <v>4.8677533284681801E-2</v>
      </c>
      <c r="D302" t="s">
        <v>52</v>
      </c>
      <c r="E302" t="b">
        <v>1</v>
      </c>
      <c r="F302" t="s">
        <v>53</v>
      </c>
      <c r="G302">
        <v>7.4999999999999997E-2</v>
      </c>
      <c r="H302">
        <v>0.5</v>
      </c>
      <c r="I302">
        <v>1E-4</v>
      </c>
      <c r="J302" t="b">
        <v>1</v>
      </c>
      <c r="K302">
        <v>4</v>
      </c>
      <c r="L302">
        <v>1500</v>
      </c>
      <c r="M302">
        <v>0.05</v>
      </c>
      <c r="N302">
        <v>0.154</v>
      </c>
      <c r="O302" t="s">
        <v>232</v>
      </c>
      <c r="P302" t="s">
        <v>240</v>
      </c>
      <c r="Q302">
        <v>-3.1211287708949101E-4</v>
      </c>
      <c r="R302">
        <v>6.3558946573291305E-4</v>
      </c>
      <c r="S302">
        <v>1.0671768829298199E-3</v>
      </c>
      <c r="T302">
        <v>-5.8179264197118904E-3</v>
      </c>
      <c r="U302">
        <v>4.0023535805307997</v>
      </c>
      <c r="V302" s="1">
        <v>9.9999999999999905E-15</v>
      </c>
      <c r="W302">
        <v>0.13693983174400601</v>
      </c>
      <c r="X302">
        <v>2.4999999999999898</v>
      </c>
      <c r="Y302">
        <v>6.2119133157542796</v>
      </c>
      <c r="Z302">
        <v>0.499999999999999</v>
      </c>
      <c r="AA302">
        <v>11.291511420709799</v>
      </c>
      <c r="AB302" s="9">
        <f t="shared" si="44"/>
        <v>-0.34073114499417589</v>
      </c>
      <c r="AC302" s="9">
        <f t="shared" si="45"/>
        <v>-0.34243268744217975</v>
      </c>
      <c r="AD302" s="2">
        <f t="shared" si="46"/>
        <v>4.9937978168475006E-3</v>
      </c>
      <c r="AE302" s="8">
        <f t="shared" si="47"/>
        <v>2.4720330987087259E-3</v>
      </c>
      <c r="AF302" s="2">
        <f t="shared" si="48"/>
        <v>-5.7031273158388669E-4</v>
      </c>
      <c r="AG302" s="8">
        <f t="shared" si="49"/>
        <v>3.0423458302926126E-3</v>
      </c>
      <c r="AH302" s="7">
        <f t="shared" si="50"/>
        <v>-0.18745821921534608</v>
      </c>
      <c r="AI302">
        <f t="shared" si="51"/>
        <v>4</v>
      </c>
      <c r="AJ302" s="10">
        <f t="shared" si="52"/>
        <v>4.8677533284681801E-2</v>
      </c>
    </row>
    <row r="303" spans="1:36" hidden="1" x14ac:dyDescent="0.25">
      <c r="A303" t="b">
        <v>0</v>
      </c>
      <c r="B303">
        <v>1000</v>
      </c>
      <c r="C303">
        <v>4.8677533284681801E-2</v>
      </c>
      <c r="D303" t="s">
        <v>52</v>
      </c>
      <c r="E303" t="b">
        <v>1</v>
      </c>
      <c r="F303" t="s">
        <v>53</v>
      </c>
      <c r="G303">
        <v>7.4999999999999997E-2</v>
      </c>
      <c r="H303">
        <v>0.5</v>
      </c>
      <c r="I303">
        <v>1E-4</v>
      </c>
      <c r="J303" t="b">
        <v>1</v>
      </c>
      <c r="K303">
        <v>4</v>
      </c>
      <c r="L303">
        <v>1500</v>
      </c>
      <c r="M303">
        <v>0.05</v>
      </c>
      <c r="N303">
        <v>0.154</v>
      </c>
      <c r="O303" t="s">
        <v>233</v>
      </c>
      <c r="P303" t="s">
        <v>234</v>
      </c>
      <c r="Q303">
        <v>-1.3653529307033999E-4</v>
      </c>
      <c r="R303">
        <v>2.9642171450575599E-4</v>
      </c>
      <c r="S303">
        <v>4.6684007078064398E-4</v>
      </c>
      <c r="T303">
        <v>-2.5449933471161602E-3</v>
      </c>
      <c r="U303">
        <v>4.0028305348269102</v>
      </c>
      <c r="V303" s="1">
        <v>9.9999999999995803E-15</v>
      </c>
      <c r="W303">
        <v>0.14593276645876399</v>
      </c>
      <c r="X303">
        <v>2.4999999999999898</v>
      </c>
      <c r="Y303">
        <v>6.5952016646747298</v>
      </c>
      <c r="Z303">
        <v>0.49999999952482799</v>
      </c>
      <c r="AA303">
        <v>12.044932058277199</v>
      </c>
      <c r="AB303" s="9">
        <f t="shared" si="44"/>
        <v>-0.34072071818680527</v>
      </c>
      <c r="AC303" s="9">
        <f t="shared" si="45"/>
        <v>-0.34243268744217975</v>
      </c>
      <c r="AD303" s="2">
        <f t="shared" si="46"/>
        <v>5.0245528492807168E-3</v>
      </c>
      <c r="AE303" s="8">
        <f t="shared" si="47"/>
        <v>2.4685403035735807E-3</v>
      </c>
      <c r="AF303" s="2">
        <f t="shared" si="48"/>
        <v>-5.7380552671903182E-4</v>
      </c>
      <c r="AG303" s="8">
        <f t="shared" si="49"/>
        <v>3.0423458302926126E-3</v>
      </c>
      <c r="AH303" s="7">
        <f t="shared" si="50"/>
        <v>-0.18860627907769553</v>
      </c>
      <c r="AI303">
        <f t="shared" si="51"/>
        <v>4</v>
      </c>
      <c r="AJ303" s="10">
        <f t="shared" si="52"/>
        <v>4.8677533284681801E-2</v>
      </c>
    </row>
    <row r="304" spans="1:36" hidden="1" x14ac:dyDescent="0.25">
      <c r="A304" t="b">
        <v>0</v>
      </c>
      <c r="B304">
        <v>1000</v>
      </c>
      <c r="C304">
        <v>4.8677533284681801E-2</v>
      </c>
      <c r="D304" t="s">
        <v>52</v>
      </c>
      <c r="E304" t="b">
        <v>1</v>
      </c>
      <c r="F304" t="s">
        <v>53</v>
      </c>
      <c r="G304">
        <v>7.4999999999999997E-2</v>
      </c>
      <c r="H304">
        <v>0.5</v>
      </c>
      <c r="I304">
        <v>1E-4</v>
      </c>
      <c r="J304" t="b">
        <v>1</v>
      </c>
      <c r="K304">
        <v>4</v>
      </c>
      <c r="L304">
        <v>1500</v>
      </c>
      <c r="M304">
        <v>0.05</v>
      </c>
      <c r="N304">
        <v>0.154</v>
      </c>
      <c r="O304" t="s">
        <v>233</v>
      </c>
      <c r="P304" t="s">
        <v>235</v>
      </c>
      <c r="Q304" s="1">
        <v>-1E-10</v>
      </c>
      <c r="R304" s="1">
        <v>3.5857859081823E-12</v>
      </c>
      <c r="S304" s="1">
        <v>1.4267759389690499E-17</v>
      </c>
      <c r="T304" s="1">
        <v>-2.8598755462565502E-16</v>
      </c>
      <c r="U304">
        <v>4.0033073836392701</v>
      </c>
      <c r="V304">
        <v>0</v>
      </c>
      <c r="W304">
        <v>6.8474547804693503E-2</v>
      </c>
      <c r="X304">
        <v>2</v>
      </c>
      <c r="Y304">
        <v>4.00056638742422E-3</v>
      </c>
      <c r="Z304">
        <v>2.5000000000000001E-4</v>
      </c>
      <c r="AA304">
        <v>4.7933529494562999E-3</v>
      </c>
      <c r="AB304" s="9">
        <f t="shared" si="44"/>
        <v>-1.2527700864523179</v>
      </c>
      <c r="AC304" s="9">
        <f t="shared" si="45"/>
        <v>-0.34243268744217975</v>
      </c>
      <c r="AD304" s="2">
        <f t="shared" si="46"/>
        <v>-0.72665959129667224</v>
      </c>
      <c r="AE304" s="8">
        <f t="shared" si="47"/>
        <v>0.44191723298838309</v>
      </c>
      <c r="AF304" s="2">
        <f t="shared" si="48"/>
        <v>0.43887488715809048</v>
      </c>
      <c r="AG304" s="8">
        <f t="shared" si="49"/>
        <v>3.0423458302926126E-3</v>
      </c>
      <c r="AH304" s="7">
        <f t="shared" si="50"/>
        <v>144.25542382072965</v>
      </c>
      <c r="AI304">
        <f t="shared" si="51"/>
        <v>4</v>
      </c>
      <c r="AJ304" s="10">
        <f t="shared" si="52"/>
        <v>4.8677533284681801E-2</v>
      </c>
    </row>
    <row r="305" spans="1:36" hidden="1" x14ac:dyDescent="0.25">
      <c r="A305" t="b">
        <v>0</v>
      </c>
      <c r="B305">
        <v>1000</v>
      </c>
      <c r="C305">
        <v>4.8677533284681801E-2</v>
      </c>
      <c r="D305" t="s">
        <v>52</v>
      </c>
      <c r="E305" t="b">
        <v>1</v>
      </c>
      <c r="F305" t="s">
        <v>53</v>
      </c>
      <c r="G305">
        <v>7.4999999999999997E-2</v>
      </c>
      <c r="H305">
        <v>0.5</v>
      </c>
      <c r="I305">
        <v>1E-4</v>
      </c>
      <c r="J305" t="b">
        <v>1</v>
      </c>
      <c r="K305">
        <v>4</v>
      </c>
      <c r="L305">
        <v>1500</v>
      </c>
      <c r="M305">
        <v>0.05</v>
      </c>
      <c r="N305">
        <v>0.154</v>
      </c>
      <c r="O305" t="s">
        <v>233</v>
      </c>
      <c r="P305" t="s">
        <v>236</v>
      </c>
      <c r="Q305" s="1">
        <v>-1.9521165460889901E-5</v>
      </c>
      <c r="R305" s="1">
        <v>3.90815588072748E-5</v>
      </c>
      <c r="S305" s="1">
        <v>6.6750530095424095E-5</v>
      </c>
      <c r="T305">
        <v>-3.6408103390228602E-4</v>
      </c>
      <c r="U305">
        <v>4.0032391736818997</v>
      </c>
      <c r="V305" s="1">
        <v>9.9999999999999905E-15</v>
      </c>
      <c r="W305">
        <v>0.13510011787764201</v>
      </c>
      <c r="X305">
        <v>2.4999999999999898</v>
      </c>
      <c r="Y305">
        <v>6.1065025650938702</v>
      </c>
      <c r="Z305">
        <v>0.49999999992882199</v>
      </c>
      <c r="AA305">
        <v>11.1018827143366</v>
      </c>
      <c r="AB305" s="9">
        <f t="shared" si="44"/>
        <v>-0.34089713724165299</v>
      </c>
      <c r="AC305" s="9">
        <f t="shared" si="45"/>
        <v>-0.34243268744217975</v>
      </c>
      <c r="AD305" s="2">
        <f t="shared" si="46"/>
        <v>4.5044385322550173E-3</v>
      </c>
      <c r="AE305" s="8">
        <f t="shared" si="47"/>
        <v>2.5276408293010578E-3</v>
      </c>
      <c r="AF305" s="2">
        <f t="shared" si="48"/>
        <v>-5.1470500099155478E-4</v>
      </c>
      <c r="AG305" s="8">
        <f t="shared" si="49"/>
        <v>3.0423458302926126E-3</v>
      </c>
      <c r="AH305" s="7">
        <f t="shared" si="50"/>
        <v>-0.16918030681017301</v>
      </c>
      <c r="AI305">
        <f t="shared" si="51"/>
        <v>4</v>
      </c>
      <c r="AJ305" s="10">
        <f t="shared" si="52"/>
        <v>4.8677533284681801E-2</v>
      </c>
    </row>
    <row r="306" spans="1:36" hidden="1" x14ac:dyDescent="0.25">
      <c r="A306" t="b">
        <v>0</v>
      </c>
      <c r="B306">
        <v>1000</v>
      </c>
      <c r="C306">
        <v>4.8677533284681801E-2</v>
      </c>
      <c r="D306" t="s">
        <v>52</v>
      </c>
      <c r="E306" t="b">
        <v>1</v>
      </c>
      <c r="F306" t="s">
        <v>53</v>
      </c>
      <c r="G306">
        <v>7.4999999999999997E-2</v>
      </c>
      <c r="H306">
        <v>0.5</v>
      </c>
      <c r="I306">
        <v>1E-4</v>
      </c>
      <c r="J306" t="b">
        <v>1</v>
      </c>
      <c r="K306">
        <v>4</v>
      </c>
      <c r="L306">
        <v>1500</v>
      </c>
      <c r="M306">
        <v>0.05</v>
      </c>
      <c r="N306">
        <v>0.154</v>
      </c>
      <c r="O306" t="s">
        <v>233</v>
      </c>
      <c r="P306" t="s">
        <v>237</v>
      </c>
      <c r="Q306">
        <v>-1.5605645393655399E-4</v>
      </c>
      <c r="R306">
        <v>3.0956950626167997E-4</v>
      </c>
      <c r="S306">
        <v>5.3359011270892099E-4</v>
      </c>
      <c r="T306">
        <v>-2.9090492473089098E-3</v>
      </c>
      <c r="U306">
        <v>4.0027623133229397</v>
      </c>
      <c r="V306" s="1">
        <v>9.9999999999995598E-15</v>
      </c>
      <c r="W306">
        <v>0.13268754745219899</v>
      </c>
      <c r="X306">
        <v>2.4999999999999898</v>
      </c>
      <c r="Y306">
        <v>6.0720149704267001</v>
      </c>
      <c r="Z306">
        <v>0.49999999951882002</v>
      </c>
      <c r="AA306">
        <v>10.992052438085199</v>
      </c>
      <c r="AB306" s="9">
        <f t="shared" si="44"/>
        <v>-0.34074015546084374</v>
      </c>
      <c r="AC306" s="9">
        <f t="shared" si="45"/>
        <v>-0.34243268744217975</v>
      </c>
      <c r="AD306" s="2">
        <f t="shared" si="46"/>
        <v>4.9672219555305652E-3</v>
      </c>
      <c r="AE306" s="8">
        <f t="shared" si="47"/>
        <v>2.4750514644880958E-3</v>
      </c>
      <c r="AF306" s="2">
        <f t="shared" si="48"/>
        <v>-5.6729436580451676E-4</v>
      </c>
      <c r="AG306" s="8">
        <f t="shared" si="49"/>
        <v>3.0423458302926126E-3</v>
      </c>
      <c r="AH306" s="7">
        <f t="shared" si="50"/>
        <v>-0.18646610130773805</v>
      </c>
      <c r="AI306">
        <f t="shared" si="51"/>
        <v>4</v>
      </c>
      <c r="AJ306" s="10">
        <f t="shared" si="52"/>
        <v>4.8677533284681801E-2</v>
      </c>
    </row>
    <row r="307" spans="1:36" hidden="1" x14ac:dyDescent="0.25">
      <c r="A307" t="b">
        <v>0</v>
      </c>
      <c r="B307">
        <v>1000</v>
      </c>
      <c r="C307">
        <v>4.8677533284681801E-2</v>
      </c>
      <c r="D307" t="s">
        <v>52</v>
      </c>
      <c r="E307" t="b">
        <v>1</v>
      </c>
      <c r="F307" t="s">
        <v>53</v>
      </c>
      <c r="G307">
        <v>7.4999999999999997E-2</v>
      </c>
      <c r="H307">
        <v>0.5</v>
      </c>
      <c r="I307">
        <v>1E-4</v>
      </c>
      <c r="J307" t="b">
        <v>1</v>
      </c>
      <c r="K307">
        <v>4</v>
      </c>
      <c r="L307">
        <v>1500</v>
      </c>
      <c r="M307">
        <v>0.05</v>
      </c>
      <c r="N307">
        <v>0.154</v>
      </c>
      <c r="O307" t="s">
        <v>233</v>
      </c>
      <c r="P307" t="s">
        <v>238</v>
      </c>
      <c r="Q307">
        <v>-1.3653529307034801E-4</v>
      </c>
      <c r="R307">
        <v>2.9095249182538698E-4</v>
      </c>
      <c r="S307">
        <v>4.66840070780641E-4</v>
      </c>
      <c r="T307">
        <v>-2.5449933471160002E-3</v>
      </c>
      <c r="U307">
        <v>4.0028305348263498</v>
      </c>
      <c r="V307" s="1">
        <v>9.9999999999995803E-15</v>
      </c>
      <c r="W307">
        <v>0.14259192396357101</v>
      </c>
      <c r="X307">
        <v>2.4999999999999898</v>
      </c>
      <c r="Y307">
        <v>6.4904389572459698</v>
      </c>
      <c r="Z307">
        <v>0.49999999952481899</v>
      </c>
      <c r="AA307">
        <v>11.8172916974092</v>
      </c>
      <c r="AB307" s="9">
        <f t="shared" si="44"/>
        <v>-0.34072071818678601</v>
      </c>
      <c r="AC307" s="9">
        <f t="shared" si="45"/>
        <v>-0.34243268744217975</v>
      </c>
      <c r="AD307" s="2">
        <f t="shared" si="46"/>
        <v>5.0245528493375602E-3</v>
      </c>
      <c r="AE307" s="8">
        <f t="shared" si="47"/>
        <v>2.4685403035671349E-3</v>
      </c>
      <c r="AF307" s="2">
        <f t="shared" si="48"/>
        <v>-5.7380552672547762E-4</v>
      </c>
      <c r="AG307" s="8">
        <f t="shared" si="49"/>
        <v>3.0423458302926126E-3</v>
      </c>
      <c r="AH307" s="7">
        <f t="shared" si="50"/>
        <v>-0.18860627907981423</v>
      </c>
      <c r="AI307">
        <f t="shared" si="51"/>
        <v>4</v>
      </c>
      <c r="AJ307" s="10">
        <f t="shared" si="52"/>
        <v>4.8677533284681801E-2</v>
      </c>
    </row>
    <row r="308" spans="1:36" hidden="1" x14ac:dyDescent="0.25">
      <c r="A308" t="b">
        <v>0</v>
      </c>
      <c r="B308">
        <v>1000</v>
      </c>
      <c r="C308">
        <v>4.8677533284681801E-2</v>
      </c>
      <c r="D308" t="s">
        <v>52</v>
      </c>
      <c r="E308" t="b">
        <v>1</v>
      </c>
      <c r="F308" t="s">
        <v>53</v>
      </c>
      <c r="G308">
        <v>7.4999999999999997E-2</v>
      </c>
      <c r="H308">
        <v>0.5</v>
      </c>
      <c r="I308">
        <v>1E-4</v>
      </c>
      <c r="J308" t="b">
        <v>1</v>
      </c>
      <c r="K308">
        <v>4</v>
      </c>
      <c r="L308">
        <v>1500</v>
      </c>
      <c r="M308">
        <v>0.05</v>
      </c>
      <c r="N308">
        <v>0.154</v>
      </c>
      <c r="O308" t="s">
        <v>233</v>
      </c>
      <c r="P308" t="s">
        <v>239</v>
      </c>
      <c r="Q308">
        <v>-1.56056453936547E-4</v>
      </c>
      <c r="R308">
        <v>3.1051027454682501E-4</v>
      </c>
      <c r="S308">
        <v>5.3359011270891796E-4</v>
      </c>
      <c r="T308">
        <v>-2.9090492473088799E-3</v>
      </c>
      <c r="U308">
        <v>4.0027623133227497</v>
      </c>
      <c r="V308" s="1">
        <v>9.9999999999995598E-15</v>
      </c>
      <c r="W308">
        <v>0.13191851629637999</v>
      </c>
      <c r="X308">
        <v>2.4999999999999898</v>
      </c>
      <c r="Y308">
        <v>6.10807259831968</v>
      </c>
      <c r="Z308">
        <v>0.49999999951879998</v>
      </c>
      <c r="AA308">
        <v>11.0176855440665</v>
      </c>
      <c r="AB308" s="9">
        <f t="shared" si="44"/>
        <v>-0.34074015546084213</v>
      </c>
      <c r="AC308" s="9">
        <f t="shared" si="45"/>
        <v>-0.34243268744217975</v>
      </c>
      <c r="AD308" s="2">
        <f t="shared" si="46"/>
        <v>4.9672219555352282E-3</v>
      </c>
      <c r="AE308" s="8">
        <f t="shared" si="47"/>
        <v>2.4750514644875502E-3</v>
      </c>
      <c r="AF308" s="2">
        <f t="shared" si="48"/>
        <v>-5.6729436580506233E-4</v>
      </c>
      <c r="AG308" s="8">
        <f t="shared" si="49"/>
        <v>3.0423458302926126E-3</v>
      </c>
      <c r="AH308" s="7">
        <f t="shared" si="50"/>
        <v>-0.18646610130791738</v>
      </c>
      <c r="AI308">
        <f t="shared" si="51"/>
        <v>4</v>
      </c>
      <c r="AJ308" s="10">
        <f t="shared" si="52"/>
        <v>4.8677533284681801E-2</v>
      </c>
    </row>
    <row r="309" spans="1:36" hidden="1" x14ac:dyDescent="0.25">
      <c r="A309" t="b">
        <v>0</v>
      </c>
      <c r="B309">
        <v>1000</v>
      </c>
      <c r="C309">
        <v>4.8677533284681801E-2</v>
      </c>
      <c r="D309" t="s">
        <v>52</v>
      </c>
      <c r="E309" t="b">
        <v>1</v>
      </c>
      <c r="F309" t="s">
        <v>53</v>
      </c>
      <c r="G309">
        <v>7.4999999999999997E-2</v>
      </c>
      <c r="H309">
        <v>0.5</v>
      </c>
      <c r="I309">
        <v>1E-4</v>
      </c>
      <c r="J309" t="b">
        <v>1</v>
      </c>
      <c r="K309">
        <v>4</v>
      </c>
      <c r="L309">
        <v>1500</v>
      </c>
      <c r="M309">
        <v>0.05</v>
      </c>
      <c r="N309">
        <v>0.154</v>
      </c>
      <c r="O309" t="s">
        <v>233</v>
      </c>
      <c r="P309" t="s">
        <v>240</v>
      </c>
      <c r="Q309">
        <v>-2.9259171096132202E-4</v>
      </c>
      <c r="R309">
        <v>6.2562102469169403E-4</v>
      </c>
      <c r="S309">
        <v>1.0004262829972201E-3</v>
      </c>
      <c r="T309">
        <v>-5.45384178986137E-3</v>
      </c>
      <c r="U309">
        <v>4.0022853722262903</v>
      </c>
      <c r="V309" s="1">
        <v>9.9999999999999905E-15</v>
      </c>
      <c r="W309">
        <v>0.145834684425211</v>
      </c>
      <c r="X309">
        <v>2.4999999999999898</v>
      </c>
      <c r="Y309">
        <v>6.4707774564690599</v>
      </c>
      <c r="Z309">
        <v>0.499999999999999</v>
      </c>
      <c r="AA309">
        <v>11.8742374944849</v>
      </c>
      <c r="AB309" s="9">
        <f t="shared" si="44"/>
        <v>-0.34071986877945987</v>
      </c>
      <c r="AC309" s="9">
        <f t="shared" si="45"/>
        <v>-0.34243268744217975</v>
      </c>
      <c r="AD309" s="2">
        <f t="shared" si="46"/>
        <v>5.0270583539950842E-3</v>
      </c>
      <c r="AE309" s="8">
        <f t="shared" si="47"/>
        <v>2.4682557682830144E-3</v>
      </c>
      <c r="AF309" s="2">
        <f t="shared" si="48"/>
        <v>-5.7409006200959817E-4</v>
      </c>
      <c r="AG309" s="8">
        <f t="shared" si="49"/>
        <v>3.0423458302926126E-3</v>
      </c>
      <c r="AH309" s="7">
        <f t="shared" si="50"/>
        <v>-0.18869980404377049</v>
      </c>
      <c r="AI309">
        <f t="shared" si="51"/>
        <v>4</v>
      </c>
      <c r="AJ309" s="10">
        <f t="shared" si="52"/>
        <v>4.8677533284681801E-2</v>
      </c>
    </row>
    <row r="310" spans="1:36" hidden="1" x14ac:dyDescent="0.25">
      <c r="A310" t="b">
        <v>0</v>
      </c>
      <c r="B310">
        <v>1000</v>
      </c>
      <c r="C310">
        <v>4.8677533284681801E-2</v>
      </c>
      <c r="D310" t="s">
        <v>52</v>
      </c>
      <c r="E310" t="b">
        <v>1</v>
      </c>
      <c r="F310" t="s">
        <v>53</v>
      </c>
      <c r="G310">
        <v>7.4999999999999997E-2</v>
      </c>
      <c r="H310">
        <v>0.5</v>
      </c>
      <c r="I310">
        <v>1E-4</v>
      </c>
      <c r="J310" t="b">
        <v>1</v>
      </c>
      <c r="K310">
        <v>4</v>
      </c>
      <c r="L310">
        <v>1500</v>
      </c>
      <c r="M310">
        <v>0.05</v>
      </c>
      <c r="N310">
        <v>0.154</v>
      </c>
      <c r="O310" t="s">
        <v>234</v>
      </c>
      <c r="P310" t="s">
        <v>237</v>
      </c>
      <c r="Q310" s="1">
        <v>-1.9521160890709499E-5</v>
      </c>
      <c r="R310" s="1">
        <v>3.9438367971641199E-5</v>
      </c>
      <c r="S310" s="1">
        <v>6.6750041928275396E-5</v>
      </c>
      <c r="T310">
        <v>-3.6405590019271199E-4</v>
      </c>
      <c r="U310">
        <v>4.0022854645044497</v>
      </c>
      <c r="V310" s="1">
        <v>9.9999999999999905E-15</v>
      </c>
      <c r="W310">
        <v>0.13526693108242299</v>
      </c>
      <c r="X310">
        <v>2.4999999999999898</v>
      </c>
      <c r="Y310">
        <v>6.1759348263790201</v>
      </c>
      <c r="Z310">
        <v>0.49999999992872002</v>
      </c>
      <c r="AA310">
        <v>11.1968121839035</v>
      </c>
      <c r="AB310" s="9">
        <f t="shared" si="44"/>
        <v>-0.34087609692430909</v>
      </c>
      <c r="AC310" s="9">
        <f t="shared" si="45"/>
        <v>-0.34243268744217975</v>
      </c>
      <c r="AD310" s="2">
        <f t="shared" si="46"/>
        <v>4.566440803317251E-3</v>
      </c>
      <c r="AE310" s="8">
        <f t="shared" si="47"/>
        <v>2.5205919400295607E-3</v>
      </c>
      <c r="AF310" s="2">
        <f t="shared" si="48"/>
        <v>-5.2175389026305188E-4</v>
      </c>
      <c r="AG310" s="8">
        <f t="shared" si="49"/>
        <v>3.0423458302926126E-3</v>
      </c>
      <c r="AH310" s="7">
        <f t="shared" si="50"/>
        <v>-0.17149723251970656</v>
      </c>
      <c r="AI310">
        <f t="shared" si="51"/>
        <v>4</v>
      </c>
      <c r="AJ310" s="10">
        <f t="shared" si="52"/>
        <v>4.8677533284681801E-2</v>
      </c>
    </row>
    <row r="311" spans="1:36" hidden="1" x14ac:dyDescent="0.25">
      <c r="A311" t="b">
        <v>0</v>
      </c>
      <c r="B311">
        <v>1000</v>
      </c>
      <c r="C311">
        <v>4.8677533284681801E-2</v>
      </c>
      <c r="D311" t="s">
        <v>52</v>
      </c>
      <c r="E311" t="b">
        <v>1</v>
      </c>
      <c r="F311" t="s">
        <v>53</v>
      </c>
      <c r="G311">
        <v>7.4999999999999997E-2</v>
      </c>
      <c r="H311">
        <v>0.5</v>
      </c>
      <c r="I311">
        <v>1E-4</v>
      </c>
      <c r="J311" t="b">
        <v>1</v>
      </c>
      <c r="K311">
        <v>4</v>
      </c>
      <c r="L311">
        <v>1500</v>
      </c>
      <c r="M311">
        <v>0.05</v>
      </c>
      <c r="N311">
        <v>0.154</v>
      </c>
      <c r="O311" t="s">
        <v>234</v>
      </c>
      <c r="P311" t="s">
        <v>238</v>
      </c>
      <c r="Q311" s="1">
        <v>-1E-10</v>
      </c>
      <c r="R311" s="1">
        <v>3.5857859739517399E-12</v>
      </c>
      <c r="S311" s="1">
        <v>4.6361488661818102E-18</v>
      </c>
      <c r="T311" s="1">
        <v>-6.2303761822442201E-17</v>
      </c>
      <c r="U311">
        <v>4.0023536860078597</v>
      </c>
      <c r="V311">
        <v>0</v>
      </c>
      <c r="W311">
        <v>6.8474549060633702E-2</v>
      </c>
      <c r="X311">
        <v>2</v>
      </c>
      <c r="Y311">
        <v>4.0005664608014401E-3</v>
      </c>
      <c r="Z311">
        <v>2.5000000000000001E-4</v>
      </c>
      <c r="AA311">
        <v>4.7933530373745802E-3</v>
      </c>
      <c r="AB311" s="9">
        <f t="shared" si="44"/>
        <v>-0.83991804972164408</v>
      </c>
      <c r="AC311" s="9">
        <f t="shared" si="45"/>
        <v>-0.34243268744217975</v>
      </c>
      <c r="AD311" s="2">
        <f t="shared" si="46"/>
        <v>-0.5923022638272093</v>
      </c>
      <c r="AE311" s="8">
        <f t="shared" si="47"/>
        <v>0.20316901068101556</v>
      </c>
      <c r="AF311" s="2">
        <f t="shared" si="48"/>
        <v>0.20012666485072295</v>
      </c>
      <c r="AG311" s="8">
        <f t="shared" si="49"/>
        <v>3.0423458302926126E-3</v>
      </c>
      <c r="AH311" s="7">
        <f t="shared" si="50"/>
        <v>65.780380014021873</v>
      </c>
      <c r="AI311">
        <f t="shared" si="51"/>
        <v>4</v>
      </c>
      <c r="AJ311" s="10">
        <f t="shared" si="52"/>
        <v>4.8677533284681801E-2</v>
      </c>
    </row>
    <row r="312" spans="1:36" hidden="1" x14ac:dyDescent="0.25">
      <c r="A312" t="b">
        <v>0</v>
      </c>
      <c r="B312">
        <v>1000</v>
      </c>
      <c r="C312">
        <v>4.8677533284681801E-2</v>
      </c>
      <c r="D312" t="s">
        <v>52</v>
      </c>
      <c r="E312" t="b">
        <v>1</v>
      </c>
      <c r="F312" t="s">
        <v>53</v>
      </c>
      <c r="G312">
        <v>7.4999999999999997E-2</v>
      </c>
      <c r="H312">
        <v>0.5</v>
      </c>
      <c r="I312">
        <v>1E-4</v>
      </c>
      <c r="J312" t="b">
        <v>1</v>
      </c>
      <c r="K312">
        <v>4</v>
      </c>
      <c r="L312">
        <v>1500</v>
      </c>
      <c r="M312">
        <v>0.05</v>
      </c>
      <c r="N312">
        <v>0.154</v>
      </c>
      <c r="O312" t="s">
        <v>234</v>
      </c>
      <c r="P312" t="s">
        <v>239</v>
      </c>
      <c r="Q312" s="1">
        <v>-1.9521160890709299E-5</v>
      </c>
      <c r="R312" s="1">
        <v>3.9723531010917101E-5</v>
      </c>
      <c r="S312" s="1">
        <v>6.6750041928272699E-5</v>
      </c>
      <c r="T312">
        <v>-3.6405590019268299E-4</v>
      </c>
      <c r="U312">
        <v>4.0022854645042596</v>
      </c>
      <c r="V312" s="1">
        <v>9.9999999999999905E-15</v>
      </c>
      <c r="W312">
        <v>0.13706321759694601</v>
      </c>
      <c r="X312">
        <v>2.4999999999999898</v>
      </c>
      <c r="Y312">
        <v>6.2034018433951497</v>
      </c>
      <c r="Z312">
        <v>0.49999999992872202</v>
      </c>
      <c r="AA312">
        <v>11.284660463044601</v>
      </c>
      <c r="AB312" s="9">
        <f t="shared" si="44"/>
        <v>-0.34087609692429571</v>
      </c>
      <c r="AC312" s="9">
        <f t="shared" si="45"/>
        <v>-0.34243268744217975</v>
      </c>
      <c r="AD312" s="2">
        <f t="shared" si="46"/>
        <v>4.5664408033565529E-3</v>
      </c>
      <c r="AE312" s="8">
        <f t="shared" si="47"/>
        <v>2.5205919400250977E-3</v>
      </c>
      <c r="AF312" s="2">
        <f t="shared" si="48"/>
        <v>-5.2175389026751489E-4</v>
      </c>
      <c r="AG312" s="8">
        <f t="shared" si="49"/>
        <v>3.0423458302926126E-3</v>
      </c>
      <c r="AH312" s="7">
        <f t="shared" si="50"/>
        <v>-0.17149723252117352</v>
      </c>
      <c r="AI312">
        <f t="shared" si="51"/>
        <v>4</v>
      </c>
      <c r="AJ312" s="10">
        <f t="shared" si="52"/>
        <v>4.8677533284681801E-2</v>
      </c>
    </row>
    <row r="313" spans="1:36" hidden="1" x14ac:dyDescent="0.25">
      <c r="A313" t="b">
        <v>0</v>
      </c>
      <c r="B313">
        <v>1000</v>
      </c>
      <c r="C313">
        <v>4.8677533284681801E-2</v>
      </c>
      <c r="D313" t="s">
        <v>52</v>
      </c>
      <c r="E313" t="b">
        <v>1</v>
      </c>
      <c r="F313" t="s">
        <v>53</v>
      </c>
      <c r="G313">
        <v>7.4999999999999997E-2</v>
      </c>
      <c r="H313">
        <v>0.5</v>
      </c>
      <c r="I313">
        <v>1E-4</v>
      </c>
      <c r="J313" t="b">
        <v>1</v>
      </c>
      <c r="K313">
        <v>4</v>
      </c>
      <c r="L313">
        <v>1500</v>
      </c>
      <c r="M313">
        <v>0.05</v>
      </c>
      <c r="N313">
        <v>0.154</v>
      </c>
      <c r="O313" t="s">
        <v>234</v>
      </c>
      <c r="P313" t="s">
        <v>240</v>
      </c>
      <c r="Q313">
        <v>-1.5605641732394801E-4</v>
      </c>
      <c r="R313">
        <v>3.1027289491355803E-4</v>
      </c>
      <c r="S313">
        <v>5.3358621221657305E-4</v>
      </c>
      <c r="T313">
        <v>-2.90884844274478E-3</v>
      </c>
      <c r="U313">
        <v>4.0018085234078002</v>
      </c>
      <c r="V313" s="1">
        <v>9.9999999999995598E-15</v>
      </c>
      <c r="W313">
        <v>0.133484277699702</v>
      </c>
      <c r="X313">
        <v>2.4999999999999898</v>
      </c>
      <c r="Y313">
        <v>6.0773452377431498</v>
      </c>
      <c r="Z313">
        <v>0.49999999951811203</v>
      </c>
      <c r="AA313">
        <v>11.0203790016478</v>
      </c>
      <c r="AB313" s="9">
        <f t="shared" si="44"/>
        <v>-0.34071912562417966</v>
      </c>
      <c r="AC313" s="9">
        <f t="shared" si="45"/>
        <v>-0.34243268744217975</v>
      </c>
      <c r="AD313" s="2">
        <f t="shared" si="46"/>
        <v>5.0292504562545748E-3</v>
      </c>
      <c r="AE313" s="8">
        <f t="shared" si="47"/>
        <v>2.4680068255440572E-3</v>
      </c>
      <c r="AF313" s="2">
        <f t="shared" si="48"/>
        <v>-5.7433900474855538E-4</v>
      </c>
      <c r="AG313" s="8">
        <f t="shared" si="49"/>
        <v>3.0423458302926126E-3</v>
      </c>
      <c r="AH313" s="7">
        <f t="shared" si="50"/>
        <v>-0.18878162996128403</v>
      </c>
      <c r="AI313">
        <f t="shared" si="51"/>
        <v>4</v>
      </c>
      <c r="AJ313" s="10">
        <f t="shared" si="52"/>
        <v>4.8677533284681801E-2</v>
      </c>
    </row>
    <row r="314" spans="1:36" hidden="1" x14ac:dyDescent="0.25">
      <c r="A314" t="b">
        <v>0</v>
      </c>
      <c r="B314">
        <v>1000</v>
      </c>
      <c r="C314">
        <v>4.8677533284681801E-2</v>
      </c>
      <c r="D314" t="s">
        <v>52</v>
      </c>
      <c r="E314" t="b">
        <v>1</v>
      </c>
      <c r="F314" t="s">
        <v>53</v>
      </c>
      <c r="G314">
        <v>7.4999999999999997E-2</v>
      </c>
      <c r="H314">
        <v>0.5</v>
      </c>
      <c r="I314">
        <v>1E-4</v>
      </c>
      <c r="J314" t="b">
        <v>1</v>
      </c>
      <c r="K314">
        <v>4</v>
      </c>
      <c r="L314">
        <v>1500</v>
      </c>
      <c r="M314">
        <v>0.05</v>
      </c>
      <c r="N314">
        <v>0.154</v>
      </c>
      <c r="O314" t="s">
        <v>235</v>
      </c>
      <c r="P314" t="s">
        <v>236</v>
      </c>
      <c r="Q314" s="1">
        <v>-1.9521165460888499E-5</v>
      </c>
      <c r="R314" s="1">
        <v>3.9598590338113201E-5</v>
      </c>
      <c r="S314" s="1">
        <v>6.6750530095417997E-5</v>
      </c>
      <c r="T314">
        <v>-3.64081033902224E-4</v>
      </c>
      <c r="U314">
        <v>4.0032391736757704</v>
      </c>
      <c r="V314" s="1">
        <v>9.9999999999999905E-15</v>
      </c>
      <c r="W314">
        <v>0.13433190173382001</v>
      </c>
      <c r="X314">
        <v>2.4999999999999898</v>
      </c>
      <c r="Y314">
        <v>6.2203154485831602</v>
      </c>
      <c r="Z314">
        <v>0.49999999992882699</v>
      </c>
      <c r="AA314">
        <v>11.2340835280508</v>
      </c>
      <c r="AB314" s="9">
        <f t="shared" si="44"/>
        <v>-0.34089713724162607</v>
      </c>
      <c r="AC314" s="9">
        <f t="shared" si="45"/>
        <v>-0.34243268744217975</v>
      </c>
      <c r="AD314" s="2">
        <f t="shared" si="46"/>
        <v>4.5044385323345093E-3</v>
      </c>
      <c r="AE314" s="8">
        <f t="shared" si="47"/>
        <v>2.5276408292920316E-3</v>
      </c>
      <c r="AF314" s="2">
        <f t="shared" si="48"/>
        <v>-5.1470500100058098E-4</v>
      </c>
      <c r="AG314" s="8">
        <f t="shared" si="49"/>
        <v>3.0423458302926126E-3</v>
      </c>
      <c r="AH314" s="7">
        <f t="shared" si="50"/>
        <v>-0.16918030681313989</v>
      </c>
      <c r="AI314">
        <f t="shared" si="51"/>
        <v>4</v>
      </c>
      <c r="AJ314" s="10">
        <f t="shared" si="52"/>
        <v>4.8677533284681801E-2</v>
      </c>
    </row>
    <row r="315" spans="1:36" hidden="1" x14ac:dyDescent="0.25">
      <c r="A315" t="b">
        <v>0</v>
      </c>
      <c r="B315">
        <v>1000</v>
      </c>
      <c r="C315">
        <v>4.8677533284681801E-2</v>
      </c>
      <c r="D315" t="s">
        <v>52</v>
      </c>
      <c r="E315" t="b">
        <v>1</v>
      </c>
      <c r="F315" t="s">
        <v>53</v>
      </c>
      <c r="G315">
        <v>7.4999999999999997E-2</v>
      </c>
      <c r="H315">
        <v>0.5</v>
      </c>
      <c r="I315">
        <v>1E-4</v>
      </c>
      <c r="J315" t="b">
        <v>1</v>
      </c>
      <c r="K315">
        <v>4</v>
      </c>
      <c r="L315">
        <v>1500</v>
      </c>
      <c r="M315">
        <v>0.05</v>
      </c>
      <c r="N315">
        <v>0.154</v>
      </c>
      <c r="O315" t="s">
        <v>235</v>
      </c>
      <c r="P315" t="s">
        <v>237</v>
      </c>
      <c r="Q315">
        <v>-1.5605645393655101E-4</v>
      </c>
      <c r="R315">
        <v>3.1471936709465001E-4</v>
      </c>
      <c r="S315">
        <v>5.33590112708916E-4</v>
      </c>
      <c r="T315">
        <v>-2.9090492473088799E-3</v>
      </c>
      <c r="U315">
        <v>4.0027623133168104</v>
      </c>
      <c r="V315" s="1">
        <v>9.9999999999995693E-15</v>
      </c>
      <c r="W315">
        <v>0.13424328954353801</v>
      </c>
      <c r="X315">
        <v>2.4999999999999898</v>
      </c>
      <c r="Y315">
        <v>6.1772709120078604</v>
      </c>
      <c r="Z315">
        <v>0.49999999951881402</v>
      </c>
      <c r="AA315">
        <v>11.172091964447899</v>
      </c>
      <c r="AB315" s="9">
        <f t="shared" si="44"/>
        <v>-0.34074015546084341</v>
      </c>
      <c r="AC315" s="9">
        <f t="shared" si="45"/>
        <v>-0.34243268744217975</v>
      </c>
      <c r="AD315" s="2">
        <f t="shared" si="46"/>
        <v>4.9672219555316754E-3</v>
      </c>
      <c r="AE315" s="8">
        <f t="shared" si="47"/>
        <v>2.4750514644879961E-3</v>
      </c>
      <c r="AF315" s="2">
        <f t="shared" si="48"/>
        <v>-5.672943658046165E-4</v>
      </c>
      <c r="AG315" s="8">
        <f t="shared" si="49"/>
        <v>3.0423458302926126E-3</v>
      </c>
      <c r="AH315" s="7">
        <f t="shared" si="50"/>
        <v>-0.18646610130777086</v>
      </c>
      <c r="AI315">
        <f t="shared" si="51"/>
        <v>4</v>
      </c>
      <c r="AJ315" s="10">
        <f t="shared" si="52"/>
        <v>4.8677533284681801E-2</v>
      </c>
    </row>
    <row r="316" spans="1:36" hidden="1" x14ac:dyDescent="0.25">
      <c r="A316" t="b">
        <v>0</v>
      </c>
      <c r="B316">
        <v>1000</v>
      </c>
      <c r="C316">
        <v>4.8677533284681801E-2</v>
      </c>
      <c r="D316" t="s">
        <v>52</v>
      </c>
      <c r="E316" t="b">
        <v>1</v>
      </c>
      <c r="F316" t="s">
        <v>53</v>
      </c>
      <c r="G316">
        <v>7.4999999999999997E-2</v>
      </c>
      <c r="H316">
        <v>0.5</v>
      </c>
      <c r="I316">
        <v>1E-4</v>
      </c>
      <c r="J316" t="b">
        <v>1</v>
      </c>
      <c r="K316">
        <v>4</v>
      </c>
      <c r="L316">
        <v>1500</v>
      </c>
      <c r="M316">
        <v>0.05</v>
      </c>
      <c r="N316">
        <v>0.154</v>
      </c>
      <c r="O316" t="s">
        <v>235</v>
      </c>
      <c r="P316" t="s">
        <v>238</v>
      </c>
      <c r="Q316">
        <v>-1.3653529307033701E-4</v>
      </c>
      <c r="R316">
        <v>2.9550751789793903E-4</v>
      </c>
      <c r="S316">
        <v>4.6684007078063498E-4</v>
      </c>
      <c r="T316">
        <v>-2.5449933471159199E-3</v>
      </c>
      <c r="U316">
        <v>4.0028305348202204</v>
      </c>
      <c r="V316" s="1">
        <v>9.9999999999995803E-15</v>
      </c>
      <c r="W316">
        <v>0.14433091999021899</v>
      </c>
      <c r="X316">
        <v>2.4999999999999898</v>
      </c>
      <c r="Y316">
        <v>6.5948373604845596</v>
      </c>
      <c r="Z316">
        <v>0.49999999952483498</v>
      </c>
      <c r="AA316">
        <v>12.0000238355764</v>
      </c>
      <c r="AB316" s="9">
        <f t="shared" si="44"/>
        <v>-0.34072071818677963</v>
      </c>
      <c r="AC316" s="9">
        <f t="shared" si="45"/>
        <v>-0.34243268744217975</v>
      </c>
      <c r="AD316" s="2">
        <f t="shared" si="46"/>
        <v>5.024552849356434E-3</v>
      </c>
      <c r="AE316" s="8">
        <f t="shared" si="47"/>
        <v>2.4685403035650025E-3</v>
      </c>
      <c r="AF316" s="2">
        <f t="shared" si="48"/>
        <v>-5.7380552672761003E-4</v>
      </c>
      <c r="AG316" s="8">
        <f t="shared" si="49"/>
        <v>3.0423458302926126E-3</v>
      </c>
      <c r="AH316" s="7">
        <f t="shared" si="50"/>
        <v>-0.18860627908051514</v>
      </c>
      <c r="AI316">
        <f t="shared" si="51"/>
        <v>4</v>
      </c>
      <c r="AJ316" s="10">
        <f t="shared" si="52"/>
        <v>4.8677533284681801E-2</v>
      </c>
    </row>
    <row r="317" spans="1:36" hidden="1" x14ac:dyDescent="0.25">
      <c r="A317" t="b">
        <v>0</v>
      </c>
      <c r="B317">
        <v>1000</v>
      </c>
      <c r="C317">
        <v>4.8677533284681801E-2</v>
      </c>
      <c r="D317" t="s">
        <v>52</v>
      </c>
      <c r="E317" t="b">
        <v>1</v>
      </c>
      <c r="F317" t="s">
        <v>53</v>
      </c>
      <c r="G317">
        <v>7.4999999999999997E-2</v>
      </c>
      <c r="H317">
        <v>0.5</v>
      </c>
      <c r="I317">
        <v>1E-4</v>
      </c>
      <c r="J317" t="b">
        <v>1</v>
      </c>
      <c r="K317">
        <v>4</v>
      </c>
      <c r="L317">
        <v>1500</v>
      </c>
      <c r="M317">
        <v>0.05</v>
      </c>
      <c r="N317">
        <v>0.154</v>
      </c>
      <c r="O317" t="s">
        <v>235</v>
      </c>
      <c r="P317" t="s">
        <v>239</v>
      </c>
      <c r="Q317">
        <v>-1.56056453936548E-4</v>
      </c>
      <c r="R317">
        <v>3.1272341971233199E-4</v>
      </c>
      <c r="S317">
        <v>5.3359011270891405E-4</v>
      </c>
      <c r="T317">
        <v>-2.9090492473089601E-3</v>
      </c>
      <c r="U317">
        <v>4.0027623133166204</v>
      </c>
      <c r="V317" s="1">
        <v>9.9999999999995598E-15</v>
      </c>
      <c r="W317">
        <v>0.13347821850101699</v>
      </c>
      <c r="X317">
        <v>2.4999999999999898</v>
      </c>
      <c r="Y317">
        <v>6.1387137537243497</v>
      </c>
      <c r="Z317">
        <v>0.49999999951881402</v>
      </c>
      <c r="AA317">
        <v>11.1016296223012</v>
      </c>
      <c r="AB317" s="9">
        <f t="shared" si="44"/>
        <v>-0.34074015546085407</v>
      </c>
      <c r="AC317" s="9">
        <f t="shared" si="45"/>
        <v>-0.34243268744217975</v>
      </c>
      <c r="AD317" s="2">
        <f t="shared" si="46"/>
        <v>4.9672219555001451E-3</v>
      </c>
      <c r="AE317" s="8">
        <f t="shared" si="47"/>
        <v>2.4750514644915666E-3</v>
      </c>
      <c r="AF317" s="2">
        <f t="shared" si="48"/>
        <v>-5.6729436580104601E-4</v>
      </c>
      <c r="AG317" s="8">
        <f t="shared" si="49"/>
        <v>3.0423458302926126E-3</v>
      </c>
      <c r="AH317" s="7">
        <f t="shared" si="50"/>
        <v>-0.18646610130659724</v>
      </c>
      <c r="AI317">
        <f t="shared" si="51"/>
        <v>4</v>
      </c>
      <c r="AJ317" s="10">
        <f t="shared" si="52"/>
        <v>4.8677533284681801E-2</v>
      </c>
    </row>
    <row r="318" spans="1:36" hidden="1" x14ac:dyDescent="0.25">
      <c r="A318" t="b">
        <v>0</v>
      </c>
      <c r="B318">
        <v>1000</v>
      </c>
      <c r="C318">
        <v>4.8677533284681801E-2</v>
      </c>
      <c r="D318" t="s">
        <v>52</v>
      </c>
      <c r="E318" t="b">
        <v>1</v>
      </c>
      <c r="F318" t="s">
        <v>53</v>
      </c>
      <c r="G318">
        <v>7.4999999999999997E-2</v>
      </c>
      <c r="H318">
        <v>0.5</v>
      </c>
      <c r="I318">
        <v>1E-4</v>
      </c>
      <c r="J318" t="b">
        <v>1</v>
      </c>
      <c r="K318">
        <v>4</v>
      </c>
      <c r="L318">
        <v>1500</v>
      </c>
      <c r="M318">
        <v>0.05</v>
      </c>
      <c r="N318">
        <v>0.154</v>
      </c>
      <c r="O318" t="s">
        <v>235</v>
      </c>
      <c r="P318" t="s">
        <v>240</v>
      </c>
      <c r="Q318">
        <v>-2.9259171096132001E-4</v>
      </c>
      <c r="R318">
        <v>6.3816626332706004E-4</v>
      </c>
      <c r="S318">
        <v>1.0004262829972201E-3</v>
      </c>
      <c r="T318">
        <v>-5.45384178986135E-3</v>
      </c>
      <c r="U318">
        <v>4.0022853722201601</v>
      </c>
      <c r="V318" s="1">
        <v>9.9999999999999905E-15</v>
      </c>
      <c r="W318">
        <v>0.14911044152126299</v>
      </c>
      <c r="X318">
        <v>2.4999999999999898</v>
      </c>
      <c r="Y318">
        <v>6.5866125040912697</v>
      </c>
      <c r="Z318">
        <v>0.499999999999999</v>
      </c>
      <c r="AA318">
        <v>12.1170962056534</v>
      </c>
      <c r="AB318" s="9">
        <f t="shared" si="44"/>
        <v>-0.34071986877945865</v>
      </c>
      <c r="AC318" s="9">
        <f t="shared" si="45"/>
        <v>-0.34243268744217975</v>
      </c>
      <c r="AD318" s="2">
        <f t="shared" si="46"/>
        <v>5.0270583539986369E-3</v>
      </c>
      <c r="AE318" s="8">
        <f t="shared" si="47"/>
        <v>2.4682557682826176E-3</v>
      </c>
      <c r="AF318" s="2">
        <f t="shared" si="48"/>
        <v>-5.7409006200999499E-4</v>
      </c>
      <c r="AG318" s="8">
        <f t="shared" si="49"/>
        <v>3.0423458302926126E-3</v>
      </c>
      <c r="AH318" s="7">
        <f t="shared" si="50"/>
        <v>-0.18869980404390091</v>
      </c>
      <c r="AI318">
        <f t="shared" si="51"/>
        <v>4</v>
      </c>
      <c r="AJ318" s="10">
        <f t="shared" si="52"/>
        <v>4.8677533284681801E-2</v>
      </c>
    </row>
    <row r="319" spans="1:36" hidden="1" x14ac:dyDescent="0.25">
      <c r="A319" t="b">
        <v>0</v>
      </c>
      <c r="B319">
        <v>1000</v>
      </c>
      <c r="C319">
        <v>4.8677533284681801E-2</v>
      </c>
      <c r="D319" t="s">
        <v>52</v>
      </c>
      <c r="E319" t="b">
        <v>1</v>
      </c>
      <c r="F319" t="s">
        <v>53</v>
      </c>
      <c r="G319">
        <v>7.4999999999999997E-2</v>
      </c>
      <c r="H319">
        <v>0.5</v>
      </c>
      <c r="I319">
        <v>1E-4</v>
      </c>
      <c r="J319" t="b">
        <v>1</v>
      </c>
      <c r="K319">
        <v>4</v>
      </c>
      <c r="L319">
        <v>1500</v>
      </c>
      <c r="M319">
        <v>0.05</v>
      </c>
      <c r="N319">
        <v>0.154</v>
      </c>
      <c r="O319" t="s">
        <v>236</v>
      </c>
      <c r="P319" t="s">
        <v>237</v>
      </c>
      <c r="Q319">
        <v>-1.3653528850014599E-4</v>
      </c>
      <c r="R319">
        <v>2.8917859889135297E-4</v>
      </c>
      <c r="S319">
        <v>4.6683958261349302E-4</v>
      </c>
      <c r="T319">
        <v>-2.54496821340644E-3</v>
      </c>
      <c r="U319">
        <v>4.0026941033594401</v>
      </c>
      <c r="V319" s="1">
        <v>9.9999999999995803E-15</v>
      </c>
      <c r="W319">
        <v>0.14141359981962801</v>
      </c>
      <c r="X319">
        <v>2.4999999999999898</v>
      </c>
      <c r="Y319">
        <v>6.4602600075177099</v>
      </c>
      <c r="Z319">
        <v>0.49999999952473201</v>
      </c>
      <c r="AA319">
        <v>11.741137625340199</v>
      </c>
      <c r="AB319" s="9">
        <f t="shared" si="44"/>
        <v>-0.34071770959831454</v>
      </c>
      <c r="AC319" s="9">
        <f t="shared" si="45"/>
        <v>-0.34243268744217975</v>
      </c>
      <c r="AD319" s="2">
        <f t="shared" si="46"/>
        <v>5.0334273668575236E-3</v>
      </c>
      <c r="AE319" s="8">
        <f t="shared" si="47"/>
        <v>2.4675324844307769E-3</v>
      </c>
      <c r="AF319" s="2">
        <f t="shared" si="48"/>
        <v>-5.7481334586183567E-4</v>
      </c>
      <c r="AG319" s="8">
        <f t="shared" si="49"/>
        <v>3.0423458302926126E-3</v>
      </c>
      <c r="AH319" s="7">
        <f t="shared" si="50"/>
        <v>-0.1889375429112706</v>
      </c>
      <c r="AI319">
        <f t="shared" si="51"/>
        <v>4</v>
      </c>
      <c r="AJ319" s="10">
        <f t="shared" si="52"/>
        <v>4.8677533284681801E-2</v>
      </c>
    </row>
    <row r="320" spans="1:36" hidden="1" x14ac:dyDescent="0.25">
      <c r="A320" t="b">
        <v>0</v>
      </c>
      <c r="B320">
        <v>1000</v>
      </c>
      <c r="C320">
        <v>4.8677533284681801E-2</v>
      </c>
      <c r="D320" t="s">
        <v>52</v>
      </c>
      <c r="E320" t="b">
        <v>1</v>
      </c>
      <c r="F320" t="s">
        <v>53</v>
      </c>
      <c r="G320">
        <v>7.4999999999999997E-2</v>
      </c>
      <c r="H320">
        <v>0.5</v>
      </c>
      <c r="I320">
        <v>1E-4</v>
      </c>
      <c r="J320" t="b">
        <v>1</v>
      </c>
      <c r="K320">
        <v>4</v>
      </c>
      <c r="L320">
        <v>1500</v>
      </c>
      <c r="M320">
        <v>0.05</v>
      </c>
      <c r="N320">
        <v>0.154</v>
      </c>
      <c r="O320" t="s">
        <v>236</v>
      </c>
      <c r="P320" t="s">
        <v>238</v>
      </c>
      <c r="Q320">
        <v>-1.17014127633326E-4</v>
      </c>
      <c r="R320">
        <v>2.33955575794991E-4</v>
      </c>
      <c r="S320">
        <v>4.00089540685221E-4</v>
      </c>
      <c r="T320">
        <v>-2.1809123132138898E-3</v>
      </c>
      <c r="U320">
        <v>4.0027623248628501</v>
      </c>
      <c r="V320" s="1">
        <v>9.9999999999995898E-15</v>
      </c>
      <c r="W320">
        <v>0.133027190388599</v>
      </c>
      <c r="X320">
        <v>2.4999999999999898</v>
      </c>
      <c r="Y320">
        <v>6.1272464319433402</v>
      </c>
      <c r="Z320">
        <v>0.49999999953053098</v>
      </c>
      <c r="AA320">
        <v>11.075268908421499</v>
      </c>
      <c r="AB320" s="9">
        <f t="shared" si="44"/>
        <v>-0.34069128461198783</v>
      </c>
      <c r="AC320" s="9">
        <f t="shared" si="45"/>
        <v>-0.34243268744217975</v>
      </c>
      <c r="AD320" s="2">
        <f t="shared" si="46"/>
        <v>5.1113806218294755E-3</v>
      </c>
      <c r="AE320" s="8">
        <f t="shared" si="47"/>
        <v>2.4586807105107349E-3</v>
      </c>
      <c r="AF320" s="2">
        <f t="shared" si="48"/>
        <v>-5.836651197818777E-4</v>
      </c>
      <c r="AG320" s="8">
        <f t="shared" si="49"/>
        <v>3.0423458302926126E-3</v>
      </c>
      <c r="AH320" s="7">
        <f t="shared" si="50"/>
        <v>-0.19184706550134073</v>
      </c>
      <c r="AI320">
        <f t="shared" si="51"/>
        <v>4</v>
      </c>
      <c r="AJ320" s="10">
        <f t="shared" si="52"/>
        <v>4.8677533284681801E-2</v>
      </c>
    </row>
    <row r="321" spans="1:36" hidden="1" x14ac:dyDescent="0.25">
      <c r="A321" t="b">
        <v>0</v>
      </c>
      <c r="B321">
        <v>1000</v>
      </c>
      <c r="C321">
        <v>4.8677533284681801E-2</v>
      </c>
      <c r="D321" t="s">
        <v>52</v>
      </c>
      <c r="E321" t="b">
        <v>1</v>
      </c>
      <c r="F321" t="s">
        <v>53</v>
      </c>
      <c r="G321">
        <v>7.4999999999999997E-2</v>
      </c>
      <c r="H321">
        <v>0.5</v>
      </c>
      <c r="I321">
        <v>1E-4</v>
      </c>
      <c r="J321" t="b">
        <v>1</v>
      </c>
      <c r="K321">
        <v>4</v>
      </c>
      <c r="L321">
        <v>1500</v>
      </c>
      <c r="M321">
        <v>0.05</v>
      </c>
      <c r="N321">
        <v>0.154</v>
      </c>
      <c r="O321" t="s">
        <v>236</v>
      </c>
      <c r="P321" t="s">
        <v>239</v>
      </c>
      <c r="Q321">
        <v>-1.3653528850014399E-4</v>
      </c>
      <c r="R321">
        <v>2.9043959782670202E-4</v>
      </c>
      <c r="S321">
        <v>4.6683958261348998E-4</v>
      </c>
      <c r="T321">
        <v>-2.54496821340644E-3</v>
      </c>
      <c r="U321">
        <v>4.00269410335925</v>
      </c>
      <c r="V321" s="1">
        <v>9.9999999999995803E-15</v>
      </c>
      <c r="W321">
        <v>0.143914380121476</v>
      </c>
      <c r="X321">
        <v>2.4999999999999898</v>
      </c>
      <c r="Y321">
        <v>6.4577946410040097</v>
      </c>
      <c r="Z321">
        <v>0.49999999952473401</v>
      </c>
      <c r="AA321">
        <v>11.8048995506645</v>
      </c>
      <c r="AB321" s="9">
        <f t="shared" si="44"/>
        <v>-0.34071770959831676</v>
      </c>
      <c r="AC321" s="9">
        <f t="shared" si="45"/>
        <v>-0.34243268744217975</v>
      </c>
      <c r="AD321" s="2">
        <f t="shared" si="46"/>
        <v>5.0334273668510843E-3</v>
      </c>
      <c r="AE321" s="8">
        <f t="shared" si="47"/>
        <v>2.4675324844315207E-3</v>
      </c>
      <c r="AF321" s="2">
        <f t="shared" si="48"/>
        <v>-5.7481334586109191E-4</v>
      </c>
      <c r="AG321" s="8">
        <f t="shared" si="49"/>
        <v>3.0423458302926126E-3</v>
      </c>
      <c r="AH321" s="7">
        <f t="shared" si="50"/>
        <v>-0.18893754291102613</v>
      </c>
      <c r="AI321">
        <f t="shared" si="51"/>
        <v>4</v>
      </c>
      <c r="AJ321" s="10">
        <f t="shared" si="52"/>
        <v>4.8677533284681801E-2</v>
      </c>
    </row>
    <row r="322" spans="1:36" hidden="1" x14ac:dyDescent="0.25">
      <c r="A322" t="b">
        <v>0</v>
      </c>
      <c r="B322">
        <v>1000</v>
      </c>
      <c r="C322">
        <v>4.8677533284681801E-2</v>
      </c>
      <c r="D322" t="s">
        <v>52</v>
      </c>
      <c r="E322" t="b">
        <v>1</v>
      </c>
      <c r="F322" t="s">
        <v>53</v>
      </c>
      <c r="G322">
        <v>7.4999999999999997E-2</v>
      </c>
      <c r="H322">
        <v>0.5</v>
      </c>
      <c r="I322">
        <v>1E-4</v>
      </c>
      <c r="J322" t="b">
        <v>1</v>
      </c>
      <c r="K322">
        <v>4</v>
      </c>
      <c r="L322">
        <v>1500</v>
      </c>
      <c r="M322">
        <v>0.05</v>
      </c>
      <c r="N322">
        <v>0.154</v>
      </c>
      <c r="O322" t="s">
        <v>236</v>
      </c>
      <c r="P322" t="s">
        <v>240</v>
      </c>
      <c r="Q322">
        <v>-2.7307054548498502E-4</v>
      </c>
      <c r="R322">
        <v>5.8346375147516605E-4</v>
      </c>
      <c r="S322">
        <v>9.3367575290179399E-4</v>
      </c>
      <c r="T322">
        <v>-5.0897607559586304E-3</v>
      </c>
      <c r="U322">
        <v>4.0022171622627898</v>
      </c>
      <c r="V322" s="1">
        <v>9.9999999999999905E-15</v>
      </c>
      <c r="W322">
        <v>0.14586427292651699</v>
      </c>
      <c r="X322">
        <v>2.4999999999999898</v>
      </c>
      <c r="Y322">
        <v>6.4640953774626801</v>
      </c>
      <c r="Z322">
        <v>0.499999999999999</v>
      </c>
      <c r="AA322">
        <v>11.8667832213695</v>
      </c>
      <c r="AB322" s="9">
        <f t="shared" si="44"/>
        <v>-0.34070719546775452</v>
      </c>
      <c r="AC322" s="9">
        <f t="shared" si="45"/>
        <v>-0.34243268744217975</v>
      </c>
      <c r="AD322" s="2">
        <f t="shared" si="46"/>
        <v>5.0644424226389262E-3</v>
      </c>
      <c r="AE322" s="8">
        <f t="shared" si="47"/>
        <v>2.4640104693065411E-3</v>
      </c>
      <c r="AF322" s="2">
        <f t="shared" si="48"/>
        <v>-5.7833536098607146E-4</v>
      </c>
      <c r="AG322" s="8">
        <f t="shared" si="49"/>
        <v>3.0423458302926126E-3</v>
      </c>
      <c r="AH322" s="7">
        <f t="shared" si="50"/>
        <v>-0.19009520720083528</v>
      </c>
      <c r="AI322">
        <f t="shared" si="51"/>
        <v>4</v>
      </c>
      <c r="AJ322" s="10">
        <f t="shared" si="52"/>
        <v>4.8677533284681801E-2</v>
      </c>
    </row>
    <row r="323" spans="1:36" hidden="1" x14ac:dyDescent="0.25">
      <c r="A323" t="b">
        <v>0</v>
      </c>
      <c r="B323">
        <v>1000</v>
      </c>
      <c r="C323">
        <v>4.8677533284681801E-2</v>
      </c>
      <c r="D323" t="s">
        <v>52</v>
      </c>
      <c r="E323" t="b">
        <v>1</v>
      </c>
      <c r="F323" t="s">
        <v>53</v>
      </c>
      <c r="G323">
        <v>7.4999999999999997E-2</v>
      </c>
      <c r="H323">
        <v>0.5</v>
      </c>
      <c r="I323">
        <v>1E-4</v>
      </c>
      <c r="J323" t="b">
        <v>1</v>
      </c>
      <c r="K323">
        <v>4</v>
      </c>
      <c r="L323">
        <v>1500</v>
      </c>
      <c r="M323">
        <v>0.05</v>
      </c>
      <c r="N323">
        <v>0.154</v>
      </c>
      <c r="O323" t="s">
        <v>237</v>
      </c>
      <c r="P323" t="s">
        <v>239</v>
      </c>
      <c r="Q323" s="1">
        <v>-1E-10</v>
      </c>
      <c r="R323" s="1">
        <v>3.5857860076718299E-12</v>
      </c>
      <c r="S323" s="1">
        <v>3.4657919771804601E-18</v>
      </c>
      <c r="T323" s="1">
        <v>-1.4505051511945301E-16</v>
      </c>
      <c r="U323">
        <v>4.0022172430002998</v>
      </c>
      <c r="V323">
        <v>0</v>
      </c>
      <c r="W323">
        <v>6.8474549704556201E-2</v>
      </c>
      <c r="X323">
        <v>2</v>
      </c>
      <c r="Y323">
        <v>4.0005664984220498E-3</v>
      </c>
      <c r="Z323">
        <v>2.5000000000000001E-4</v>
      </c>
      <c r="AA323">
        <v>4.79335308245042E-3</v>
      </c>
      <c r="AB323" s="9">
        <f t="shared" si="44"/>
        <v>-2.6157534135505252</v>
      </c>
      <c r="AC323" s="9">
        <f t="shared" si="45"/>
        <v>-0.34243268744217975</v>
      </c>
      <c r="AD323" s="2">
        <f t="shared" si="46"/>
        <v>-0.86908831479746618</v>
      </c>
      <c r="AE323" s="8">
        <f t="shared" si="47"/>
        <v>3.1807189935136675</v>
      </c>
      <c r="AF323" s="2">
        <f t="shared" si="48"/>
        <v>3.1776766476833749</v>
      </c>
      <c r="AG323" s="8">
        <f t="shared" si="49"/>
        <v>3.0423458302926126E-3</v>
      </c>
      <c r="AH323" s="7">
        <f t="shared" si="50"/>
        <v>1044.4823912006566</v>
      </c>
      <c r="AI323">
        <f t="shared" si="51"/>
        <v>4</v>
      </c>
      <c r="AJ323" s="10">
        <f t="shared" si="52"/>
        <v>4.8677533284681801E-2</v>
      </c>
    </row>
    <row r="324" spans="1:36" hidden="1" x14ac:dyDescent="0.25">
      <c r="A324" t="b">
        <v>0</v>
      </c>
      <c r="B324">
        <v>1000</v>
      </c>
      <c r="C324">
        <v>4.8677533284681801E-2</v>
      </c>
      <c r="D324" t="s">
        <v>52</v>
      </c>
      <c r="E324" t="b">
        <v>1</v>
      </c>
      <c r="F324" t="s">
        <v>53</v>
      </c>
      <c r="G324">
        <v>7.4999999999999997E-2</v>
      </c>
      <c r="H324">
        <v>0.5</v>
      </c>
      <c r="I324">
        <v>1E-4</v>
      </c>
      <c r="J324" t="b">
        <v>1</v>
      </c>
      <c r="K324">
        <v>4</v>
      </c>
      <c r="L324">
        <v>1500</v>
      </c>
      <c r="M324">
        <v>0.05</v>
      </c>
      <c r="N324">
        <v>0.154</v>
      </c>
      <c r="O324" t="s">
        <v>237</v>
      </c>
      <c r="P324" t="s">
        <v>240</v>
      </c>
      <c r="Q324">
        <v>-1.36535256457743E-4</v>
      </c>
      <c r="R324">
        <v>2.92447458110383E-4</v>
      </c>
      <c r="S324">
        <v>4.66836170288302E-4</v>
      </c>
      <c r="T324">
        <v>-2.54479254255233E-3</v>
      </c>
      <c r="U324">
        <v>4.0017403019038298</v>
      </c>
      <c r="V324" s="1">
        <v>9.9999999999995803E-15</v>
      </c>
      <c r="W324">
        <v>0.14361887265165499</v>
      </c>
      <c r="X324">
        <v>2.4999999999999898</v>
      </c>
      <c r="Y324">
        <v>6.5169652104931597</v>
      </c>
      <c r="Z324">
        <v>0.499999999524047</v>
      </c>
      <c r="AA324">
        <v>11.880258268616799</v>
      </c>
      <c r="AB324" s="9">
        <f t="shared" si="44"/>
        <v>-0.34069668126035968</v>
      </c>
      <c r="AC324" s="9">
        <f t="shared" si="45"/>
        <v>-0.34243268744217975</v>
      </c>
      <c r="AD324" s="2">
        <f t="shared" si="46"/>
        <v>5.0954596193832913E-3</v>
      </c>
      <c r="AE324" s="8">
        <f t="shared" si="47"/>
        <v>2.4604884531925567E-3</v>
      </c>
      <c r="AF324" s="2">
        <f t="shared" si="48"/>
        <v>-5.818573771000559E-4</v>
      </c>
      <c r="AG324" s="8">
        <f t="shared" si="49"/>
        <v>3.0423458302926126E-3</v>
      </c>
      <c r="AH324" s="7">
        <f t="shared" si="50"/>
        <v>-0.19125287181572415</v>
      </c>
      <c r="AI324">
        <f t="shared" si="51"/>
        <v>4</v>
      </c>
      <c r="AJ324" s="10">
        <f t="shared" si="52"/>
        <v>4.8677533284681801E-2</v>
      </c>
    </row>
    <row r="325" spans="1:36" hidden="1" x14ac:dyDescent="0.25">
      <c r="A325" t="b">
        <v>0</v>
      </c>
      <c r="B325">
        <v>1000</v>
      </c>
      <c r="C325">
        <v>4.8677533284681801E-2</v>
      </c>
      <c r="D325" t="s">
        <v>52</v>
      </c>
      <c r="E325" t="b">
        <v>1</v>
      </c>
      <c r="F325" t="s">
        <v>53</v>
      </c>
      <c r="G325">
        <v>7.4999999999999997E-2</v>
      </c>
      <c r="H325">
        <v>0.5</v>
      </c>
      <c r="I325">
        <v>1E-4</v>
      </c>
      <c r="J325" t="b">
        <v>1</v>
      </c>
      <c r="K325">
        <v>4</v>
      </c>
      <c r="L325">
        <v>1500</v>
      </c>
      <c r="M325">
        <v>0.05</v>
      </c>
      <c r="N325">
        <v>0.154</v>
      </c>
      <c r="O325" t="s">
        <v>238</v>
      </c>
      <c r="P325" t="s">
        <v>239</v>
      </c>
      <c r="Q325" s="1">
        <v>-1.9521160890709601E-5</v>
      </c>
      <c r="R325" s="1">
        <v>3.8958113996946399E-5</v>
      </c>
      <c r="S325" s="1">
        <v>6.6750041928275396E-5</v>
      </c>
      <c r="T325">
        <v>-3.6405590019278198E-4</v>
      </c>
      <c r="U325">
        <v>4.0022854645037098</v>
      </c>
      <c r="V325" s="1">
        <v>9.9999999999999905E-15</v>
      </c>
      <c r="W325">
        <v>0.13495083984904199</v>
      </c>
      <c r="X325">
        <v>2.4999999999999898</v>
      </c>
      <c r="Y325">
        <v>6.0844912490174101</v>
      </c>
      <c r="Z325">
        <v>0.49999999992872501</v>
      </c>
      <c r="AA325">
        <v>11.0681544640114</v>
      </c>
      <c r="AB325" s="9">
        <f t="shared" si="44"/>
        <v>-0.34087609692437465</v>
      </c>
      <c r="AC325" s="9">
        <f t="shared" si="45"/>
        <v>-0.34243268744217975</v>
      </c>
      <c r="AD325" s="2">
        <f t="shared" si="46"/>
        <v>4.5664408031238501E-3</v>
      </c>
      <c r="AE325" s="8">
        <f t="shared" si="47"/>
        <v>2.5205919400515301E-3</v>
      </c>
      <c r="AF325" s="2">
        <f t="shared" si="48"/>
        <v>-5.2175389024108247E-4</v>
      </c>
      <c r="AG325" s="8">
        <f t="shared" si="49"/>
        <v>3.0423458302926126E-3</v>
      </c>
      <c r="AH325" s="7">
        <f t="shared" si="50"/>
        <v>-0.17149723251248536</v>
      </c>
      <c r="AI325">
        <f t="shared" si="51"/>
        <v>4</v>
      </c>
      <c r="AJ325" s="10">
        <f t="shared" si="52"/>
        <v>4.8677533284681801E-2</v>
      </c>
    </row>
    <row r="326" spans="1:36" hidden="1" x14ac:dyDescent="0.25">
      <c r="A326" t="b">
        <v>0</v>
      </c>
      <c r="B326">
        <v>1000</v>
      </c>
      <c r="C326">
        <v>4.8677533284681801E-2</v>
      </c>
      <c r="D326" t="s">
        <v>52</v>
      </c>
      <c r="E326" t="b">
        <v>1</v>
      </c>
      <c r="F326" t="s">
        <v>53</v>
      </c>
      <c r="G326">
        <v>7.4999999999999997E-2</v>
      </c>
      <c r="H326">
        <v>0.5</v>
      </c>
      <c r="I326">
        <v>1E-4</v>
      </c>
      <c r="J326" t="b">
        <v>1</v>
      </c>
      <c r="K326">
        <v>4</v>
      </c>
      <c r="L326">
        <v>1500</v>
      </c>
      <c r="M326">
        <v>0.05</v>
      </c>
      <c r="N326">
        <v>0.154</v>
      </c>
      <c r="O326" t="s">
        <v>238</v>
      </c>
      <c r="P326" t="s">
        <v>240</v>
      </c>
      <c r="Q326">
        <v>-1.5605641732394299E-4</v>
      </c>
      <c r="R326">
        <v>3.1799923191026998E-4</v>
      </c>
      <c r="S326">
        <v>5.3358621221657597E-4</v>
      </c>
      <c r="T326">
        <v>-2.9088484427449899E-3</v>
      </c>
      <c r="U326">
        <v>4.0018085234072398</v>
      </c>
      <c r="V326" s="1">
        <v>9.9999999999995598E-15</v>
      </c>
      <c r="W326">
        <v>0.13634051286521501</v>
      </c>
      <c r="X326">
        <v>2.4999999999999898</v>
      </c>
      <c r="Y326">
        <v>6.2244489515936801</v>
      </c>
      <c r="Z326">
        <v>0.49999999951811303</v>
      </c>
      <c r="AA326">
        <v>11.295193806160301</v>
      </c>
      <c r="AB326" s="9">
        <f t="shared" si="44"/>
        <v>-0.34071912562420237</v>
      </c>
      <c r="AC326" s="9">
        <f t="shared" si="45"/>
        <v>-0.34243268744217975</v>
      </c>
      <c r="AD326" s="2">
        <f t="shared" si="46"/>
        <v>5.0292504561877394E-3</v>
      </c>
      <c r="AE326" s="8">
        <f t="shared" si="47"/>
        <v>2.4680068255516691E-3</v>
      </c>
      <c r="AF326" s="2">
        <f t="shared" si="48"/>
        <v>-5.7433900474094341E-4</v>
      </c>
      <c r="AG326" s="8">
        <f t="shared" si="49"/>
        <v>3.0423458302926126E-3</v>
      </c>
      <c r="AH326" s="7">
        <f t="shared" si="50"/>
        <v>-0.188781629958782</v>
      </c>
      <c r="AI326">
        <f t="shared" si="51"/>
        <v>4</v>
      </c>
      <c r="AJ326" s="10">
        <f t="shared" si="52"/>
        <v>4.8677533284681801E-2</v>
      </c>
    </row>
    <row r="327" spans="1:36" hidden="1" x14ac:dyDescent="0.25">
      <c r="A327" t="b">
        <v>0</v>
      </c>
      <c r="B327">
        <v>1000</v>
      </c>
      <c r="C327">
        <v>4.8677533284681801E-2</v>
      </c>
      <c r="D327" t="s">
        <v>52</v>
      </c>
      <c r="E327" t="b">
        <v>1</v>
      </c>
      <c r="F327" t="s">
        <v>53</v>
      </c>
      <c r="G327">
        <v>7.4999999999999997E-2</v>
      </c>
      <c r="H327">
        <v>0.5</v>
      </c>
      <c r="I327">
        <v>1E-4</v>
      </c>
      <c r="J327" t="b">
        <v>1</v>
      </c>
      <c r="K327">
        <v>4</v>
      </c>
      <c r="L327">
        <v>1500</v>
      </c>
      <c r="M327">
        <v>0.05</v>
      </c>
      <c r="N327">
        <v>0.154</v>
      </c>
      <c r="O327" t="s">
        <v>239</v>
      </c>
      <c r="P327" t="s">
        <v>240</v>
      </c>
      <c r="Q327">
        <v>-1.3653525645774799E-4</v>
      </c>
      <c r="R327">
        <v>2.91305175960087E-4</v>
      </c>
      <c r="S327">
        <v>4.6683617028830899E-4</v>
      </c>
      <c r="T327">
        <v>-2.5447925425524402E-3</v>
      </c>
      <c r="U327">
        <v>4.0017403019036397</v>
      </c>
      <c r="V327" s="1">
        <v>9.9999999999995803E-15</v>
      </c>
      <c r="W327">
        <v>0.14428678754075699</v>
      </c>
      <c r="X327">
        <v>2.4999999999999898</v>
      </c>
      <c r="Y327">
        <v>6.4745017407633298</v>
      </c>
      <c r="Z327">
        <v>0.49999999952403901</v>
      </c>
      <c r="AA327">
        <v>11.8413063038989</v>
      </c>
      <c r="AB327" s="9">
        <f t="shared" si="44"/>
        <v>-0.34069668126036934</v>
      </c>
      <c r="AC327" s="9">
        <f t="shared" si="45"/>
        <v>-0.34243268744217975</v>
      </c>
      <c r="AD327" s="2">
        <f t="shared" si="46"/>
        <v>5.0954596193548696E-3</v>
      </c>
      <c r="AE327" s="8">
        <f t="shared" si="47"/>
        <v>2.4604884531957802E-3</v>
      </c>
      <c r="AF327" s="2">
        <f t="shared" si="48"/>
        <v>-5.8185737709683235E-4</v>
      </c>
      <c r="AG327" s="8">
        <f t="shared" si="49"/>
        <v>3.0423458302926126E-3</v>
      </c>
      <c r="AH327" s="7">
        <f t="shared" si="50"/>
        <v>-0.1912528718146646</v>
      </c>
      <c r="AI327">
        <f t="shared" si="51"/>
        <v>4</v>
      </c>
      <c r="AJ327" s="10">
        <f t="shared" si="52"/>
        <v>4.8677533284681801E-2</v>
      </c>
    </row>
    <row r="328" spans="1:36" hidden="1" x14ac:dyDescent="0.25">
      <c r="A328" t="b">
        <v>0</v>
      </c>
      <c r="B328">
        <v>1000</v>
      </c>
      <c r="C328">
        <v>4.8677533284681801E-2</v>
      </c>
      <c r="D328" t="s">
        <v>52</v>
      </c>
      <c r="E328" t="b">
        <v>1</v>
      </c>
      <c r="F328" t="s">
        <v>53</v>
      </c>
      <c r="G328">
        <v>7.4999999999999997E-2</v>
      </c>
      <c r="H328">
        <v>0.5</v>
      </c>
      <c r="I328">
        <v>1E-4</v>
      </c>
      <c r="J328" t="b">
        <v>1</v>
      </c>
      <c r="K328">
        <v>6</v>
      </c>
      <c r="L328">
        <v>1500</v>
      </c>
      <c r="M328">
        <v>0.05</v>
      </c>
      <c r="N328">
        <v>0.154</v>
      </c>
      <c r="O328" t="s">
        <v>241</v>
      </c>
      <c r="P328" t="s">
        <v>242</v>
      </c>
      <c r="Q328" s="1">
        <v>-3.7714717028776203E-5</v>
      </c>
      <c r="R328">
        <v>3.3319973697109299E-4</v>
      </c>
      <c r="S328">
        <v>1.4986892227292499E-4</v>
      </c>
      <c r="T328">
        <v>-1.8116892658847799E-3</v>
      </c>
      <c r="U328">
        <v>5.9997082884353299</v>
      </c>
      <c r="V328" s="1">
        <v>9.9999999999992695E-15</v>
      </c>
      <c r="W328">
        <v>0.59534589384280001</v>
      </c>
      <c r="X328">
        <v>2.4999999999999898</v>
      </c>
      <c r="Y328">
        <v>26.8192952482846</v>
      </c>
      <c r="Z328">
        <v>0.499999999712326</v>
      </c>
      <c r="AA328">
        <v>49.023486962373902</v>
      </c>
      <c r="AB328" s="9">
        <f t="shared" si="44"/>
        <v>-0.33579144406261158</v>
      </c>
      <c r="AC328" s="9">
        <f t="shared" si="45"/>
        <v>-0.33738431688797854</v>
      </c>
      <c r="AD328" s="2">
        <f t="shared" si="46"/>
        <v>4.7436373187339509E-3</v>
      </c>
      <c r="AE328" s="8">
        <f t="shared" si="47"/>
        <v>8.2004216123775383E-4</v>
      </c>
      <c r="AF328" s="2">
        <f t="shared" si="48"/>
        <v>-5.3211154111451847E-4</v>
      </c>
      <c r="AG328" s="8">
        <f t="shared" si="49"/>
        <v>1.3521537023522723E-3</v>
      </c>
      <c r="AH328" s="7">
        <f t="shared" si="50"/>
        <v>-0.39352888668561226</v>
      </c>
      <c r="AI328">
        <f t="shared" si="51"/>
        <v>6</v>
      </c>
      <c r="AJ328" s="10">
        <f t="shared" si="52"/>
        <v>4.8677533284681801E-2</v>
      </c>
    </row>
    <row r="329" spans="1:36" hidden="1" x14ac:dyDescent="0.25">
      <c r="A329" t="b">
        <v>0</v>
      </c>
      <c r="B329">
        <v>1000</v>
      </c>
      <c r="C329">
        <v>4.8677533284681801E-2</v>
      </c>
      <c r="D329" t="s">
        <v>52</v>
      </c>
      <c r="E329" t="b">
        <v>1</v>
      </c>
      <c r="F329" t="s">
        <v>53</v>
      </c>
      <c r="G329">
        <v>7.4999999999999997E-2</v>
      </c>
      <c r="H329">
        <v>0.5</v>
      </c>
      <c r="I329">
        <v>1E-4</v>
      </c>
      <c r="J329" t="b">
        <v>1</v>
      </c>
      <c r="K329">
        <v>6</v>
      </c>
      <c r="L329">
        <v>1500</v>
      </c>
      <c r="M329">
        <v>0.05</v>
      </c>
      <c r="N329">
        <v>0.154</v>
      </c>
      <c r="O329" t="s">
        <v>241</v>
      </c>
      <c r="P329" t="s">
        <v>243</v>
      </c>
      <c r="Q329">
        <v>-3.01396335489321E-4</v>
      </c>
      <c r="R329">
        <v>2.6941198606760799E-3</v>
      </c>
      <c r="S329">
        <v>1.19734077535992E-3</v>
      </c>
      <c r="T329">
        <v>-1.44604002162877E-2</v>
      </c>
      <c r="U329">
        <v>5.99812664604422</v>
      </c>
      <c r="V329" s="1">
        <v>9.9999999999999905E-15</v>
      </c>
      <c r="W329">
        <v>0.60813240653386902</v>
      </c>
      <c r="X329">
        <v>2.4999999999999898</v>
      </c>
      <c r="Y329">
        <v>27.024970056273101</v>
      </c>
      <c r="Z329">
        <v>0.499999999999999</v>
      </c>
      <c r="AA329">
        <v>49.645206527104399</v>
      </c>
      <c r="AB329" s="9">
        <f t="shared" si="44"/>
        <v>-0.33547490576776295</v>
      </c>
      <c r="AC329" s="9">
        <f t="shared" si="45"/>
        <v>-0.33738431688797854</v>
      </c>
      <c r="AD329" s="2">
        <f t="shared" si="46"/>
        <v>5.6916660155124088E-3</v>
      </c>
      <c r="AE329" s="8">
        <f t="shared" si="47"/>
        <v>7.1436743467858201E-4</v>
      </c>
      <c r="AF329" s="2">
        <f t="shared" si="48"/>
        <v>-6.3778626767369028E-4</v>
      </c>
      <c r="AG329" s="8">
        <f t="shared" si="49"/>
        <v>1.3521537023522723E-3</v>
      </c>
      <c r="AH329" s="7">
        <f t="shared" si="50"/>
        <v>-0.47168178185968523</v>
      </c>
      <c r="AI329">
        <f t="shared" si="51"/>
        <v>6</v>
      </c>
      <c r="AJ329" s="10">
        <f t="shared" si="52"/>
        <v>4.8677533284681801E-2</v>
      </c>
    </row>
    <row r="330" spans="1:36" hidden="1" x14ac:dyDescent="0.25">
      <c r="A330" t="b">
        <v>0</v>
      </c>
      <c r="B330">
        <v>1000</v>
      </c>
      <c r="C330">
        <v>4.8677533284681801E-2</v>
      </c>
      <c r="D330" t="s">
        <v>52</v>
      </c>
      <c r="E330" t="b">
        <v>1</v>
      </c>
      <c r="F330" t="s">
        <v>53</v>
      </c>
      <c r="G330">
        <v>7.4999999999999997E-2</v>
      </c>
      <c r="H330">
        <v>0.5</v>
      </c>
      <c r="I330">
        <v>1E-4</v>
      </c>
      <c r="J330" t="b">
        <v>1</v>
      </c>
      <c r="K330">
        <v>6</v>
      </c>
      <c r="L330">
        <v>1500</v>
      </c>
      <c r="M330">
        <v>0.05</v>
      </c>
      <c r="N330">
        <v>0.154</v>
      </c>
      <c r="O330" t="s">
        <v>241</v>
      </c>
      <c r="P330" t="s">
        <v>244</v>
      </c>
      <c r="Q330" s="1">
        <v>-3.7714717028778202E-5</v>
      </c>
      <c r="R330">
        <v>3.4282836694685402E-4</v>
      </c>
      <c r="S330">
        <v>1.4986892227292499E-4</v>
      </c>
      <c r="T330">
        <v>-1.81168926588476E-3</v>
      </c>
      <c r="U330">
        <v>5.9997082884385602</v>
      </c>
      <c r="V330" s="1">
        <v>9.9999999999992805E-15</v>
      </c>
      <c r="W330">
        <v>0.61128405294879395</v>
      </c>
      <c r="X330">
        <v>2.4999999999999898</v>
      </c>
      <c r="Y330">
        <v>27.565907893455201</v>
      </c>
      <c r="Z330">
        <v>0.499999999712327</v>
      </c>
      <c r="AA330">
        <v>50.445706262780398</v>
      </c>
      <c r="AB330" s="9">
        <f t="shared" si="44"/>
        <v>-0.33579144406260786</v>
      </c>
      <c r="AC330" s="9">
        <f t="shared" si="45"/>
        <v>-0.33738431688797854</v>
      </c>
      <c r="AD330" s="2">
        <f t="shared" si="46"/>
        <v>4.7436373187450531E-3</v>
      </c>
      <c r="AE330" s="8">
        <f t="shared" si="47"/>
        <v>8.2004216123649333E-4</v>
      </c>
      <c r="AF330" s="2">
        <f t="shared" si="48"/>
        <v>-5.3211154111577896E-4</v>
      </c>
      <c r="AG330" s="8">
        <f t="shared" si="49"/>
        <v>1.3521537023522723E-3</v>
      </c>
      <c r="AH330" s="7">
        <f t="shared" si="50"/>
        <v>-0.39352888668654451</v>
      </c>
      <c r="AI330">
        <f t="shared" si="51"/>
        <v>6</v>
      </c>
      <c r="AJ330" s="10">
        <f t="shared" si="52"/>
        <v>4.8677533284681801E-2</v>
      </c>
    </row>
    <row r="331" spans="1:36" hidden="1" x14ac:dyDescent="0.25">
      <c r="A331" t="b">
        <v>0</v>
      </c>
      <c r="B331">
        <v>1000</v>
      </c>
      <c r="C331">
        <v>4.8677533284681801E-2</v>
      </c>
      <c r="D331" t="s">
        <v>52</v>
      </c>
      <c r="E331" t="b">
        <v>1</v>
      </c>
      <c r="F331" t="s">
        <v>53</v>
      </c>
      <c r="G331">
        <v>7.4999999999999997E-2</v>
      </c>
      <c r="H331">
        <v>0.5</v>
      </c>
      <c r="I331">
        <v>1E-4</v>
      </c>
      <c r="J331" t="b">
        <v>1</v>
      </c>
      <c r="K331">
        <v>6</v>
      </c>
      <c r="L331">
        <v>1500</v>
      </c>
      <c r="M331">
        <v>0.05</v>
      </c>
      <c r="N331">
        <v>0.154</v>
      </c>
      <c r="O331" t="s">
        <v>241</v>
      </c>
      <c r="P331" t="s">
        <v>245</v>
      </c>
      <c r="Q331" s="1">
        <v>-7.5429686872337002E-5</v>
      </c>
      <c r="R331">
        <v>6.6560762184145195E-4</v>
      </c>
      <c r="S331">
        <v>2.9973733020904398E-4</v>
      </c>
      <c r="T331">
        <v>-3.6233102381211298E-3</v>
      </c>
      <c r="U331">
        <v>5.9994818077114198</v>
      </c>
      <c r="V331" s="1">
        <v>9.9999999999999905E-15</v>
      </c>
      <c r="W331">
        <v>0.60020760936355699</v>
      </c>
      <c r="X331">
        <v>2.4999999999999898</v>
      </c>
      <c r="Y331">
        <v>26.703297488878398</v>
      </c>
      <c r="Z331">
        <v>0.499999999999999</v>
      </c>
      <c r="AA331">
        <v>49.0016553641548</v>
      </c>
      <c r="AB331" s="9">
        <f t="shared" si="44"/>
        <v>-0.33578569123933227</v>
      </c>
      <c r="AC331" s="9">
        <f t="shared" si="45"/>
        <v>-0.33738431688797854</v>
      </c>
      <c r="AD331" s="2">
        <f t="shared" si="46"/>
        <v>4.7608510140679794E-3</v>
      </c>
      <c r="AE331" s="8">
        <f t="shared" si="47"/>
        <v>8.1812141083629673E-4</v>
      </c>
      <c r="AF331" s="2">
        <f t="shared" si="48"/>
        <v>-5.3403229151597557E-4</v>
      </c>
      <c r="AG331" s="8">
        <f t="shared" si="49"/>
        <v>1.3521537023522723E-3</v>
      </c>
      <c r="AH331" s="7">
        <f t="shared" si="50"/>
        <v>-0.39494939856833366</v>
      </c>
      <c r="AI331">
        <f t="shared" si="51"/>
        <v>6</v>
      </c>
      <c r="AJ331" s="10">
        <f t="shared" si="52"/>
        <v>4.8677533284681801E-2</v>
      </c>
    </row>
    <row r="332" spans="1:36" hidden="1" x14ac:dyDescent="0.25">
      <c r="A332" t="b">
        <v>0</v>
      </c>
      <c r="B332">
        <v>1000</v>
      </c>
      <c r="C332">
        <v>4.8677533284681801E-2</v>
      </c>
      <c r="D332" t="s">
        <v>52</v>
      </c>
      <c r="E332" t="b">
        <v>1</v>
      </c>
      <c r="F332" t="s">
        <v>53</v>
      </c>
      <c r="G332">
        <v>7.4999999999999997E-2</v>
      </c>
      <c r="H332">
        <v>0.5</v>
      </c>
      <c r="I332">
        <v>1E-4</v>
      </c>
      <c r="J332" t="b">
        <v>1</v>
      </c>
      <c r="K332">
        <v>6</v>
      </c>
      <c r="L332">
        <v>1500</v>
      </c>
      <c r="M332">
        <v>0.05</v>
      </c>
      <c r="N332">
        <v>0.154</v>
      </c>
      <c r="O332" t="s">
        <v>241</v>
      </c>
      <c r="P332" t="s">
        <v>246</v>
      </c>
      <c r="Q332">
        <v>-3.39113066422197E-4</v>
      </c>
      <c r="R332">
        <v>2.5219603066036701E-3</v>
      </c>
      <c r="S332">
        <v>1.34720559273907E-3</v>
      </c>
      <c r="T332">
        <v>-1.6271544460497799E-2</v>
      </c>
      <c r="U332">
        <v>5.9979001054575898</v>
      </c>
      <c r="V332" s="1">
        <v>9.9999999999999905E-15</v>
      </c>
      <c r="W332">
        <v>0.49516520447270901</v>
      </c>
      <c r="X332">
        <v>2.4999999999999898</v>
      </c>
      <c r="Y332">
        <v>22.9428768343301</v>
      </c>
      <c r="Z332">
        <v>0.499999999999999</v>
      </c>
      <c r="AA332">
        <v>41.156354365557597</v>
      </c>
      <c r="AB332" s="9">
        <f t="shared" si="44"/>
        <v>-0.33549990332654506</v>
      </c>
      <c r="AC332" s="9">
        <f t="shared" si="45"/>
        <v>-0.33738431688797854</v>
      </c>
      <c r="AD332" s="2">
        <f t="shared" si="46"/>
        <v>5.6167335452235179E-3</v>
      </c>
      <c r="AE332" s="8">
        <f t="shared" si="47"/>
        <v>7.2271193306654114E-4</v>
      </c>
      <c r="AF332" s="2">
        <f t="shared" si="48"/>
        <v>-6.2944176928573115E-4</v>
      </c>
      <c r="AG332" s="8">
        <f t="shared" si="49"/>
        <v>1.3521537023522723E-3</v>
      </c>
      <c r="AH332" s="7">
        <f t="shared" si="50"/>
        <v>-0.46551051717768749</v>
      </c>
      <c r="AI332">
        <f t="shared" si="51"/>
        <v>6</v>
      </c>
      <c r="AJ332" s="10">
        <f t="shared" si="52"/>
        <v>4.8677533284681801E-2</v>
      </c>
    </row>
    <row r="333" spans="1:36" hidden="1" x14ac:dyDescent="0.25">
      <c r="A333" t="b">
        <v>0</v>
      </c>
      <c r="B333">
        <v>1000</v>
      </c>
      <c r="C333">
        <v>4.8677533284681801E-2</v>
      </c>
      <c r="D333" t="s">
        <v>52</v>
      </c>
      <c r="E333" t="b">
        <v>1</v>
      </c>
      <c r="F333" t="s">
        <v>53</v>
      </c>
      <c r="G333">
        <v>7.4999999999999997E-2</v>
      </c>
      <c r="H333">
        <v>0.5</v>
      </c>
      <c r="I333">
        <v>1E-4</v>
      </c>
      <c r="J333" t="b">
        <v>1</v>
      </c>
      <c r="K333">
        <v>6</v>
      </c>
      <c r="L333">
        <v>1500</v>
      </c>
      <c r="M333">
        <v>0.05</v>
      </c>
      <c r="N333">
        <v>0.154</v>
      </c>
      <c r="O333" t="s">
        <v>241</v>
      </c>
      <c r="P333" t="s">
        <v>247</v>
      </c>
      <c r="Q333">
        <v>-3.0139633548932301E-4</v>
      </c>
      <c r="R333">
        <v>2.68829019416737E-3</v>
      </c>
      <c r="S333">
        <v>1.19734077535993E-3</v>
      </c>
      <c r="T333">
        <v>-1.44604002162877E-2</v>
      </c>
      <c r="U333">
        <v>5.9981266460431604</v>
      </c>
      <c r="V333" s="1">
        <v>9.9999999999999905E-15</v>
      </c>
      <c r="W333">
        <v>0.60551380363666596</v>
      </c>
      <c r="X333">
        <v>2.4999999999999898</v>
      </c>
      <c r="Y333">
        <v>26.988764892461901</v>
      </c>
      <c r="Z333">
        <v>0.499999999999999</v>
      </c>
      <c r="AA333">
        <v>49.5287414320591</v>
      </c>
      <c r="AB333" s="9">
        <f t="shared" si="44"/>
        <v>-0.33547490576776018</v>
      </c>
      <c r="AC333" s="9">
        <f t="shared" si="45"/>
        <v>-0.33738431688797854</v>
      </c>
      <c r="AD333" s="2">
        <f t="shared" si="46"/>
        <v>5.6916660155206245E-3</v>
      </c>
      <c r="AE333" s="8">
        <f t="shared" si="47"/>
        <v>7.1436743467766782E-4</v>
      </c>
      <c r="AF333" s="2">
        <f t="shared" si="48"/>
        <v>-6.3778626767460448E-4</v>
      </c>
      <c r="AG333" s="8">
        <f t="shared" si="49"/>
        <v>1.3521537023522723E-3</v>
      </c>
      <c r="AH333" s="7">
        <f t="shared" si="50"/>
        <v>-0.47168178186036136</v>
      </c>
      <c r="AI333">
        <f t="shared" si="51"/>
        <v>6</v>
      </c>
      <c r="AJ333" s="10">
        <f t="shared" si="52"/>
        <v>4.8677533284681801E-2</v>
      </c>
    </row>
    <row r="334" spans="1:36" hidden="1" x14ac:dyDescent="0.25">
      <c r="A334" t="b">
        <v>0</v>
      </c>
      <c r="B334">
        <v>1000</v>
      </c>
      <c r="C334">
        <v>4.8677533284681801E-2</v>
      </c>
      <c r="D334" t="s">
        <v>52</v>
      </c>
      <c r="E334" t="b">
        <v>1</v>
      </c>
      <c r="F334" t="s">
        <v>53</v>
      </c>
      <c r="G334">
        <v>7.4999999999999997E-2</v>
      </c>
      <c r="H334">
        <v>0.5</v>
      </c>
      <c r="I334">
        <v>1E-4</v>
      </c>
      <c r="J334" t="b">
        <v>1</v>
      </c>
      <c r="K334">
        <v>6</v>
      </c>
      <c r="L334">
        <v>1500</v>
      </c>
      <c r="M334">
        <v>0.05</v>
      </c>
      <c r="N334">
        <v>0.154</v>
      </c>
      <c r="O334" t="s">
        <v>241</v>
      </c>
      <c r="P334" t="s">
        <v>248</v>
      </c>
      <c r="Q334">
        <v>-3.3911306642219797E-4</v>
      </c>
      <c r="R334">
        <v>2.4734483291661501E-3</v>
      </c>
      <c r="S334">
        <v>1.34720559273908E-3</v>
      </c>
      <c r="T334">
        <v>-1.6271544460497701E-2</v>
      </c>
      <c r="U334">
        <v>5.9979001054555203</v>
      </c>
      <c r="V334" s="1">
        <v>9.9999999999999905E-15</v>
      </c>
      <c r="W334">
        <v>0.48041137862793998</v>
      </c>
      <c r="X334">
        <v>2.4999999999999898</v>
      </c>
      <c r="Y334">
        <v>22.615513288777201</v>
      </c>
      <c r="Z334">
        <v>0.499999999999999</v>
      </c>
      <c r="AA334">
        <v>40.321598732890202</v>
      </c>
      <c r="AB334" s="9">
        <f t="shared" si="44"/>
        <v>-0.33549990332654056</v>
      </c>
      <c r="AC334" s="9">
        <f t="shared" si="45"/>
        <v>-0.33738431688797854</v>
      </c>
      <c r="AD334" s="2">
        <f t="shared" si="46"/>
        <v>5.6167335452370626E-3</v>
      </c>
      <c r="AE334" s="8">
        <f t="shared" si="47"/>
        <v>7.2271193306503389E-4</v>
      </c>
      <c r="AF334" s="2">
        <f t="shared" si="48"/>
        <v>-6.2944176928723841E-4</v>
      </c>
      <c r="AG334" s="8">
        <f t="shared" si="49"/>
        <v>1.3521537023522723E-3</v>
      </c>
      <c r="AH334" s="7">
        <f t="shared" si="50"/>
        <v>-0.46551051717880215</v>
      </c>
      <c r="AI334">
        <f t="shared" si="51"/>
        <v>6</v>
      </c>
      <c r="AJ334" s="10">
        <f t="shared" si="52"/>
        <v>4.8677533284681801E-2</v>
      </c>
    </row>
    <row r="335" spans="1:36" hidden="1" x14ac:dyDescent="0.25">
      <c r="A335" t="b">
        <v>0</v>
      </c>
      <c r="B335">
        <v>1000</v>
      </c>
      <c r="C335">
        <v>4.8677533284681801E-2</v>
      </c>
      <c r="D335" t="s">
        <v>52</v>
      </c>
      <c r="E335" t="b">
        <v>1</v>
      </c>
      <c r="F335" t="s">
        <v>53</v>
      </c>
      <c r="G335">
        <v>7.4999999999999997E-2</v>
      </c>
      <c r="H335">
        <v>0.5</v>
      </c>
      <c r="I335">
        <v>1E-4</v>
      </c>
      <c r="J335" t="b">
        <v>1</v>
      </c>
      <c r="K335">
        <v>6</v>
      </c>
      <c r="L335">
        <v>1500</v>
      </c>
      <c r="M335">
        <v>0.05</v>
      </c>
      <c r="N335">
        <v>0.154</v>
      </c>
      <c r="O335" t="s">
        <v>241</v>
      </c>
      <c r="P335" t="s">
        <v>249</v>
      </c>
      <c r="Q335">
        <v>-6.0280874061307004E-4</v>
      </c>
      <c r="R335">
        <v>5.3452318874288298E-3</v>
      </c>
      <c r="S335">
        <v>2.3946487897857499E-3</v>
      </c>
      <c r="T335">
        <v>-2.8916450853223599E-2</v>
      </c>
      <c r="U335">
        <v>5.9963179847469501</v>
      </c>
      <c r="V335" s="1">
        <v>9.9999999999999905E-15</v>
      </c>
      <c r="W335">
        <v>0.60346752795532099</v>
      </c>
      <c r="X335">
        <v>2.4999999999999898</v>
      </c>
      <c r="Y335">
        <v>26.8212978415627</v>
      </c>
      <c r="Z335">
        <v>0.499999999999999</v>
      </c>
      <c r="AA335">
        <v>49.2446835840476</v>
      </c>
      <c r="AB335" s="9">
        <f t="shared" si="44"/>
        <v>-0.33542904051276073</v>
      </c>
      <c r="AC335" s="9">
        <f t="shared" si="45"/>
        <v>-0.33738431688797854</v>
      </c>
      <c r="AD335" s="2">
        <f t="shared" si="46"/>
        <v>5.8291803602599224E-3</v>
      </c>
      <c r="AE335" s="8">
        <f t="shared" si="47"/>
        <v>6.9905739967958663E-4</v>
      </c>
      <c r="AF335" s="2">
        <f t="shared" si="48"/>
        <v>-6.5309630267268567E-4</v>
      </c>
      <c r="AG335" s="8">
        <f t="shared" si="49"/>
        <v>1.3521537023522723E-3</v>
      </c>
      <c r="AH335" s="7">
        <f t="shared" si="50"/>
        <v>-0.48300448502010357</v>
      </c>
      <c r="AI335">
        <f t="shared" si="51"/>
        <v>6</v>
      </c>
      <c r="AJ335" s="10">
        <f t="shared" si="52"/>
        <v>4.8677533284681801E-2</v>
      </c>
    </row>
    <row r="336" spans="1:36" hidden="1" x14ac:dyDescent="0.25">
      <c r="A336" t="b">
        <v>0</v>
      </c>
      <c r="B336">
        <v>1000</v>
      </c>
      <c r="C336">
        <v>4.8677533284681801E-2</v>
      </c>
      <c r="D336" t="s">
        <v>52</v>
      </c>
      <c r="E336" t="b">
        <v>1</v>
      </c>
      <c r="F336" t="s">
        <v>53</v>
      </c>
      <c r="G336">
        <v>7.4999999999999997E-2</v>
      </c>
      <c r="H336">
        <v>0.5</v>
      </c>
      <c r="I336">
        <v>1E-4</v>
      </c>
      <c r="J336" t="b">
        <v>1</v>
      </c>
      <c r="K336">
        <v>6</v>
      </c>
      <c r="L336">
        <v>1500</v>
      </c>
      <c r="M336">
        <v>0.05</v>
      </c>
      <c r="N336">
        <v>0.154</v>
      </c>
      <c r="O336" t="s">
        <v>242</v>
      </c>
      <c r="P336" t="s">
        <v>243</v>
      </c>
      <c r="Q336">
        <v>-2.63681618217559E-4</v>
      </c>
      <c r="R336">
        <v>2.2355358774047299E-3</v>
      </c>
      <c r="S336">
        <v>1.0474718530869901E-3</v>
      </c>
      <c r="T336">
        <v>-1.26487109504027E-2</v>
      </c>
      <c r="U336">
        <v>5.99790017387026</v>
      </c>
      <c r="V336" s="1">
        <v>9.9999999999999905E-15</v>
      </c>
      <c r="W336">
        <v>0.57480973292108395</v>
      </c>
      <c r="X336">
        <v>2.4999999999999898</v>
      </c>
      <c r="Y336">
        <v>25.7476658900408</v>
      </c>
      <c r="Z336">
        <v>0.499999999999999</v>
      </c>
      <c r="AA336">
        <v>47.051539115867897</v>
      </c>
      <c r="AB336" s="9">
        <f t="shared" si="44"/>
        <v>-0.33542961648101821</v>
      </c>
      <c r="AC336" s="9">
        <f t="shared" si="45"/>
        <v>-0.33738431688797854</v>
      </c>
      <c r="AD336" s="2">
        <f t="shared" si="46"/>
        <v>5.8274532447881722E-3</v>
      </c>
      <c r="AE336" s="8">
        <f t="shared" si="47"/>
        <v>6.9924965765274659E-4</v>
      </c>
      <c r="AF336" s="2">
        <f t="shared" si="48"/>
        <v>-6.5290404469952571E-4</v>
      </c>
      <c r="AG336" s="8">
        <f t="shared" si="49"/>
        <v>1.3521537023522723E-3</v>
      </c>
      <c r="AH336" s="7">
        <f t="shared" si="50"/>
        <v>-0.48286229854172796</v>
      </c>
      <c r="AI336">
        <f t="shared" si="51"/>
        <v>6</v>
      </c>
      <c r="AJ336" s="10">
        <f t="shared" si="52"/>
        <v>4.8677533284681801E-2</v>
      </c>
    </row>
    <row r="337" spans="1:36" hidden="1" x14ac:dyDescent="0.25">
      <c r="A337" t="b">
        <v>0</v>
      </c>
      <c r="B337">
        <v>1000</v>
      </c>
      <c r="C337">
        <v>4.8677533284681801E-2</v>
      </c>
      <c r="D337" t="s">
        <v>52</v>
      </c>
      <c r="E337" t="b">
        <v>1</v>
      </c>
      <c r="F337" t="s">
        <v>53</v>
      </c>
      <c r="G337">
        <v>7.4999999999999997E-2</v>
      </c>
      <c r="H337">
        <v>0.5</v>
      </c>
      <c r="I337">
        <v>1E-4</v>
      </c>
      <c r="J337" t="b">
        <v>1</v>
      </c>
      <c r="K337">
        <v>6</v>
      </c>
      <c r="L337">
        <v>1500</v>
      </c>
      <c r="M337">
        <v>0.05</v>
      </c>
      <c r="N337">
        <v>0.154</v>
      </c>
      <c r="O337" t="s">
        <v>242</v>
      </c>
      <c r="P337" t="s">
        <v>244</v>
      </c>
      <c r="Q337" s="1">
        <v>-1E-10</v>
      </c>
      <c r="R337" s="1">
        <v>3.58578592271335E-12</v>
      </c>
      <c r="S337" s="1">
        <v>3.3902473507532801E-18</v>
      </c>
      <c r="T337" s="1">
        <v>2.21901799783505E-16</v>
      </c>
      <c r="U337">
        <v>5.9994818162646002</v>
      </c>
      <c r="V337">
        <v>0</v>
      </c>
      <c r="W337">
        <v>6.8474548082179995E-2</v>
      </c>
      <c r="X337">
        <v>2</v>
      </c>
      <c r="Y337">
        <v>4.0005664036361199E-3</v>
      </c>
      <c r="Z337">
        <v>2.5000000000000001E-4</v>
      </c>
      <c r="AA337">
        <v>4.7933529688808998E-3</v>
      </c>
      <c r="AB337" s="9">
        <f t="shared" si="44"/>
        <v>1.818138396747238</v>
      </c>
      <c r="AC337" s="9">
        <f t="shared" si="45"/>
        <v>-0.33738431688797854</v>
      </c>
      <c r="AD337" s="2">
        <f t="shared" si="46"/>
        <v>-1.1855658059318146</v>
      </c>
      <c r="AE337" s="8">
        <f t="shared" si="47"/>
        <v>-0.41764215020683443</v>
      </c>
      <c r="AF337" s="2">
        <f t="shared" si="48"/>
        <v>-0.41899430390918668</v>
      </c>
      <c r="AG337" s="8">
        <f t="shared" si="49"/>
        <v>1.3521537023522723E-3</v>
      </c>
      <c r="AH337" s="7">
        <f t="shared" si="50"/>
        <v>-309.87180168961845</v>
      </c>
      <c r="AI337">
        <f t="shared" si="51"/>
        <v>6</v>
      </c>
      <c r="AJ337" s="10">
        <f t="shared" si="52"/>
        <v>4.8677533284681801E-2</v>
      </c>
    </row>
    <row r="338" spans="1:36" hidden="1" x14ac:dyDescent="0.25">
      <c r="A338" t="b">
        <v>0</v>
      </c>
      <c r="B338">
        <v>1000</v>
      </c>
      <c r="C338">
        <v>4.8677533284681801E-2</v>
      </c>
      <c r="D338" t="s">
        <v>52</v>
      </c>
      <c r="E338" t="b">
        <v>1</v>
      </c>
      <c r="F338" t="s">
        <v>53</v>
      </c>
      <c r="G338">
        <v>7.4999999999999997E-2</v>
      </c>
      <c r="H338">
        <v>0.5</v>
      </c>
      <c r="I338">
        <v>1E-4</v>
      </c>
      <c r="J338" t="b">
        <v>1</v>
      </c>
      <c r="K338">
        <v>6</v>
      </c>
      <c r="L338">
        <v>1500</v>
      </c>
      <c r="M338">
        <v>0.05</v>
      </c>
      <c r="N338">
        <v>0.154</v>
      </c>
      <c r="O338" t="s">
        <v>242</v>
      </c>
      <c r="P338" t="s">
        <v>245</v>
      </c>
      <c r="Q338" s="1">
        <v>-3.77149693574504E-5</v>
      </c>
      <c r="R338">
        <v>3.3445514881024402E-4</v>
      </c>
      <c r="S338">
        <v>1.4986840793611899E-4</v>
      </c>
      <c r="T338">
        <v>-1.8116209722362901E-3</v>
      </c>
      <c r="U338">
        <v>5.9992553355374598</v>
      </c>
      <c r="V338" s="1">
        <v>9.9999999999992695E-15</v>
      </c>
      <c r="W338">
        <v>0.60160018491591205</v>
      </c>
      <c r="X338">
        <v>2.4999999999999898</v>
      </c>
      <c r="Y338">
        <v>26.8508035275641</v>
      </c>
      <c r="Z338">
        <v>0.49999999971209003</v>
      </c>
      <c r="AA338">
        <v>49.236943822503797</v>
      </c>
      <c r="AB338" s="9">
        <f t="shared" si="44"/>
        <v>-0.33577993839629866</v>
      </c>
      <c r="AC338" s="9">
        <f t="shared" si="45"/>
        <v>-0.33738431688797854</v>
      </c>
      <c r="AD338" s="2">
        <f t="shared" si="46"/>
        <v>4.7780653583489041E-3</v>
      </c>
      <c r="AE338" s="8">
        <f t="shared" si="47"/>
        <v>8.1620066121180839E-4</v>
      </c>
      <c r="AF338" s="2">
        <f t="shared" si="48"/>
        <v>-5.359530411404639E-4</v>
      </c>
      <c r="AG338" s="8">
        <f t="shared" si="49"/>
        <v>1.3521537023522723E-3</v>
      </c>
      <c r="AH338" s="7">
        <f t="shared" si="50"/>
        <v>-0.39636990987643927</v>
      </c>
      <c r="AI338">
        <f t="shared" si="51"/>
        <v>6</v>
      </c>
      <c r="AJ338" s="10">
        <f t="shared" si="52"/>
        <v>4.8677533284681801E-2</v>
      </c>
    </row>
    <row r="339" spans="1:36" hidden="1" x14ac:dyDescent="0.25">
      <c r="A339" t="b">
        <v>0</v>
      </c>
      <c r="B339">
        <v>1000</v>
      </c>
      <c r="C339">
        <v>4.8677533284681801E-2</v>
      </c>
      <c r="D339" t="s">
        <v>52</v>
      </c>
      <c r="E339" t="b">
        <v>1</v>
      </c>
      <c r="F339" t="s">
        <v>53</v>
      </c>
      <c r="G339">
        <v>7.4999999999999997E-2</v>
      </c>
      <c r="H339">
        <v>0.5</v>
      </c>
      <c r="I339">
        <v>1E-4</v>
      </c>
      <c r="J339" t="b">
        <v>1</v>
      </c>
      <c r="K339">
        <v>6</v>
      </c>
      <c r="L339">
        <v>1500</v>
      </c>
      <c r="M339">
        <v>0.05</v>
      </c>
      <c r="N339">
        <v>0.154</v>
      </c>
      <c r="O339" t="s">
        <v>242</v>
      </c>
      <c r="P339" t="s">
        <v>246</v>
      </c>
      <c r="Q339">
        <v>-3.0139834915043798E-4</v>
      </c>
      <c r="R339">
        <v>2.6891287517667299E-3</v>
      </c>
      <c r="S339">
        <v>1.1973366704661401E-3</v>
      </c>
      <c r="T339">
        <v>-1.44598551946127E-2</v>
      </c>
      <c r="U339">
        <v>5.9976736332836298</v>
      </c>
      <c r="V339" s="1">
        <v>9.9999999999999905E-15</v>
      </c>
      <c r="W339">
        <v>0.60539687142988496</v>
      </c>
      <c r="X339">
        <v>2.4999999999999898</v>
      </c>
      <c r="Y339">
        <v>27.001744701371699</v>
      </c>
      <c r="Z339">
        <v>0.499999999999999</v>
      </c>
      <c r="AA339">
        <v>49.541641378192601</v>
      </c>
      <c r="AB339" s="9">
        <f t="shared" si="44"/>
        <v>-0.33546341158867565</v>
      </c>
      <c r="AC339" s="9">
        <f t="shared" si="45"/>
        <v>-0.33738431688797854</v>
      </c>
      <c r="AD339" s="2">
        <f t="shared" si="46"/>
        <v>5.7261246173045954E-3</v>
      </c>
      <c r="AE339" s="8">
        <f t="shared" si="47"/>
        <v>7.1053058036043366E-4</v>
      </c>
      <c r="AF339" s="2">
        <f t="shared" si="48"/>
        <v>-6.4162312199183863E-4</v>
      </c>
      <c r="AG339" s="8">
        <f t="shared" si="49"/>
        <v>1.3521537023522723E-3</v>
      </c>
      <c r="AH339" s="7">
        <f t="shared" si="50"/>
        <v>-0.47451936926670385</v>
      </c>
      <c r="AI339">
        <f t="shared" si="51"/>
        <v>6</v>
      </c>
      <c r="AJ339" s="10">
        <f t="shared" si="52"/>
        <v>4.8677533284681801E-2</v>
      </c>
    </row>
    <row r="340" spans="1:36" hidden="1" x14ac:dyDescent="0.25">
      <c r="A340" t="b">
        <v>0</v>
      </c>
      <c r="B340">
        <v>1000</v>
      </c>
      <c r="C340">
        <v>4.8677533284681801E-2</v>
      </c>
      <c r="D340" t="s">
        <v>52</v>
      </c>
      <c r="E340" t="b">
        <v>1</v>
      </c>
      <c r="F340" t="s">
        <v>53</v>
      </c>
      <c r="G340">
        <v>7.4999999999999997E-2</v>
      </c>
      <c r="H340">
        <v>0.5</v>
      </c>
      <c r="I340">
        <v>1E-4</v>
      </c>
      <c r="J340" t="b">
        <v>1</v>
      </c>
      <c r="K340">
        <v>6</v>
      </c>
      <c r="L340">
        <v>1500</v>
      </c>
      <c r="M340">
        <v>0.05</v>
      </c>
      <c r="N340">
        <v>0.154</v>
      </c>
      <c r="O340" t="s">
        <v>242</v>
      </c>
      <c r="P340" t="s">
        <v>247</v>
      </c>
      <c r="Q340">
        <v>-2.63681618217561E-4</v>
      </c>
      <c r="R340">
        <v>2.26362800641834E-3</v>
      </c>
      <c r="S340">
        <v>1.047471853087E-3</v>
      </c>
      <c r="T340">
        <v>-1.2648710950402599E-2</v>
      </c>
      <c r="U340">
        <v>5.9979001738692004</v>
      </c>
      <c r="V340" s="1">
        <v>9.9999999999999905E-15</v>
      </c>
      <c r="W340">
        <v>0.58178866770961501</v>
      </c>
      <c r="X340">
        <v>2.4999999999999898</v>
      </c>
      <c r="Y340">
        <v>26.053588320093201</v>
      </c>
      <c r="Z340">
        <v>0.499999999999999</v>
      </c>
      <c r="AA340">
        <v>47.646689406645699</v>
      </c>
      <c r="AB340" s="9">
        <f t="shared" si="44"/>
        <v>-0.33542961648101238</v>
      </c>
      <c r="AC340" s="9">
        <f t="shared" si="45"/>
        <v>-0.33738431688797854</v>
      </c>
      <c r="AD340" s="2">
        <f t="shared" si="46"/>
        <v>5.8274532448054917E-3</v>
      </c>
      <c r="AE340" s="8">
        <f t="shared" si="47"/>
        <v>6.9924965765079481E-4</v>
      </c>
      <c r="AF340" s="2">
        <f t="shared" si="48"/>
        <v>-6.5290404470147749E-4</v>
      </c>
      <c r="AG340" s="8">
        <f t="shared" si="49"/>
        <v>1.3521537023522723E-3</v>
      </c>
      <c r="AH340" s="7">
        <f t="shared" si="50"/>
        <v>-0.48286229854317142</v>
      </c>
      <c r="AI340">
        <f t="shared" si="51"/>
        <v>6</v>
      </c>
      <c r="AJ340" s="10">
        <f t="shared" si="52"/>
        <v>4.8677533284681801E-2</v>
      </c>
    </row>
    <row r="341" spans="1:36" hidden="1" x14ac:dyDescent="0.25">
      <c r="A341" t="b">
        <v>0</v>
      </c>
      <c r="B341">
        <v>1000</v>
      </c>
      <c r="C341">
        <v>4.8677533284681801E-2</v>
      </c>
      <c r="D341" t="s">
        <v>52</v>
      </c>
      <c r="E341" t="b">
        <v>1</v>
      </c>
      <c r="F341" t="s">
        <v>53</v>
      </c>
      <c r="G341">
        <v>7.4999999999999997E-2</v>
      </c>
      <c r="H341">
        <v>0.5</v>
      </c>
      <c r="I341">
        <v>1E-4</v>
      </c>
      <c r="J341" t="b">
        <v>1</v>
      </c>
      <c r="K341">
        <v>6</v>
      </c>
      <c r="L341">
        <v>1500</v>
      </c>
      <c r="M341">
        <v>0.05</v>
      </c>
      <c r="N341">
        <v>0.154</v>
      </c>
      <c r="O341" t="s">
        <v>242</v>
      </c>
      <c r="P341" t="s">
        <v>248</v>
      </c>
      <c r="Q341">
        <v>-3.0139834915043998E-4</v>
      </c>
      <c r="R341">
        <v>2.6794972352373399E-3</v>
      </c>
      <c r="S341">
        <v>1.1973366704661501E-3</v>
      </c>
      <c r="T341">
        <v>-1.44598551946127E-2</v>
      </c>
      <c r="U341">
        <v>5.9976736332815603</v>
      </c>
      <c r="V341" s="1">
        <v>9.9999999999999905E-15</v>
      </c>
      <c r="W341">
        <v>0.60646104586843197</v>
      </c>
      <c r="X341">
        <v>2.4999999999999898</v>
      </c>
      <c r="Y341">
        <v>26.8604397705999</v>
      </c>
      <c r="Z341">
        <v>0.499999999999999</v>
      </c>
      <c r="AA341">
        <v>49.384058550723303</v>
      </c>
      <c r="AB341" s="9">
        <f t="shared" si="44"/>
        <v>-0.33546341158867282</v>
      </c>
      <c r="AC341" s="9">
        <f t="shared" si="45"/>
        <v>-0.33738431688797854</v>
      </c>
      <c r="AD341" s="2">
        <f t="shared" si="46"/>
        <v>5.7261246173130331E-3</v>
      </c>
      <c r="AE341" s="8">
        <f t="shared" si="47"/>
        <v>7.1053058035949474E-4</v>
      </c>
      <c r="AF341" s="2">
        <f t="shared" si="48"/>
        <v>-6.4162312199277755E-4</v>
      </c>
      <c r="AG341" s="8">
        <f t="shared" si="49"/>
        <v>1.3521537023522723E-3</v>
      </c>
      <c r="AH341" s="7">
        <f t="shared" si="50"/>
        <v>-0.47451936926739824</v>
      </c>
      <c r="AI341">
        <f t="shared" si="51"/>
        <v>6</v>
      </c>
      <c r="AJ341" s="10">
        <f t="shared" si="52"/>
        <v>4.8677533284681801E-2</v>
      </c>
    </row>
    <row r="342" spans="1:36" hidden="1" x14ac:dyDescent="0.25">
      <c r="A342" t="b">
        <v>0</v>
      </c>
      <c r="B342">
        <v>1000</v>
      </c>
      <c r="C342">
        <v>4.8677533284681801E-2</v>
      </c>
      <c r="D342" t="s">
        <v>52</v>
      </c>
      <c r="E342" t="b">
        <v>1</v>
      </c>
      <c r="F342" t="s">
        <v>53</v>
      </c>
      <c r="G342">
        <v>7.4999999999999997E-2</v>
      </c>
      <c r="H342">
        <v>0.5</v>
      </c>
      <c r="I342">
        <v>1E-4</v>
      </c>
      <c r="J342" t="b">
        <v>1</v>
      </c>
      <c r="K342">
        <v>6</v>
      </c>
      <c r="L342">
        <v>1500</v>
      </c>
      <c r="M342">
        <v>0.05</v>
      </c>
      <c r="N342">
        <v>0.154</v>
      </c>
      <c r="O342" t="s">
        <v>242</v>
      </c>
      <c r="P342" t="s">
        <v>249</v>
      </c>
      <c r="Q342">
        <v>-5.6509402334133595E-4</v>
      </c>
      <c r="R342">
        <v>5.1027435976100698E-3</v>
      </c>
      <c r="S342">
        <v>2.24477986751282E-3</v>
      </c>
      <c r="T342">
        <v>-2.7104761587338901E-2</v>
      </c>
      <c r="U342">
        <v>5.9960915125729901</v>
      </c>
      <c r="V342" s="1">
        <v>9.9999999999999905E-15</v>
      </c>
      <c r="W342">
        <v>0.61037019722161601</v>
      </c>
      <c r="X342">
        <v>2.4999999999999898</v>
      </c>
      <c r="Y342">
        <v>27.348161576215301</v>
      </c>
      <c r="Z342">
        <v>0.499999999999999</v>
      </c>
      <c r="AA342">
        <v>50.129168225159297</v>
      </c>
      <c r="AB342" s="9">
        <f t="shared" si="44"/>
        <v>-0.33540484525414044</v>
      </c>
      <c r="AC342" s="9">
        <f t="shared" si="45"/>
        <v>-0.33738431688797854</v>
      </c>
      <c r="AD342" s="2">
        <f t="shared" si="46"/>
        <v>5.9017383375550292E-3</v>
      </c>
      <c r="AE342" s="8">
        <f t="shared" si="47"/>
        <v>6.9098109879676527E-4</v>
      </c>
      <c r="AF342" s="2">
        <f t="shared" si="48"/>
        <v>-6.6117260355550702E-4</v>
      </c>
      <c r="AG342" s="8">
        <f t="shared" si="49"/>
        <v>1.3521537023522723E-3</v>
      </c>
      <c r="AH342" s="7">
        <f t="shared" si="50"/>
        <v>-0.48897740131561895</v>
      </c>
      <c r="AI342">
        <f t="shared" si="51"/>
        <v>6</v>
      </c>
      <c r="AJ342" s="10">
        <f t="shared" si="52"/>
        <v>4.8677533284681801E-2</v>
      </c>
    </row>
    <row r="343" spans="1:36" hidden="1" x14ac:dyDescent="0.25">
      <c r="A343" t="b">
        <v>0</v>
      </c>
      <c r="B343">
        <v>1000</v>
      </c>
      <c r="C343">
        <v>4.8677533284681801E-2</v>
      </c>
      <c r="D343" t="s">
        <v>52</v>
      </c>
      <c r="E343" t="b">
        <v>1</v>
      </c>
      <c r="F343" t="s">
        <v>53</v>
      </c>
      <c r="G343">
        <v>7.4999999999999997E-2</v>
      </c>
      <c r="H343">
        <v>0.5</v>
      </c>
      <c r="I343">
        <v>1E-4</v>
      </c>
      <c r="J343" t="b">
        <v>1</v>
      </c>
      <c r="K343">
        <v>6</v>
      </c>
      <c r="L343">
        <v>1500</v>
      </c>
      <c r="M343">
        <v>0.05</v>
      </c>
      <c r="N343">
        <v>0.154</v>
      </c>
      <c r="O343" t="s">
        <v>243</v>
      </c>
      <c r="P343" t="s">
        <v>246</v>
      </c>
      <c r="Q343" s="1">
        <v>-3.7716730689053997E-5</v>
      </c>
      <c r="R343">
        <v>3.3811747308338998E-4</v>
      </c>
      <c r="S343">
        <v>1.4986481737915301E-4</v>
      </c>
      <c r="T343">
        <v>-1.8111442442100101E-3</v>
      </c>
      <c r="U343">
        <v>5.9960919908925101</v>
      </c>
      <c r="V343" s="1">
        <v>9.9999999999992695E-15</v>
      </c>
      <c r="W343">
        <v>0.60760591478364501</v>
      </c>
      <c r="X343">
        <v>2.4999999999999898</v>
      </c>
      <c r="Y343">
        <v>27.135299928016401</v>
      </c>
      <c r="Z343">
        <v>0.499999999710451</v>
      </c>
      <c r="AA343">
        <v>49.773833691904699</v>
      </c>
      <c r="AB343" s="9">
        <f t="shared" si="44"/>
        <v>-0.33569962062466885</v>
      </c>
      <c r="AC343" s="9">
        <f t="shared" si="45"/>
        <v>-0.33738431688797854</v>
      </c>
      <c r="AD343" s="2">
        <f t="shared" si="46"/>
        <v>5.0184634113521476E-3</v>
      </c>
      <c r="AE343" s="8">
        <f t="shared" si="47"/>
        <v>7.89385067729739E-4</v>
      </c>
      <c r="AF343" s="2">
        <f t="shared" si="48"/>
        <v>-5.6276863462253329E-4</v>
      </c>
      <c r="AG343" s="8">
        <f t="shared" si="49"/>
        <v>1.3521537023522723E-3</v>
      </c>
      <c r="AH343" s="7">
        <f t="shared" si="50"/>
        <v>-0.41620167414659565</v>
      </c>
      <c r="AI343">
        <f t="shared" si="51"/>
        <v>6</v>
      </c>
      <c r="AJ343" s="10">
        <f t="shared" si="52"/>
        <v>4.8677533284681801E-2</v>
      </c>
    </row>
    <row r="344" spans="1:36" hidden="1" x14ac:dyDescent="0.25">
      <c r="A344" t="b">
        <v>0</v>
      </c>
      <c r="B344">
        <v>1000</v>
      </c>
      <c r="C344">
        <v>4.8677533284681801E-2</v>
      </c>
      <c r="D344" t="s">
        <v>52</v>
      </c>
      <c r="E344" t="b">
        <v>1</v>
      </c>
      <c r="F344" t="s">
        <v>53</v>
      </c>
      <c r="G344">
        <v>7.4999999999999997E-2</v>
      </c>
      <c r="H344">
        <v>0.5</v>
      </c>
      <c r="I344">
        <v>1E-4</v>
      </c>
      <c r="J344" t="b">
        <v>1</v>
      </c>
      <c r="K344">
        <v>6</v>
      </c>
      <c r="L344">
        <v>1500</v>
      </c>
      <c r="M344">
        <v>0.05</v>
      </c>
      <c r="N344">
        <v>0.154</v>
      </c>
      <c r="O344" t="s">
        <v>243</v>
      </c>
      <c r="P344" t="s">
        <v>247</v>
      </c>
      <c r="Q344" s="1">
        <v>-1E-10</v>
      </c>
      <c r="R344" s="1">
        <v>3.58578586646703E-12</v>
      </c>
      <c r="S344" s="1">
        <v>5.7265413992867901E-18</v>
      </c>
      <c r="T344" s="1">
        <v>3.3979999855050602E-16</v>
      </c>
      <c r="U344">
        <v>5.9963185314780896</v>
      </c>
      <c r="V344">
        <v>0</v>
      </c>
      <c r="W344">
        <v>6.84745470080943E-2</v>
      </c>
      <c r="X344">
        <v>2</v>
      </c>
      <c r="Y344">
        <v>4.0005663408835997E-3</v>
      </c>
      <c r="Z344">
        <v>2.5000000000000001E-4</v>
      </c>
      <c r="AA344">
        <v>4.7933528936927898E-3</v>
      </c>
      <c r="AB344" s="9">
        <f t="shared" si="44"/>
        <v>1.6482704289539809</v>
      </c>
      <c r="AC344" s="9">
        <f t="shared" si="45"/>
        <v>-0.33738431688797854</v>
      </c>
      <c r="AD344" s="2">
        <f t="shared" si="46"/>
        <v>-1.2046899046184358</v>
      </c>
      <c r="AE344" s="8">
        <f t="shared" si="47"/>
        <v>-0.39778429936335535</v>
      </c>
      <c r="AF344" s="2">
        <f t="shared" si="48"/>
        <v>-0.39913645306570761</v>
      </c>
      <c r="AG344" s="8">
        <f t="shared" si="49"/>
        <v>1.3521537023522723E-3</v>
      </c>
      <c r="AH344" s="7">
        <f t="shared" si="50"/>
        <v>-295.1857117806581</v>
      </c>
      <c r="AI344">
        <f t="shared" si="51"/>
        <v>6</v>
      </c>
      <c r="AJ344" s="10">
        <f t="shared" si="52"/>
        <v>4.8677533284681801E-2</v>
      </c>
    </row>
    <row r="345" spans="1:36" hidden="1" x14ac:dyDescent="0.25">
      <c r="A345" t="b">
        <v>0</v>
      </c>
      <c r="B345">
        <v>1000</v>
      </c>
      <c r="C345">
        <v>4.8677533284681801E-2</v>
      </c>
      <c r="D345" t="s">
        <v>52</v>
      </c>
      <c r="E345" t="b">
        <v>1</v>
      </c>
      <c r="F345" t="s">
        <v>53</v>
      </c>
      <c r="G345">
        <v>7.4999999999999997E-2</v>
      </c>
      <c r="H345">
        <v>0.5</v>
      </c>
      <c r="I345">
        <v>1E-4</v>
      </c>
      <c r="J345" t="b">
        <v>1</v>
      </c>
      <c r="K345">
        <v>6</v>
      </c>
      <c r="L345">
        <v>1500</v>
      </c>
      <c r="M345">
        <v>0.05</v>
      </c>
      <c r="N345">
        <v>0.154</v>
      </c>
      <c r="O345" t="s">
        <v>243</v>
      </c>
      <c r="P345" t="s">
        <v>248</v>
      </c>
      <c r="Q345" s="1">
        <v>-3.7716730689055102E-5</v>
      </c>
      <c r="R345">
        <v>3.3892432650491398E-4</v>
      </c>
      <c r="S345">
        <v>1.4986481737915499E-4</v>
      </c>
      <c r="T345">
        <v>-1.81114424420987E-3</v>
      </c>
      <c r="U345">
        <v>5.9960919908904398</v>
      </c>
      <c r="V345" s="1">
        <v>9.9999999999992695E-15</v>
      </c>
      <c r="W345">
        <v>0.60506642934451604</v>
      </c>
      <c r="X345">
        <v>2.4999999999999898</v>
      </c>
      <c r="Y345">
        <v>27.258386422324801</v>
      </c>
      <c r="Z345">
        <v>0.499999999710451</v>
      </c>
      <c r="AA345">
        <v>49.867433948462697</v>
      </c>
      <c r="AB345" s="9">
        <f t="shared" si="44"/>
        <v>-0.33569962062463848</v>
      </c>
      <c r="AC345" s="9">
        <f t="shared" si="45"/>
        <v>-0.33738431688797854</v>
      </c>
      <c r="AD345" s="2">
        <f t="shared" si="46"/>
        <v>5.0184634114429638E-3</v>
      </c>
      <c r="AE345" s="8">
        <f t="shared" si="47"/>
        <v>7.8938506771960768E-4</v>
      </c>
      <c r="AF345" s="2">
        <f t="shared" si="48"/>
        <v>-5.6276863463266462E-4</v>
      </c>
      <c r="AG345" s="8">
        <f t="shared" si="49"/>
        <v>1.3521537023522723E-3</v>
      </c>
      <c r="AH345" s="7">
        <f t="shared" si="50"/>
        <v>-0.41620167415408837</v>
      </c>
      <c r="AI345">
        <f t="shared" si="51"/>
        <v>6</v>
      </c>
      <c r="AJ345" s="10">
        <f t="shared" si="52"/>
        <v>4.8677533284681801E-2</v>
      </c>
    </row>
    <row r="346" spans="1:36" hidden="1" x14ac:dyDescent="0.25">
      <c r="A346" t="b">
        <v>0</v>
      </c>
      <c r="B346">
        <v>1000</v>
      </c>
      <c r="C346">
        <v>4.8677533284681801E-2</v>
      </c>
      <c r="D346" t="s">
        <v>52</v>
      </c>
      <c r="E346" t="b">
        <v>1</v>
      </c>
      <c r="F346" t="s">
        <v>53</v>
      </c>
      <c r="G346">
        <v>7.4999999999999997E-2</v>
      </c>
      <c r="H346">
        <v>0.5</v>
      </c>
      <c r="I346">
        <v>1E-4</v>
      </c>
      <c r="J346" t="b">
        <v>1</v>
      </c>
      <c r="K346">
        <v>6</v>
      </c>
      <c r="L346">
        <v>1500</v>
      </c>
      <c r="M346">
        <v>0.05</v>
      </c>
      <c r="N346">
        <v>0.154</v>
      </c>
      <c r="O346" t="s">
        <v>243</v>
      </c>
      <c r="P346" t="s">
        <v>249</v>
      </c>
      <c r="Q346">
        <v>-3.0141240512388798E-4</v>
      </c>
      <c r="R346">
        <v>2.6617453782080301E-3</v>
      </c>
      <c r="S346">
        <v>1.1973080144258199E-3</v>
      </c>
      <c r="T346">
        <v>-1.4456050636935801E-2</v>
      </c>
      <c r="U346">
        <v>5.9945098701818802</v>
      </c>
      <c r="V346" s="1">
        <v>9.9999999999999905E-15</v>
      </c>
      <c r="W346">
        <v>0.60036066271614197</v>
      </c>
      <c r="X346">
        <v>2.4999999999999898</v>
      </c>
      <c r="Y346">
        <v>26.723927642019401</v>
      </c>
      <c r="Z346">
        <v>0.499999999999999</v>
      </c>
      <c r="AA346">
        <v>49.037957777550403</v>
      </c>
      <c r="AB346" s="9">
        <f t="shared" si="44"/>
        <v>-0.3353831740027865</v>
      </c>
      <c r="AC346" s="9">
        <f t="shared" si="45"/>
        <v>-0.33738431688797854</v>
      </c>
      <c r="AD346" s="2">
        <f t="shared" si="46"/>
        <v>5.9667360807296177E-3</v>
      </c>
      <c r="AE346" s="8">
        <f t="shared" si="47"/>
        <v>6.8374741423682167E-4</v>
      </c>
      <c r="AF346" s="2">
        <f t="shared" si="48"/>
        <v>-6.6840628811545063E-4</v>
      </c>
      <c r="AG346" s="8">
        <f t="shared" si="49"/>
        <v>1.3521537023522723E-3</v>
      </c>
      <c r="AH346" s="7">
        <f t="shared" si="50"/>
        <v>-0.4943271515306718</v>
      </c>
      <c r="AI346">
        <f t="shared" si="51"/>
        <v>6</v>
      </c>
      <c r="AJ346" s="10">
        <f t="shared" si="52"/>
        <v>4.8677533284681801E-2</v>
      </c>
    </row>
    <row r="347" spans="1:36" hidden="1" x14ac:dyDescent="0.25">
      <c r="A347" t="b">
        <v>0</v>
      </c>
      <c r="B347">
        <v>1000</v>
      </c>
      <c r="C347">
        <v>4.8677533284681801E-2</v>
      </c>
      <c r="D347" t="s">
        <v>52</v>
      </c>
      <c r="E347" t="b">
        <v>1</v>
      </c>
      <c r="F347" t="s">
        <v>53</v>
      </c>
      <c r="G347">
        <v>7.4999999999999997E-2</v>
      </c>
      <c r="H347">
        <v>0.5</v>
      </c>
      <c r="I347">
        <v>1E-4</v>
      </c>
      <c r="J347" t="b">
        <v>1</v>
      </c>
      <c r="K347">
        <v>6</v>
      </c>
      <c r="L347">
        <v>1500</v>
      </c>
      <c r="M347">
        <v>0.05</v>
      </c>
      <c r="N347">
        <v>0.154</v>
      </c>
      <c r="O347" t="s">
        <v>244</v>
      </c>
      <c r="P347" t="s">
        <v>245</v>
      </c>
      <c r="Q347" s="1">
        <v>-3.77149693574492E-5</v>
      </c>
      <c r="R347">
        <v>3.3278728909550402E-4</v>
      </c>
      <c r="S347">
        <v>1.4986840793611701E-4</v>
      </c>
      <c r="T347">
        <v>-1.8116209722362699E-3</v>
      </c>
      <c r="U347">
        <v>5.9992553355406804</v>
      </c>
      <c r="V347" s="1">
        <v>9.9999999999992805E-15</v>
      </c>
      <c r="W347">
        <v>0.600510162090925</v>
      </c>
      <c r="X347">
        <v>2.4999999999999898</v>
      </c>
      <c r="Y347">
        <v>26.696492174335201</v>
      </c>
      <c r="Z347">
        <v>0.49999999971209103</v>
      </c>
      <c r="AA347">
        <v>49.000913554354</v>
      </c>
      <c r="AB347" s="9">
        <f t="shared" si="44"/>
        <v>-0.33577993839629933</v>
      </c>
      <c r="AC347" s="9">
        <f t="shared" si="45"/>
        <v>-0.33738431688797854</v>
      </c>
      <c r="AD347" s="2">
        <f t="shared" si="46"/>
        <v>4.7780653583469057E-3</v>
      </c>
      <c r="AE347" s="8">
        <f t="shared" si="47"/>
        <v>8.1620066121203076E-4</v>
      </c>
      <c r="AF347" s="2">
        <f t="shared" si="48"/>
        <v>-5.3595304114024153E-4</v>
      </c>
      <c r="AG347" s="8">
        <f t="shared" si="49"/>
        <v>1.3521537023522723E-3</v>
      </c>
      <c r="AH347" s="7">
        <f t="shared" si="50"/>
        <v>-0.39636990987627485</v>
      </c>
      <c r="AI347">
        <f t="shared" si="51"/>
        <v>6</v>
      </c>
      <c r="AJ347" s="10">
        <f t="shared" si="52"/>
        <v>4.8677533284681801E-2</v>
      </c>
    </row>
    <row r="348" spans="1:36" hidden="1" x14ac:dyDescent="0.25">
      <c r="A348" t="b">
        <v>0</v>
      </c>
      <c r="B348">
        <v>1000</v>
      </c>
      <c r="C348">
        <v>4.8677533284681801E-2</v>
      </c>
      <c r="D348" t="s">
        <v>52</v>
      </c>
      <c r="E348" t="b">
        <v>1</v>
      </c>
      <c r="F348" t="s">
        <v>53</v>
      </c>
      <c r="G348">
        <v>7.4999999999999997E-2</v>
      </c>
      <c r="H348">
        <v>0.5</v>
      </c>
      <c r="I348">
        <v>1E-4</v>
      </c>
      <c r="J348" t="b">
        <v>1</v>
      </c>
      <c r="K348">
        <v>6</v>
      </c>
      <c r="L348">
        <v>1500</v>
      </c>
      <c r="M348">
        <v>0.05</v>
      </c>
      <c r="N348">
        <v>0.154</v>
      </c>
      <c r="O348" t="s">
        <v>244</v>
      </c>
      <c r="P348" t="s">
        <v>246</v>
      </c>
      <c r="Q348">
        <v>-3.0139834915043602E-4</v>
      </c>
      <c r="R348">
        <v>2.6377612191863598E-3</v>
      </c>
      <c r="S348">
        <v>1.1973366704661401E-3</v>
      </c>
      <c r="T348">
        <v>-1.44598551946127E-2</v>
      </c>
      <c r="U348">
        <v>5.9976736332868503</v>
      </c>
      <c r="V348" s="1">
        <v>9.9999999999999905E-15</v>
      </c>
      <c r="W348">
        <v>0.59621169834382903</v>
      </c>
      <c r="X348">
        <v>2.4999999999999898</v>
      </c>
      <c r="Y348">
        <v>26.480731881118</v>
      </c>
      <c r="Z348">
        <v>0.499999999999999</v>
      </c>
      <c r="AA348">
        <v>48.602667603669701</v>
      </c>
      <c r="AB348" s="9">
        <f t="shared" si="44"/>
        <v>-0.33546341158867565</v>
      </c>
      <c r="AC348" s="9">
        <f t="shared" si="45"/>
        <v>-0.33738431688797854</v>
      </c>
      <c r="AD348" s="2">
        <f t="shared" si="46"/>
        <v>5.7261246173045954E-3</v>
      </c>
      <c r="AE348" s="8">
        <f t="shared" si="47"/>
        <v>7.1053058036043366E-4</v>
      </c>
      <c r="AF348" s="2">
        <f t="shared" si="48"/>
        <v>-6.4162312199183863E-4</v>
      </c>
      <c r="AG348" s="8">
        <f t="shared" si="49"/>
        <v>1.3521537023522723E-3</v>
      </c>
      <c r="AH348" s="7">
        <f t="shared" si="50"/>
        <v>-0.47451936926670385</v>
      </c>
      <c r="AI348">
        <f t="shared" si="51"/>
        <v>6</v>
      </c>
      <c r="AJ348" s="10">
        <f t="shared" si="52"/>
        <v>4.8677533284681801E-2</v>
      </c>
    </row>
    <row r="349" spans="1:36" hidden="1" x14ac:dyDescent="0.25">
      <c r="A349" t="b">
        <v>0</v>
      </c>
      <c r="B349">
        <v>1000</v>
      </c>
      <c r="C349">
        <v>4.8677533284681801E-2</v>
      </c>
      <c r="D349" t="s">
        <v>52</v>
      </c>
      <c r="E349" t="b">
        <v>1</v>
      </c>
      <c r="F349" t="s">
        <v>53</v>
      </c>
      <c r="G349">
        <v>7.4999999999999997E-2</v>
      </c>
      <c r="H349">
        <v>0.5</v>
      </c>
      <c r="I349">
        <v>1E-4</v>
      </c>
      <c r="J349" t="b">
        <v>1</v>
      </c>
      <c r="K349">
        <v>6</v>
      </c>
      <c r="L349">
        <v>1500</v>
      </c>
      <c r="M349">
        <v>0.05</v>
      </c>
      <c r="N349">
        <v>0.154</v>
      </c>
      <c r="O349" t="s">
        <v>244</v>
      </c>
      <c r="P349" t="s">
        <v>247</v>
      </c>
      <c r="Q349">
        <v>-2.63681618217561E-4</v>
      </c>
      <c r="R349">
        <v>2.2852633314176499E-3</v>
      </c>
      <c r="S349">
        <v>1.0474718530869901E-3</v>
      </c>
      <c r="T349">
        <v>-1.2648710950402599E-2</v>
      </c>
      <c r="U349">
        <v>5.9979001738724298</v>
      </c>
      <c r="V349" s="1">
        <v>9.9999999999999905E-15</v>
      </c>
      <c r="W349">
        <v>0.58706820479711597</v>
      </c>
      <c r="X349">
        <v>2.4999999999999898</v>
      </c>
      <c r="Y349">
        <v>26.292170243969501</v>
      </c>
      <c r="Z349">
        <v>0.499999999999999</v>
      </c>
      <c r="AA349">
        <v>48.103816757086101</v>
      </c>
      <c r="AB349" s="9">
        <f t="shared" si="44"/>
        <v>-0.33542961648101555</v>
      </c>
      <c r="AC349" s="9">
        <f t="shared" si="45"/>
        <v>-0.33738431688797854</v>
      </c>
      <c r="AD349" s="2">
        <f t="shared" si="46"/>
        <v>5.8274532447961658E-3</v>
      </c>
      <c r="AE349" s="8">
        <f t="shared" si="47"/>
        <v>6.9924965765185722E-4</v>
      </c>
      <c r="AF349" s="2">
        <f t="shared" si="48"/>
        <v>-6.5290404470041508E-4</v>
      </c>
      <c r="AG349" s="8">
        <f t="shared" si="49"/>
        <v>1.3521537023522723E-3</v>
      </c>
      <c r="AH349" s="7">
        <f t="shared" si="50"/>
        <v>-0.48286229854238572</v>
      </c>
      <c r="AI349">
        <f t="shared" si="51"/>
        <v>6</v>
      </c>
      <c r="AJ349" s="10">
        <f t="shared" si="52"/>
        <v>4.8677533284681801E-2</v>
      </c>
    </row>
    <row r="350" spans="1:36" hidden="1" x14ac:dyDescent="0.25">
      <c r="A350" t="b">
        <v>0</v>
      </c>
      <c r="B350">
        <v>1000</v>
      </c>
      <c r="C350">
        <v>4.8677533284681801E-2</v>
      </c>
      <c r="D350" t="s">
        <v>52</v>
      </c>
      <c r="E350" t="b">
        <v>1</v>
      </c>
      <c r="F350" t="s">
        <v>53</v>
      </c>
      <c r="G350">
        <v>7.4999999999999997E-2</v>
      </c>
      <c r="H350">
        <v>0.5</v>
      </c>
      <c r="I350">
        <v>1E-4</v>
      </c>
      <c r="J350" t="b">
        <v>1</v>
      </c>
      <c r="K350">
        <v>6</v>
      </c>
      <c r="L350">
        <v>1500</v>
      </c>
      <c r="M350">
        <v>0.05</v>
      </c>
      <c r="N350">
        <v>0.154</v>
      </c>
      <c r="O350" t="s">
        <v>244</v>
      </c>
      <c r="P350" t="s">
        <v>248</v>
      </c>
      <c r="Q350">
        <v>-3.0139834915043798E-4</v>
      </c>
      <c r="R350">
        <v>2.6568405793494102E-3</v>
      </c>
      <c r="S350">
        <v>1.1973366704661501E-3</v>
      </c>
      <c r="T350">
        <v>-1.44598551946127E-2</v>
      </c>
      <c r="U350">
        <v>5.9976736332847898</v>
      </c>
      <c r="V350" s="1">
        <v>9.9999999999999905E-15</v>
      </c>
      <c r="W350">
        <v>0.59937550242677295</v>
      </c>
      <c r="X350">
        <v>2.4999999999999898</v>
      </c>
      <c r="Y350">
        <v>26.6786515860212</v>
      </c>
      <c r="Z350">
        <v>0.499999999999999</v>
      </c>
      <c r="AA350">
        <v>48.949645452349102</v>
      </c>
      <c r="AB350" s="9">
        <f t="shared" si="44"/>
        <v>-0.33546341158867282</v>
      </c>
      <c r="AC350" s="9">
        <f t="shared" si="45"/>
        <v>-0.33738431688797854</v>
      </c>
      <c r="AD350" s="2">
        <f t="shared" si="46"/>
        <v>5.7261246173130331E-3</v>
      </c>
      <c r="AE350" s="8">
        <f t="shared" si="47"/>
        <v>7.1053058035949474E-4</v>
      </c>
      <c r="AF350" s="2">
        <f t="shared" si="48"/>
        <v>-6.4162312199277755E-4</v>
      </c>
      <c r="AG350" s="8">
        <f t="shared" si="49"/>
        <v>1.3521537023522723E-3</v>
      </c>
      <c r="AH350" s="7">
        <f t="shared" si="50"/>
        <v>-0.47451936926739824</v>
      </c>
      <c r="AI350">
        <f t="shared" si="51"/>
        <v>6</v>
      </c>
      <c r="AJ350" s="10">
        <f t="shared" si="52"/>
        <v>4.8677533284681801E-2</v>
      </c>
    </row>
    <row r="351" spans="1:36" hidden="1" x14ac:dyDescent="0.25">
      <c r="A351" t="b">
        <v>0</v>
      </c>
      <c r="B351">
        <v>1000</v>
      </c>
      <c r="C351">
        <v>4.8677533284681801E-2</v>
      </c>
      <c r="D351" t="s">
        <v>52</v>
      </c>
      <c r="E351" t="b">
        <v>1</v>
      </c>
      <c r="F351" t="s">
        <v>53</v>
      </c>
      <c r="G351">
        <v>7.4999999999999997E-2</v>
      </c>
      <c r="H351">
        <v>0.5</v>
      </c>
      <c r="I351">
        <v>1E-4</v>
      </c>
      <c r="J351" t="b">
        <v>1</v>
      </c>
      <c r="K351">
        <v>6</v>
      </c>
      <c r="L351">
        <v>1500</v>
      </c>
      <c r="M351">
        <v>0.05</v>
      </c>
      <c r="N351">
        <v>0.154</v>
      </c>
      <c r="O351" t="s">
        <v>244</v>
      </c>
      <c r="P351" t="s">
        <v>249</v>
      </c>
      <c r="Q351">
        <v>-5.65094023341325E-4</v>
      </c>
      <c r="R351">
        <v>4.9414024972495203E-3</v>
      </c>
      <c r="S351">
        <v>2.24477986751282E-3</v>
      </c>
      <c r="T351">
        <v>-2.7104761587338801E-2</v>
      </c>
      <c r="U351">
        <v>5.9960915125762204</v>
      </c>
      <c r="V351" s="1">
        <v>9.9999999999999905E-15</v>
      </c>
      <c r="W351">
        <v>0.59303624205375105</v>
      </c>
      <c r="X351">
        <v>2.4999999999999898</v>
      </c>
      <c r="Y351">
        <v>26.5060462575982</v>
      </c>
      <c r="Z351">
        <v>0.499999999999999</v>
      </c>
      <c r="AA351">
        <v>48.541838149299302</v>
      </c>
      <c r="AB351" s="9">
        <f t="shared" si="44"/>
        <v>-0.33540484525413922</v>
      </c>
      <c r="AC351" s="9">
        <f t="shared" si="45"/>
        <v>-0.33738431688797854</v>
      </c>
      <c r="AD351" s="2">
        <f t="shared" si="46"/>
        <v>5.9017383375588039E-3</v>
      </c>
      <c r="AE351" s="8">
        <f t="shared" si="47"/>
        <v>6.9098109879636997E-4</v>
      </c>
      <c r="AF351" s="2">
        <f t="shared" si="48"/>
        <v>-6.6117260355590232E-4</v>
      </c>
      <c r="AG351" s="8">
        <f t="shared" si="49"/>
        <v>1.3521537023522723E-3</v>
      </c>
      <c r="AH351" s="7">
        <f t="shared" si="50"/>
        <v>-0.48897740131591128</v>
      </c>
      <c r="AI351">
        <f t="shared" si="51"/>
        <v>6</v>
      </c>
      <c r="AJ351" s="10">
        <f t="shared" si="52"/>
        <v>4.8677533284681801E-2</v>
      </c>
    </row>
    <row r="352" spans="1:36" hidden="1" x14ac:dyDescent="0.25">
      <c r="A352" t="b">
        <v>0</v>
      </c>
      <c r="B352">
        <v>1000</v>
      </c>
      <c r="C352">
        <v>4.8677533284681801E-2</v>
      </c>
      <c r="D352" t="s">
        <v>52</v>
      </c>
      <c r="E352" t="b">
        <v>1</v>
      </c>
      <c r="F352" t="s">
        <v>53</v>
      </c>
      <c r="G352">
        <v>7.4999999999999997E-2</v>
      </c>
      <c r="H352">
        <v>0.5</v>
      </c>
      <c r="I352">
        <v>1E-4</v>
      </c>
      <c r="J352" t="b">
        <v>1</v>
      </c>
      <c r="K352">
        <v>6</v>
      </c>
      <c r="L352">
        <v>1500</v>
      </c>
      <c r="M352">
        <v>0.05</v>
      </c>
      <c r="N352">
        <v>0.154</v>
      </c>
      <c r="O352" t="s">
        <v>245</v>
      </c>
      <c r="P352" t="s">
        <v>246</v>
      </c>
      <c r="Q352">
        <v>-2.6368337954989798E-4</v>
      </c>
      <c r="R352">
        <v>2.3191712673750402E-3</v>
      </c>
      <c r="S352">
        <v>1.04746826253003E-3</v>
      </c>
      <c r="T352">
        <v>-1.26482342223765E-2</v>
      </c>
      <c r="U352">
        <v>5.9974471525597099</v>
      </c>
      <c r="V352" s="1">
        <v>9.9999999999999905E-15</v>
      </c>
      <c r="W352">
        <v>0.59478478332922202</v>
      </c>
      <c r="X352">
        <v>2.4999999999999898</v>
      </c>
      <c r="Y352">
        <v>26.670314770073599</v>
      </c>
      <c r="Z352">
        <v>0.499999999999999</v>
      </c>
      <c r="AA352">
        <v>48.819203438269703</v>
      </c>
      <c r="AB352" s="9">
        <f t="shared" si="44"/>
        <v>-0.33541812394567488</v>
      </c>
      <c r="AC352" s="9">
        <f t="shared" si="45"/>
        <v>-0.33738431688797854</v>
      </c>
      <c r="AD352" s="2">
        <f t="shared" si="46"/>
        <v>5.8619162231736688E-3</v>
      </c>
      <c r="AE352" s="8">
        <f t="shared" si="47"/>
        <v>6.9541346793707351E-4</v>
      </c>
      <c r="AF352" s="2">
        <f t="shared" si="48"/>
        <v>-6.5674023441519879E-4</v>
      </c>
      <c r="AG352" s="8">
        <f t="shared" si="49"/>
        <v>1.3521537023522723E-3</v>
      </c>
      <c r="AH352" s="7">
        <f t="shared" si="50"/>
        <v>-0.48569939443474625</v>
      </c>
      <c r="AI352">
        <f t="shared" si="51"/>
        <v>6</v>
      </c>
      <c r="AJ352" s="10">
        <f t="shared" si="52"/>
        <v>4.8677533284681801E-2</v>
      </c>
    </row>
    <row r="353" spans="1:36" hidden="1" x14ac:dyDescent="0.25">
      <c r="A353" t="b">
        <v>0</v>
      </c>
      <c r="B353">
        <v>1000</v>
      </c>
      <c r="C353">
        <v>4.8677533284681801E-2</v>
      </c>
      <c r="D353" t="s">
        <v>52</v>
      </c>
      <c r="E353" t="b">
        <v>1</v>
      </c>
      <c r="F353" t="s">
        <v>53</v>
      </c>
      <c r="G353">
        <v>7.4999999999999997E-2</v>
      </c>
      <c r="H353">
        <v>0.5</v>
      </c>
      <c r="I353">
        <v>1E-4</v>
      </c>
      <c r="J353" t="b">
        <v>1</v>
      </c>
      <c r="K353">
        <v>6</v>
      </c>
      <c r="L353">
        <v>1500</v>
      </c>
      <c r="M353">
        <v>0.05</v>
      </c>
      <c r="N353">
        <v>0.154</v>
      </c>
      <c r="O353" t="s">
        <v>245</v>
      </c>
      <c r="P353" t="s">
        <v>247</v>
      </c>
      <c r="Q353">
        <v>-2.2596664861701901E-4</v>
      </c>
      <c r="R353">
        <v>1.8439682124449599E-3</v>
      </c>
      <c r="S353">
        <v>8.9760344515088899E-4</v>
      </c>
      <c r="T353">
        <v>-1.08370899781667E-2</v>
      </c>
      <c r="U353">
        <v>5.9976736931452796</v>
      </c>
      <c r="V353" s="1">
        <v>9.9999999999999905E-15</v>
      </c>
      <c r="W353">
        <v>0.55081562951801499</v>
      </c>
      <c r="X353">
        <v>2.4999999999999898</v>
      </c>
      <c r="Y353">
        <v>24.8840667956486</v>
      </c>
      <c r="Z353">
        <v>0.499999999999999</v>
      </c>
      <c r="AA353">
        <v>45.255183165417499</v>
      </c>
      <c r="AB353" s="9">
        <f t="shared" si="44"/>
        <v>-0.33537112496342236</v>
      </c>
      <c r="AC353" s="9">
        <f t="shared" si="45"/>
        <v>-0.33738431688797854</v>
      </c>
      <c r="AD353" s="2">
        <f t="shared" si="46"/>
        <v>6.0028779304590607E-3</v>
      </c>
      <c r="AE353" s="8">
        <f t="shared" si="47"/>
        <v>6.7972558973551644E-4</v>
      </c>
      <c r="AF353" s="2">
        <f t="shared" si="48"/>
        <v>-6.7242811261675585E-4</v>
      </c>
      <c r="AG353" s="8">
        <f t="shared" si="49"/>
        <v>1.3521537023522723E-3</v>
      </c>
      <c r="AH353" s="7">
        <f t="shared" si="50"/>
        <v>-0.49730153565158103</v>
      </c>
      <c r="AI353">
        <f t="shared" si="51"/>
        <v>6</v>
      </c>
      <c r="AJ353" s="10">
        <f t="shared" si="52"/>
        <v>4.8677533284681801E-2</v>
      </c>
    </row>
    <row r="354" spans="1:36" hidden="1" x14ac:dyDescent="0.25">
      <c r="A354" t="b">
        <v>0</v>
      </c>
      <c r="B354">
        <v>1000</v>
      </c>
      <c r="C354">
        <v>4.8677533284681801E-2</v>
      </c>
      <c r="D354" t="s">
        <v>52</v>
      </c>
      <c r="E354" t="b">
        <v>1</v>
      </c>
      <c r="F354" t="s">
        <v>53</v>
      </c>
      <c r="G354">
        <v>7.4999999999999997E-2</v>
      </c>
      <c r="H354">
        <v>0.5</v>
      </c>
      <c r="I354">
        <v>1E-4</v>
      </c>
      <c r="J354" t="b">
        <v>1</v>
      </c>
      <c r="K354">
        <v>6</v>
      </c>
      <c r="L354">
        <v>1500</v>
      </c>
      <c r="M354">
        <v>0.05</v>
      </c>
      <c r="N354">
        <v>0.154</v>
      </c>
      <c r="O354" t="s">
        <v>245</v>
      </c>
      <c r="P354" t="s">
        <v>248</v>
      </c>
      <c r="Q354">
        <v>-2.6368337954989901E-4</v>
      </c>
      <c r="R354">
        <v>2.2820966544176602E-3</v>
      </c>
      <c r="S354">
        <v>1.04746826253003E-3</v>
      </c>
      <c r="T354">
        <v>-1.2648234222376599E-2</v>
      </c>
      <c r="U354">
        <v>5.9974471525576396</v>
      </c>
      <c r="V354" s="1">
        <v>9.9999999999999905E-15</v>
      </c>
      <c r="W354">
        <v>0.58904267767574703</v>
      </c>
      <c r="X354">
        <v>2.4999999999999898</v>
      </c>
      <c r="Y354">
        <v>26.212394772507398</v>
      </c>
      <c r="Z354">
        <v>0.499999999999999</v>
      </c>
      <c r="AA354">
        <v>48.056228705427102</v>
      </c>
      <c r="AB354" s="9">
        <f t="shared" si="44"/>
        <v>-0.33541812394567755</v>
      </c>
      <c r="AC354" s="9">
        <f t="shared" si="45"/>
        <v>-0.33738431688797854</v>
      </c>
      <c r="AD354" s="2">
        <f t="shared" si="46"/>
        <v>5.8619162231656752E-3</v>
      </c>
      <c r="AE354" s="8">
        <f t="shared" si="47"/>
        <v>6.9541346793796288E-4</v>
      </c>
      <c r="AF354" s="2">
        <f t="shared" si="48"/>
        <v>-6.5674023441430942E-4</v>
      </c>
      <c r="AG354" s="8">
        <f t="shared" si="49"/>
        <v>1.3521537023522723E-3</v>
      </c>
      <c r="AH354" s="7">
        <f t="shared" si="50"/>
        <v>-0.48569939443408849</v>
      </c>
      <c r="AI354">
        <f t="shared" si="51"/>
        <v>6</v>
      </c>
      <c r="AJ354" s="10">
        <f t="shared" si="52"/>
        <v>4.8677533284681801E-2</v>
      </c>
    </row>
    <row r="355" spans="1:36" hidden="1" x14ac:dyDescent="0.25">
      <c r="A355" t="b">
        <v>0</v>
      </c>
      <c r="B355">
        <v>1000</v>
      </c>
      <c r="C355">
        <v>4.8677533284681801E-2</v>
      </c>
      <c r="D355" t="s">
        <v>52</v>
      </c>
      <c r="E355" t="b">
        <v>1</v>
      </c>
      <c r="F355" t="s">
        <v>53</v>
      </c>
      <c r="G355">
        <v>7.4999999999999997E-2</v>
      </c>
      <c r="H355">
        <v>0.5</v>
      </c>
      <c r="I355">
        <v>1E-4</v>
      </c>
      <c r="J355" t="b">
        <v>1</v>
      </c>
      <c r="K355">
        <v>6</v>
      </c>
      <c r="L355">
        <v>1500</v>
      </c>
      <c r="M355">
        <v>0.05</v>
      </c>
      <c r="N355">
        <v>0.154</v>
      </c>
      <c r="O355" t="s">
        <v>245</v>
      </c>
      <c r="P355" t="s">
        <v>249</v>
      </c>
      <c r="Q355">
        <v>-5.2737905374080501E-4</v>
      </c>
      <c r="R355">
        <v>4.5760606301963698E-3</v>
      </c>
      <c r="S355">
        <v>2.0949114595767101E-3</v>
      </c>
      <c r="T355">
        <v>-2.52931406151027E-2</v>
      </c>
      <c r="U355">
        <v>5.99586503184908</v>
      </c>
      <c r="V355" s="1">
        <v>9.9999999999999905E-15</v>
      </c>
      <c r="W355">
        <v>0.58483632144286302</v>
      </c>
      <c r="X355">
        <v>2.4999999999999898</v>
      </c>
      <c r="Y355">
        <v>26.369595321083398</v>
      </c>
      <c r="Z355">
        <v>0.499999999999999</v>
      </c>
      <c r="AA355">
        <v>48.141536457948</v>
      </c>
      <c r="AB355" s="9">
        <f t="shared" si="44"/>
        <v>-0.33537801136968837</v>
      </c>
      <c r="AC355" s="9">
        <f t="shared" si="45"/>
        <v>-0.33738431688797854</v>
      </c>
      <c r="AD355" s="2">
        <f t="shared" si="46"/>
        <v>5.9822214047260402E-3</v>
      </c>
      <c r="AE355" s="8">
        <f t="shared" si="47"/>
        <v>6.8202418540907984E-4</v>
      </c>
      <c r="AF355" s="2">
        <f t="shared" si="48"/>
        <v>-6.7012951694319246E-4</v>
      </c>
      <c r="AG355" s="8">
        <f t="shared" si="49"/>
        <v>1.3521537023522723E-3</v>
      </c>
      <c r="AH355" s="7">
        <f t="shared" si="50"/>
        <v>-0.49560158418188893</v>
      </c>
      <c r="AI355">
        <f t="shared" si="51"/>
        <v>6</v>
      </c>
      <c r="AJ355" s="10">
        <f t="shared" si="52"/>
        <v>4.8677533284681801E-2</v>
      </c>
    </row>
    <row r="356" spans="1:36" hidden="1" x14ac:dyDescent="0.25">
      <c r="A356" t="b">
        <v>0</v>
      </c>
      <c r="B356">
        <v>1000</v>
      </c>
      <c r="C356">
        <v>4.8677533284681801E-2</v>
      </c>
      <c r="D356" t="s">
        <v>52</v>
      </c>
      <c r="E356" t="b">
        <v>1</v>
      </c>
      <c r="F356" t="s">
        <v>53</v>
      </c>
      <c r="G356">
        <v>7.4999999999999997E-2</v>
      </c>
      <c r="H356">
        <v>0.5</v>
      </c>
      <c r="I356">
        <v>1E-4</v>
      </c>
      <c r="J356" t="b">
        <v>1</v>
      </c>
      <c r="K356">
        <v>6</v>
      </c>
      <c r="L356">
        <v>1500</v>
      </c>
      <c r="M356">
        <v>0.05</v>
      </c>
      <c r="N356">
        <v>0.154</v>
      </c>
      <c r="O356" t="s">
        <v>246</v>
      </c>
      <c r="P356" t="s">
        <v>248</v>
      </c>
      <c r="Q356" s="1">
        <v>-1E-10</v>
      </c>
      <c r="R356" s="1">
        <v>3.58578588254822E-12</v>
      </c>
      <c r="S356" s="1">
        <v>3.1477888590723299E-18</v>
      </c>
      <c r="T356" s="1">
        <v>4.0621634566197001E-16</v>
      </c>
      <c r="U356">
        <v>5.9958654503038096</v>
      </c>
      <c r="V356">
        <v>0</v>
      </c>
      <c r="W356">
        <v>6.8474547315182294E-2</v>
      </c>
      <c r="X356">
        <v>2</v>
      </c>
      <c r="Y356">
        <v>4.0005663588249503E-3</v>
      </c>
      <c r="Z356">
        <v>2.5000000000000001E-4</v>
      </c>
      <c r="AA356">
        <v>4.7933529151895603E-3</v>
      </c>
      <c r="AB356" s="9">
        <f t="shared" ref="AB356:AB419" si="53">T356/S356/K356^2</f>
        <v>3.5846709816568065</v>
      </c>
      <c r="AC356" s="9">
        <f t="shared" ref="AC356:AC419" si="54">(1+10*C356/K356^2)/(-3-3*C356/K356^2)</f>
        <v>-0.33738431688797854</v>
      </c>
      <c r="AD356" s="2">
        <f t="shared" ref="AD356:AD419" si="55">(AC356/AB356-1)</f>
        <v>-1.0941186286313067</v>
      </c>
      <c r="AE356" s="8">
        <f t="shared" ref="AE356:AE419" si="56">-(1+3*AB356)/(10+3*AB356)</f>
        <v>-0.56634892616364663</v>
      </c>
      <c r="AF356" s="2">
        <f t="shared" ref="AF356:AF419" si="57">(AE356-C356/K356^2)</f>
        <v>-0.56770107986599894</v>
      </c>
      <c r="AG356" s="8">
        <f t="shared" ref="AG356:AG419" si="58">C356/K356^2</f>
        <v>1.3521537023522723E-3</v>
      </c>
      <c r="AH356" s="7">
        <f t="shared" ref="AH356:AH419" si="59">AF356/AG356</f>
        <v>-419.84951775704087</v>
      </c>
      <c r="AI356">
        <f t="shared" ref="AI356:AI419" si="60">K356</f>
        <v>6</v>
      </c>
      <c r="AJ356" s="10">
        <f t="shared" ref="AJ356:AJ419" si="61">C356</f>
        <v>4.8677533284681801E-2</v>
      </c>
    </row>
    <row r="357" spans="1:36" hidden="1" x14ac:dyDescent="0.25">
      <c r="A357" t="b">
        <v>0</v>
      </c>
      <c r="B357">
        <v>1000</v>
      </c>
      <c r="C357">
        <v>4.8677533284681801E-2</v>
      </c>
      <c r="D357" t="s">
        <v>52</v>
      </c>
      <c r="E357" t="b">
        <v>1</v>
      </c>
      <c r="F357" t="s">
        <v>53</v>
      </c>
      <c r="G357">
        <v>7.4999999999999997E-2</v>
      </c>
      <c r="H357">
        <v>0.5</v>
      </c>
      <c r="I357">
        <v>1E-4</v>
      </c>
      <c r="J357" t="b">
        <v>1</v>
      </c>
      <c r="K357">
        <v>6</v>
      </c>
      <c r="L357">
        <v>1500</v>
      </c>
      <c r="M357">
        <v>0.05</v>
      </c>
      <c r="N357">
        <v>0.154</v>
      </c>
      <c r="O357" t="s">
        <v>246</v>
      </c>
      <c r="P357" t="s">
        <v>249</v>
      </c>
      <c r="Q357">
        <v>-2.6369567419100997E-4</v>
      </c>
      <c r="R357">
        <v>2.2643038198370598E-3</v>
      </c>
      <c r="S357">
        <v>1.0474431970466699E-3</v>
      </c>
      <c r="T357">
        <v>-1.26449063927259E-2</v>
      </c>
      <c r="U357">
        <v>5.99428332959525</v>
      </c>
      <c r="V357" s="1">
        <v>9.9999999999999905E-15</v>
      </c>
      <c r="W357">
        <v>0.581746907625043</v>
      </c>
      <c r="X357">
        <v>2.4999999999999898</v>
      </c>
      <c r="Y357">
        <v>26.060936070320299</v>
      </c>
      <c r="Z357">
        <v>0.499999999999999</v>
      </c>
      <c r="AA357">
        <v>47.657835201769103</v>
      </c>
      <c r="AB357" s="9">
        <f t="shared" si="53"/>
        <v>-0.33533789783379681</v>
      </c>
      <c r="AC357" s="9">
        <f t="shared" si="54"/>
        <v>-0.33738431688797854</v>
      </c>
      <c r="AD357" s="2">
        <f t="shared" si="55"/>
        <v>6.1025582476692541E-3</v>
      </c>
      <c r="AE357" s="8">
        <f t="shared" si="56"/>
        <v>6.6863494077650117E-4</v>
      </c>
      <c r="AF357" s="2">
        <f t="shared" si="57"/>
        <v>-6.8351876157577113E-4</v>
      </c>
      <c r="AG357" s="8">
        <f t="shared" si="58"/>
        <v>1.3521537023522723E-3</v>
      </c>
      <c r="AH357" s="7">
        <f t="shared" si="59"/>
        <v>-0.50550374590306457</v>
      </c>
      <c r="AI357">
        <f t="shared" si="60"/>
        <v>6</v>
      </c>
      <c r="AJ357" s="10">
        <f t="shared" si="61"/>
        <v>4.8677533284681801E-2</v>
      </c>
    </row>
    <row r="358" spans="1:36" hidden="1" x14ac:dyDescent="0.25">
      <c r="A358" t="b">
        <v>0</v>
      </c>
      <c r="B358">
        <v>1000</v>
      </c>
      <c r="C358">
        <v>4.8677533284681801E-2</v>
      </c>
      <c r="D358" t="s">
        <v>52</v>
      </c>
      <c r="E358" t="b">
        <v>1</v>
      </c>
      <c r="F358" t="s">
        <v>53</v>
      </c>
      <c r="G358">
        <v>7.4999999999999997E-2</v>
      </c>
      <c r="H358">
        <v>0.5</v>
      </c>
      <c r="I358">
        <v>1E-4</v>
      </c>
      <c r="J358" t="b">
        <v>1</v>
      </c>
      <c r="K358">
        <v>6</v>
      </c>
      <c r="L358">
        <v>1500</v>
      </c>
      <c r="M358">
        <v>0.05</v>
      </c>
      <c r="N358">
        <v>0.154</v>
      </c>
      <c r="O358" t="s">
        <v>247</v>
      </c>
      <c r="P358" t="s">
        <v>248</v>
      </c>
      <c r="Q358" s="1">
        <v>-3.7716730689053997E-5</v>
      </c>
      <c r="R358">
        <v>3.3936255411317701E-4</v>
      </c>
      <c r="S358">
        <v>1.4986481737915401E-4</v>
      </c>
      <c r="T358">
        <v>-1.81114424421013E-3</v>
      </c>
      <c r="U358">
        <v>5.9960919908893899</v>
      </c>
      <c r="V358" s="1">
        <v>9.9999999999992695E-15</v>
      </c>
      <c r="W358">
        <v>0.60774463479576202</v>
      </c>
      <c r="X358">
        <v>2.4999999999999898</v>
      </c>
      <c r="Y358">
        <v>27.262419308877298</v>
      </c>
      <c r="Z358">
        <v>0.499999999710451</v>
      </c>
      <c r="AA358">
        <v>49.944190153939303</v>
      </c>
      <c r="AB358" s="9">
        <f t="shared" si="53"/>
        <v>-0.33569962062468883</v>
      </c>
      <c r="AC358" s="9">
        <f t="shared" si="54"/>
        <v>-0.33738431688797854</v>
      </c>
      <c r="AD358" s="2">
        <f t="shared" si="55"/>
        <v>5.0184634112921955E-3</v>
      </c>
      <c r="AE358" s="8">
        <f t="shared" si="56"/>
        <v>7.8938506773641086E-4</v>
      </c>
      <c r="AF358" s="2">
        <f t="shared" si="57"/>
        <v>-5.6276863461586144E-4</v>
      </c>
      <c r="AG358" s="8">
        <f t="shared" si="58"/>
        <v>1.3521537023522723E-3</v>
      </c>
      <c r="AH358" s="7">
        <f t="shared" si="59"/>
        <v>-0.41620167414166137</v>
      </c>
      <c r="AI358">
        <f t="shared" si="60"/>
        <v>6</v>
      </c>
      <c r="AJ358" s="10">
        <f t="shared" si="61"/>
        <v>4.8677533284681801E-2</v>
      </c>
    </row>
    <row r="359" spans="1:36" hidden="1" x14ac:dyDescent="0.25">
      <c r="A359" t="b">
        <v>0</v>
      </c>
      <c r="B359">
        <v>1000</v>
      </c>
      <c r="C359">
        <v>4.8677533284681801E-2</v>
      </c>
      <c r="D359" t="s">
        <v>52</v>
      </c>
      <c r="E359" t="b">
        <v>1</v>
      </c>
      <c r="F359" t="s">
        <v>53</v>
      </c>
      <c r="G359">
        <v>7.4999999999999997E-2</v>
      </c>
      <c r="H359">
        <v>0.5</v>
      </c>
      <c r="I359">
        <v>1E-4</v>
      </c>
      <c r="J359" t="b">
        <v>1</v>
      </c>
      <c r="K359">
        <v>6</v>
      </c>
      <c r="L359">
        <v>1500</v>
      </c>
      <c r="M359">
        <v>0.05</v>
      </c>
      <c r="N359">
        <v>0.154</v>
      </c>
      <c r="O359" t="s">
        <v>247</v>
      </c>
      <c r="P359" t="s">
        <v>249</v>
      </c>
      <c r="Q359">
        <v>-3.0141240512388602E-4</v>
      </c>
      <c r="R359">
        <v>2.6828029590006699E-3</v>
      </c>
      <c r="S359">
        <v>1.1973080144258199E-3</v>
      </c>
      <c r="T359">
        <v>-1.4456050636936099E-2</v>
      </c>
      <c r="U359">
        <v>5.9945098701808197</v>
      </c>
      <c r="V359" s="1">
        <v>9.9999999999999905E-15</v>
      </c>
      <c r="W359">
        <v>0.60604513416698802</v>
      </c>
      <c r="X359">
        <v>2.4999999999999898</v>
      </c>
      <c r="Y359">
        <v>26.907419078944301</v>
      </c>
      <c r="Z359">
        <v>0.499999999999999</v>
      </c>
      <c r="AA359">
        <v>49.436118639064198</v>
      </c>
      <c r="AB359" s="9">
        <f t="shared" si="53"/>
        <v>-0.33538317400279344</v>
      </c>
      <c r="AC359" s="9">
        <f t="shared" si="54"/>
        <v>-0.33738431688797854</v>
      </c>
      <c r="AD359" s="2">
        <f t="shared" si="55"/>
        <v>5.9667360807087455E-3</v>
      </c>
      <c r="AE359" s="8">
        <f t="shared" si="56"/>
        <v>6.8374741423914403E-4</v>
      </c>
      <c r="AF359" s="2">
        <f t="shared" si="57"/>
        <v>-6.6840628811312827E-4</v>
      </c>
      <c r="AG359" s="8">
        <f t="shared" si="58"/>
        <v>1.3521537023522723E-3</v>
      </c>
      <c r="AH359" s="7">
        <f t="shared" si="59"/>
        <v>-0.49432715152895429</v>
      </c>
      <c r="AI359">
        <f t="shared" si="60"/>
        <v>6</v>
      </c>
      <c r="AJ359" s="10">
        <f t="shared" si="61"/>
        <v>4.8677533284681801E-2</v>
      </c>
    </row>
    <row r="360" spans="1:36" hidden="1" x14ac:dyDescent="0.25">
      <c r="A360" t="b">
        <v>0</v>
      </c>
      <c r="B360">
        <v>1000</v>
      </c>
      <c r="C360">
        <v>4.8677533284681801E-2</v>
      </c>
      <c r="D360" t="s">
        <v>52</v>
      </c>
      <c r="E360" t="b">
        <v>1</v>
      </c>
      <c r="F360" t="s">
        <v>53</v>
      </c>
      <c r="G360">
        <v>7.4999999999999997E-2</v>
      </c>
      <c r="H360">
        <v>0.5</v>
      </c>
      <c r="I360">
        <v>1E-4</v>
      </c>
      <c r="J360" t="b">
        <v>1</v>
      </c>
      <c r="K360">
        <v>6</v>
      </c>
      <c r="L360">
        <v>1500</v>
      </c>
      <c r="M360">
        <v>0.05</v>
      </c>
      <c r="N360">
        <v>0.154</v>
      </c>
      <c r="O360" t="s">
        <v>248</v>
      </c>
      <c r="P360" t="s">
        <v>249</v>
      </c>
      <c r="Q360">
        <v>-2.6369567419100802E-4</v>
      </c>
      <c r="R360">
        <v>2.2620087379779498E-3</v>
      </c>
      <c r="S360">
        <v>1.0474431970466699E-3</v>
      </c>
      <c r="T360">
        <v>-1.26449063927259E-2</v>
      </c>
      <c r="U360">
        <v>5.9942833295931797</v>
      </c>
      <c r="V360" s="1">
        <v>9.9999999999999905E-15</v>
      </c>
      <c r="W360">
        <v>0.58559863659398403</v>
      </c>
      <c r="X360">
        <v>2.4999999999999898</v>
      </c>
      <c r="Y360">
        <v>25.9688281518693</v>
      </c>
      <c r="Z360">
        <v>0.499999999999999</v>
      </c>
      <c r="AA360">
        <v>47.637497359003802</v>
      </c>
      <c r="AB360" s="9">
        <f t="shared" si="53"/>
        <v>-0.33533789783379681</v>
      </c>
      <c r="AC360" s="9">
        <f t="shared" si="54"/>
        <v>-0.33738431688797854</v>
      </c>
      <c r="AD360" s="2">
        <f t="shared" si="55"/>
        <v>6.1025582476692541E-3</v>
      </c>
      <c r="AE360" s="8">
        <f t="shared" si="56"/>
        <v>6.6863494077650117E-4</v>
      </c>
      <c r="AF360" s="2">
        <f t="shared" si="57"/>
        <v>-6.8351876157577113E-4</v>
      </c>
      <c r="AG360" s="8">
        <f t="shared" si="58"/>
        <v>1.3521537023522723E-3</v>
      </c>
      <c r="AH360" s="7">
        <f t="shared" si="59"/>
        <v>-0.50550374590306457</v>
      </c>
      <c r="AI360">
        <f t="shared" si="60"/>
        <v>6</v>
      </c>
      <c r="AJ360" s="10">
        <f t="shared" si="61"/>
        <v>4.8677533284681801E-2</v>
      </c>
    </row>
    <row r="361" spans="1:36" hidden="1" x14ac:dyDescent="0.25">
      <c r="A361" t="b">
        <v>0</v>
      </c>
      <c r="B361">
        <v>1000</v>
      </c>
      <c r="C361">
        <v>4.8677533284679997E-2</v>
      </c>
      <c r="D361" t="s">
        <v>52</v>
      </c>
      <c r="E361" t="b">
        <v>1</v>
      </c>
      <c r="F361" t="s">
        <v>53</v>
      </c>
      <c r="G361">
        <v>7.4999999999999997E-2</v>
      </c>
      <c r="H361">
        <v>0.5</v>
      </c>
      <c r="I361">
        <v>1E-4</v>
      </c>
      <c r="J361" t="b">
        <v>1</v>
      </c>
      <c r="K361">
        <v>1</v>
      </c>
      <c r="L361">
        <v>1500</v>
      </c>
      <c r="M361">
        <v>0.05</v>
      </c>
      <c r="N361">
        <v>0.154</v>
      </c>
      <c r="O361" t="s">
        <v>250</v>
      </c>
      <c r="P361" t="s">
        <v>251</v>
      </c>
      <c r="Q361" s="1">
        <v>-1.47229844166698E-6</v>
      </c>
      <c r="R361" s="1">
        <v>4.0106073573590899E-7</v>
      </c>
      <c r="S361" s="1">
        <v>4.3733889869366101E-6</v>
      </c>
      <c r="T361" s="1">
        <v>-2.0834308228605E-6</v>
      </c>
      <c r="U361">
        <v>1.0234107132657699</v>
      </c>
      <c r="V361" s="1">
        <v>-1.15861058977195E-15</v>
      </c>
      <c r="W361">
        <v>1.48033452163109E-2</v>
      </c>
      <c r="X361">
        <v>1.82448597204546</v>
      </c>
      <c r="Y361">
        <v>1.1355816616510299</v>
      </c>
      <c r="Z361">
        <v>1.22036517202679E-2</v>
      </c>
      <c r="AA361">
        <v>0.89618496740642695</v>
      </c>
      <c r="AB361" s="9">
        <f t="shared" si="53"/>
        <v>-0.47638818067264188</v>
      </c>
      <c r="AC361" s="9">
        <f t="shared" si="54"/>
        <v>-0.47258738924567367</v>
      </c>
      <c r="AD361" s="2">
        <f t="shared" si="55"/>
        <v>-7.9783495501538626E-3</v>
      </c>
      <c r="AE361" s="8">
        <f t="shared" si="56"/>
        <v>5.0072661425117203E-2</v>
      </c>
      <c r="AF361" s="2">
        <f t="shared" si="57"/>
        <v>1.395128140437206E-3</v>
      </c>
      <c r="AG361" s="8">
        <f t="shared" si="58"/>
        <v>4.8677533284679997E-2</v>
      </c>
      <c r="AH361" s="7">
        <f t="shared" si="59"/>
        <v>2.8660617050541605E-2</v>
      </c>
      <c r="AI361">
        <f t="shared" si="60"/>
        <v>1</v>
      </c>
      <c r="AJ361" s="10">
        <f t="shared" si="61"/>
        <v>4.8677533284679997E-2</v>
      </c>
    </row>
    <row r="362" spans="1:36" hidden="1" x14ac:dyDescent="0.25">
      <c r="A362" t="b">
        <v>0</v>
      </c>
      <c r="B362">
        <v>1000</v>
      </c>
      <c r="C362">
        <v>4.8677533284679997E-2</v>
      </c>
      <c r="D362" t="s">
        <v>52</v>
      </c>
      <c r="E362" t="b">
        <v>1</v>
      </c>
      <c r="F362" t="s">
        <v>53</v>
      </c>
      <c r="G362">
        <v>7.4999999999999997E-2</v>
      </c>
      <c r="H362">
        <v>0.5</v>
      </c>
      <c r="I362">
        <v>1E-4</v>
      </c>
      <c r="J362" t="b">
        <v>1</v>
      </c>
      <c r="K362">
        <v>1</v>
      </c>
      <c r="L362">
        <v>1500</v>
      </c>
      <c r="M362">
        <v>0.05</v>
      </c>
      <c r="N362">
        <v>0.154</v>
      </c>
      <c r="O362" t="s">
        <v>250</v>
      </c>
      <c r="P362" t="s">
        <v>252</v>
      </c>
      <c r="Q362" s="1">
        <v>-1.1774355327667E-5</v>
      </c>
      <c r="R362" s="1">
        <v>3.1798344920161002E-6</v>
      </c>
      <c r="S362" s="1">
        <v>3.4975122192672298E-5</v>
      </c>
      <c r="T362" s="1">
        <v>-1.66608893663561E-5</v>
      </c>
      <c r="U362">
        <v>1.0234000301519599</v>
      </c>
      <c r="V362" s="1">
        <v>-1.1561760441565699E-15</v>
      </c>
      <c r="W362">
        <v>1.5013430125618199E-2</v>
      </c>
      <c r="X362">
        <v>1.82448281483343</v>
      </c>
      <c r="Y362">
        <v>1.1330159009029099</v>
      </c>
      <c r="Z362">
        <v>1.22038131086911E-2</v>
      </c>
      <c r="AA362">
        <v>0.888414021989686</v>
      </c>
      <c r="AB362" s="9">
        <f t="shared" si="53"/>
        <v>-0.47636400738141677</v>
      </c>
      <c r="AC362" s="9">
        <f t="shared" si="54"/>
        <v>-0.47258738924567367</v>
      </c>
      <c r="AD362" s="2">
        <f t="shared" si="55"/>
        <v>-7.9280089956905719E-3</v>
      </c>
      <c r="AE362" s="8">
        <f t="shared" si="56"/>
        <v>5.0063776586200086E-2</v>
      </c>
      <c r="AF362" s="2">
        <f t="shared" si="57"/>
        <v>1.386243301520089E-3</v>
      </c>
      <c r="AG362" s="8">
        <f t="shared" si="58"/>
        <v>4.8677533284679997E-2</v>
      </c>
      <c r="AH362" s="7">
        <f t="shared" si="59"/>
        <v>2.847809262258516E-2</v>
      </c>
      <c r="AI362">
        <f t="shared" si="60"/>
        <v>1</v>
      </c>
      <c r="AJ362" s="10">
        <f t="shared" si="61"/>
        <v>4.8677533284679997E-2</v>
      </c>
    </row>
    <row r="363" spans="1:36" hidden="1" x14ac:dyDescent="0.25">
      <c r="A363" t="b">
        <v>0</v>
      </c>
      <c r="B363">
        <v>1000</v>
      </c>
      <c r="C363">
        <v>4.8677533284679997E-2</v>
      </c>
      <c r="D363" t="s">
        <v>52</v>
      </c>
      <c r="E363" t="b">
        <v>1</v>
      </c>
      <c r="F363" t="s">
        <v>53</v>
      </c>
      <c r="G363">
        <v>7.4999999999999997E-2</v>
      </c>
      <c r="H363">
        <v>0.5</v>
      </c>
      <c r="I363">
        <v>1E-4</v>
      </c>
      <c r="J363" t="b">
        <v>1</v>
      </c>
      <c r="K363">
        <v>1</v>
      </c>
      <c r="L363">
        <v>1500</v>
      </c>
      <c r="M363">
        <v>0.05</v>
      </c>
      <c r="N363">
        <v>0.154</v>
      </c>
      <c r="O363" t="s">
        <v>250</v>
      </c>
      <c r="P363" t="s">
        <v>253</v>
      </c>
      <c r="Q363" s="1">
        <v>-1.47229844166619E-6</v>
      </c>
      <c r="R363" s="1">
        <v>3.9773845859939898E-7</v>
      </c>
      <c r="S363" s="1">
        <v>4.3733889869343603E-6</v>
      </c>
      <c r="T363" s="1">
        <v>-2.0834308228694298E-6</v>
      </c>
      <c r="U363">
        <v>1.0234107132664001</v>
      </c>
      <c r="V363" s="1">
        <v>-1.15861058978396E-15</v>
      </c>
      <c r="W363">
        <v>1.44690276146768E-2</v>
      </c>
      <c r="X363">
        <v>1.8244859720461</v>
      </c>
      <c r="Y363">
        <v>1.13344687356281</v>
      </c>
      <c r="Z363">
        <v>1.2203651720354401E-2</v>
      </c>
      <c r="AA363">
        <v>0.888673250736561</v>
      </c>
      <c r="AB363" s="9">
        <f t="shared" si="53"/>
        <v>-0.47638818067492877</v>
      </c>
      <c r="AC363" s="9">
        <f t="shared" si="54"/>
        <v>-0.47258738924567367</v>
      </c>
      <c r="AD363" s="2">
        <f t="shared" si="55"/>
        <v>-7.9783495549160532E-3</v>
      </c>
      <c r="AE363" s="8">
        <f t="shared" si="56"/>
        <v>5.0072661425957732E-2</v>
      </c>
      <c r="AF363" s="2">
        <f t="shared" si="57"/>
        <v>1.395128141277735E-3</v>
      </c>
      <c r="AG363" s="8">
        <f t="shared" si="58"/>
        <v>4.8677533284679997E-2</v>
      </c>
      <c r="AH363" s="7">
        <f t="shared" si="59"/>
        <v>2.8660617067808893E-2</v>
      </c>
      <c r="AI363">
        <f t="shared" si="60"/>
        <v>1</v>
      </c>
      <c r="AJ363" s="10">
        <f t="shared" si="61"/>
        <v>4.8677533284679997E-2</v>
      </c>
    </row>
    <row r="364" spans="1:36" hidden="1" x14ac:dyDescent="0.25">
      <c r="A364" t="b">
        <v>0</v>
      </c>
      <c r="B364">
        <v>1000</v>
      </c>
      <c r="C364">
        <v>4.8677533284679997E-2</v>
      </c>
      <c r="D364" t="s">
        <v>52</v>
      </c>
      <c r="E364" t="b">
        <v>1</v>
      </c>
      <c r="F364" t="s">
        <v>53</v>
      </c>
      <c r="G364">
        <v>7.4999999999999997E-2</v>
      </c>
      <c r="H364">
        <v>0.5</v>
      </c>
      <c r="I364">
        <v>1E-4</v>
      </c>
      <c r="J364" t="b">
        <v>1</v>
      </c>
      <c r="K364">
        <v>1</v>
      </c>
      <c r="L364">
        <v>1500</v>
      </c>
      <c r="M364">
        <v>0.05</v>
      </c>
      <c r="N364">
        <v>0.154</v>
      </c>
      <c r="O364" t="s">
        <v>250</v>
      </c>
      <c r="P364" t="s">
        <v>254</v>
      </c>
      <c r="Q364" s="1">
        <v>-2.9445957268646801E-6</v>
      </c>
      <c r="R364" s="1">
        <v>7.9601464829270999E-7</v>
      </c>
      <c r="S364" s="1">
        <v>8.7467744807309704E-6</v>
      </c>
      <c r="T364" s="1">
        <v>-4.1668558216206096E-6</v>
      </c>
      <c r="U364">
        <v>1.0234091864318899</v>
      </c>
      <c r="V364" s="1">
        <v>-1.1576842534409599E-15</v>
      </c>
      <c r="W364">
        <v>1.50151489330694E-2</v>
      </c>
      <c r="X364">
        <v>1.8244858680748499</v>
      </c>
      <c r="Y364">
        <v>1.13318792896579</v>
      </c>
      <c r="Z364">
        <v>1.2203650220506001E-2</v>
      </c>
      <c r="AA364">
        <v>0.88930419220856305</v>
      </c>
      <c r="AB364" s="9">
        <f t="shared" si="53"/>
        <v>-0.47638770506775252</v>
      </c>
      <c r="AC364" s="9">
        <f t="shared" si="54"/>
        <v>-0.47258738924567367</v>
      </c>
      <c r="AD364" s="2">
        <f t="shared" si="55"/>
        <v>-7.9773591586255188E-3</v>
      </c>
      <c r="AE364" s="8">
        <f t="shared" si="56"/>
        <v>5.0072486616157923E-2</v>
      </c>
      <c r="AF364" s="2">
        <f t="shared" si="57"/>
        <v>1.3949533314779258E-3</v>
      </c>
      <c r="AG364" s="8">
        <f t="shared" si="58"/>
        <v>4.8677533284679997E-2</v>
      </c>
      <c r="AH364" s="7">
        <f t="shared" si="59"/>
        <v>2.8657025887483735E-2</v>
      </c>
      <c r="AI364">
        <f t="shared" si="60"/>
        <v>1</v>
      </c>
      <c r="AJ364" s="10">
        <f t="shared" si="61"/>
        <v>4.8677533284679997E-2</v>
      </c>
    </row>
    <row r="365" spans="1:36" hidden="1" x14ac:dyDescent="0.25">
      <c r="A365" t="b">
        <v>0</v>
      </c>
      <c r="B365">
        <v>1000</v>
      </c>
      <c r="C365">
        <v>4.8677533284679997E-2</v>
      </c>
      <c r="D365" t="s">
        <v>52</v>
      </c>
      <c r="E365" t="b">
        <v>1</v>
      </c>
      <c r="F365" t="s">
        <v>53</v>
      </c>
      <c r="G365">
        <v>7.4999999999999997E-2</v>
      </c>
      <c r="H365">
        <v>0.5</v>
      </c>
      <c r="I365">
        <v>1E-4</v>
      </c>
      <c r="J365" t="b">
        <v>1</v>
      </c>
      <c r="K365">
        <v>1</v>
      </c>
      <c r="L365">
        <v>1500</v>
      </c>
      <c r="M365">
        <v>0.05</v>
      </c>
      <c r="N365">
        <v>0.154</v>
      </c>
      <c r="O365" t="s">
        <v>250</v>
      </c>
      <c r="P365" t="s">
        <v>255</v>
      </c>
      <c r="Q365" s="1">
        <v>-1.3246644521179399E-5</v>
      </c>
      <c r="R365" s="1">
        <v>3.6032920382045199E-6</v>
      </c>
      <c r="S365" s="1">
        <v>3.9348483245009103E-5</v>
      </c>
      <c r="T365" s="1">
        <v>-1.87442736177423E-5</v>
      </c>
      <c r="U365">
        <v>1.02339850330991</v>
      </c>
      <c r="V365" s="1">
        <v>-1.1570034264997299E-15</v>
      </c>
      <c r="W365">
        <v>1.56461703298621E-2</v>
      </c>
      <c r="X365">
        <v>1.8244829812349299</v>
      </c>
      <c r="Y365">
        <v>1.1342222357748999</v>
      </c>
      <c r="Z365">
        <v>1.2203792589616499E-2</v>
      </c>
      <c r="AA365">
        <v>0.89493285854782201</v>
      </c>
      <c r="AB365" s="9">
        <f t="shared" si="53"/>
        <v>-0.47636584874258892</v>
      </c>
      <c r="AC365" s="9">
        <f t="shared" si="54"/>
        <v>-0.47258738924567367</v>
      </c>
      <c r="AD365" s="2">
        <f t="shared" si="55"/>
        <v>-7.9318437853780344E-3</v>
      </c>
      <c r="AE365" s="8">
        <f t="shared" si="56"/>
        <v>5.0064453369074544E-2</v>
      </c>
      <c r="AF365" s="2">
        <f t="shared" si="57"/>
        <v>1.3869200843945467E-3</v>
      </c>
      <c r="AG365" s="8">
        <f t="shared" si="58"/>
        <v>4.8677533284679997E-2</v>
      </c>
      <c r="AH365" s="7">
        <f t="shared" si="59"/>
        <v>2.8491996015563185E-2</v>
      </c>
      <c r="AI365">
        <f t="shared" si="60"/>
        <v>1</v>
      </c>
      <c r="AJ365" s="10">
        <f t="shared" si="61"/>
        <v>4.8677533284679997E-2</v>
      </c>
    </row>
    <row r="366" spans="1:36" hidden="1" x14ac:dyDescent="0.25">
      <c r="A366" t="b">
        <v>0</v>
      </c>
      <c r="B366">
        <v>1000</v>
      </c>
      <c r="C366">
        <v>4.8677533284679997E-2</v>
      </c>
      <c r="D366" t="s">
        <v>52</v>
      </c>
      <c r="E366" t="b">
        <v>1</v>
      </c>
      <c r="F366" t="s">
        <v>53</v>
      </c>
      <c r="G366">
        <v>7.4999999999999997E-2</v>
      </c>
      <c r="H366">
        <v>0.5</v>
      </c>
      <c r="I366">
        <v>1E-4</v>
      </c>
      <c r="J366" t="b">
        <v>1</v>
      </c>
      <c r="K366">
        <v>1</v>
      </c>
      <c r="L366">
        <v>1500</v>
      </c>
      <c r="M366">
        <v>0.05</v>
      </c>
      <c r="N366">
        <v>0.154</v>
      </c>
      <c r="O366" t="s">
        <v>250</v>
      </c>
      <c r="P366" t="s">
        <v>256</v>
      </c>
      <c r="Q366" s="1">
        <v>-1.17743553276679E-5</v>
      </c>
      <c r="R366" s="1">
        <v>3.20495159335192E-6</v>
      </c>
      <c r="S366" s="1">
        <v>3.4975122192677E-5</v>
      </c>
      <c r="T366" s="1">
        <v>-1.66608893664843E-5</v>
      </c>
      <c r="U366">
        <v>1.0234000301370101</v>
      </c>
      <c r="V366" s="1">
        <v>-1.1561760451829701E-15</v>
      </c>
      <c r="W366">
        <v>1.48555088544437E-2</v>
      </c>
      <c r="X366">
        <v>1.82448281483374</v>
      </c>
      <c r="Y366">
        <v>1.13526886424304</v>
      </c>
      <c r="Z366">
        <v>1.22038131086325E-2</v>
      </c>
      <c r="AA366">
        <v>0.89550358521724804</v>
      </c>
      <c r="AB366" s="9">
        <f t="shared" si="53"/>
        <v>-0.47636400738501816</v>
      </c>
      <c r="AC366" s="9">
        <f t="shared" si="54"/>
        <v>-0.47258738924567367</v>
      </c>
      <c r="AD366" s="2">
        <f t="shared" si="55"/>
        <v>-7.9280090031907946E-3</v>
      </c>
      <c r="AE366" s="8">
        <f t="shared" si="56"/>
        <v>5.0063776587523763E-2</v>
      </c>
      <c r="AF366" s="2">
        <f t="shared" si="57"/>
        <v>1.3862433028437662E-3</v>
      </c>
      <c r="AG366" s="8">
        <f t="shared" si="58"/>
        <v>4.8677533284679997E-2</v>
      </c>
      <c r="AH366" s="7">
        <f t="shared" si="59"/>
        <v>2.8478092649777936E-2</v>
      </c>
      <c r="AI366">
        <f t="shared" si="60"/>
        <v>1</v>
      </c>
      <c r="AJ366" s="10">
        <f t="shared" si="61"/>
        <v>4.8677533284679997E-2</v>
      </c>
    </row>
    <row r="367" spans="1:36" hidden="1" x14ac:dyDescent="0.25">
      <c r="A367" t="b">
        <v>0</v>
      </c>
      <c r="B367">
        <v>1000</v>
      </c>
      <c r="C367">
        <v>4.8677533284679997E-2</v>
      </c>
      <c r="D367" t="s">
        <v>52</v>
      </c>
      <c r="E367" t="b">
        <v>1</v>
      </c>
      <c r="F367" t="s">
        <v>53</v>
      </c>
      <c r="G367">
        <v>7.4999999999999997E-2</v>
      </c>
      <c r="H367">
        <v>0.5</v>
      </c>
      <c r="I367">
        <v>1E-4</v>
      </c>
      <c r="J367" t="b">
        <v>1</v>
      </c>
      <c r="K367">
        <v>1</v>
      </c>
      <c r="L367">
        <v>1500</v>
      </c>
      <c r="M367">
        <v>0.05</v>
      </c>
      <c r="N367">
        <v>0.154</v>
      </c>
      <c r="O367" t="s">
        <v>250</v>
      </c>
      <c r="P367" t="s">
        <v>257</v>
      </c>
      <c r="Q367" s="1">
        <v>-1.32466445211808E-5</v>
      </c>
      <c r="R367" s="1">
        <v>3.5919949044171699E-6</v>
      </c>
      <c r="S367" s="1">
        <v>3.9348483245012802E-5</v>
      </c>
      <c r="T367" s="1">
        <v>-1.8744273617701601E-5</v>
      </c>
      <c r="U367">
        <v>1.0233985033111801</v>
      </c>
      <c r="V367" s="1">
        <v>-1.1570034248625199E-15</v>
      </c>
      <c r="W367">
        <v>1.58153684660233E-2</v>
      </c>
      <c r="X367">
        <v>1.8244829812347501</v>
      </c>
      <c r="Y367">
        <v>1.1332975221713699</v>
      </c>
      <c r="Z367">
        <v>1.2203792589607699E-2</v>
      </c>
      <c r="AA367">
        <v>0.89210995547554905</v>
      </c>
      <c r="AB367" s="9">
        <f t="shared" si="53"/>
        <v>-0.47636584874150978</v>
      </c>
      <c r="AC367" s="9">
        <f t="shared" si="54"/>
        <v>-0.47258738924567367</v>
      </c>
      <c r="AD367" s="2">
        <f t="shared" si="55"/>
        <v>-7.9318437831306099E-3</v>
      </c>
      <c r="AE367" s="8">
        <f t="shared" si="56"/>
        <v>5.0064453368677923E-2</v>
      </c>
      <c r="AF367" s="2">
        <f t="shared" si="57"/>
        <v>1.3869200839979265E-3</v>
      </c>
      <c r="AG367" s="8">
        <f t="shared" si="58"/>
        <v>4.8677533284679997E-2</v>
      </c>
      <c r="AH367" s="7">
        <f t="shared" si="59"/>
        <v>2.8491996007415272E-2</v>
      </c>
      <c r="AI367">
        <f t="shared" si="60"/>
        <v>1</v>
      </c>
      <c r="AJ367" s="10">
        <f t="shared" si="61"/>
        <v>4.8677533284679997E-2</v>
      </c>
    </row>
    <row r="368" spans="1:36" hidden="1" x14ac:dyDescent="0.25">
      <c r="A368" t="b">
        <v>0</v>
      </c>
      <c r="B368">
        <v>1000</v>
      </c>
      <c r="C368">
        <v>4.8677533284679997E-2</v>
      </c>
      <c r="D368" t="s">
        <v>52</v>
      </c>
      <c r="E368" t="b">
        <v>1</v>
      </c>
      <c r="F368" t="s">
        <v>53</v>
      </c>
      <c r="G368">
        <v>7.4999999999999997E-2</v>
      </c>
      <c r="H368">
        <v>0.5</v>
      </c>
      <c r="I368">
        <v>1E-4</v>
      </c>
      <c r="J368" t="b">
        <v>1</v>
      </c>
      <c r="K368">
        <v>1</v>
      </c>
      <c r="L368">
        <v>1500</v>
      </c>
      <c r="M368">
        <v>0.05</v>
      </c>
      <c r="N368">
        <v>0.154</v>
      </c>
      <c r="O368" t="s">
        <v>250</v>
      </c>
      <c r="P368" t="s">
        <v>258</v>
      </c>
      <c r="Q368" s="1">
        <v>-2.3371947098618099E-5</v>
      </c>
      <c r="R368" s="1">
        <v>3.9868363804963104E-6</v>
      </c>
      <c r="S368" s="1">
        <v>6.9950020992625599E-5</v>
      </c>
      <c r="T368" s="1">
        <v>-3.3321406311299501E-5</v>
      </c>
      <c r="U368">
        <v>1.02338782016744</v>
      </c>
      <c r="V368" s="1">
        <v>-4.2963492920377601E-15</v>
      </c>
      <c r="W368">
        <v>3.8354504744493199E-3</v>
      </c>
      <c r="X368">
        <v>1.35016196194478</v>
      </c>
      <c r="Y368">
        <v>0.56268814384538302</v>
      </c>
      <c r="Z368">
        <v>5.1840286737241201E-4</v>
      </c>
      <c r="AA368">
        <v>0.31073076069990402</v>
      </c>
      <c r="AB368" s="9">
        <f t="shared" si="53"/>
        <v>-0.47636020459253864</v>
      </c>
      <c r="AC368" s="9">
        <f t="shared" si="54"/>
        <v>-0.47258738924567367</v>
      </c>
      <c r="AD368" s="2">
        <f t="shared" si="55"/>
        <v>-7.9200892738134909E-3</v>
      </c>
      <c r="AE368" s="8">
        <f t="shared" si="56"/>
        <v>5.0062378893372422E-2</v>
      </c>
      <c r="AF368" s="2">
        <f t="shared" si="57"/>
        <v>1.3848456086924255E-3</v>
      </c>
      <c r="AG368" s="8">
        <f t="shared" si="58"/>
        <v>4.8677533284679997E-2</v>
      </c>
      <c r="AH368" s="7">
        <f t="shared" si="59"/>
        <v>2.8449379318246391E-2</v>
      </c>
      <c r="AI368">
        <f t="shared" si="60"/>
        <v>1</v>
      </c>
      <c r="AJ368" s="10">
        <f t="shared" si="61"/>
        <v>4.8677533284679997E-2</v>
      </c>
    </row>
    <row r="369" spans="1:36" hidden="1" x14ac:dyDescent="0.25">
      <c r="A369" t="b">
        <v>0</v>
      </c>
      <c r="B369">
        <v>1000</v>
      </c>
      <c r="C369">
        <v>4.8677533284679997E-2</v>
      </c>
      <c r="D369" t="s">
        <v>52</v>
      </c>
      <c r="E369" t="b">
        <v>1</v>
      </c>
      <c r="F369" t="s">
        <v>53</v>
      </c>
      <c r="G369">
        <v>7.4999999999999997E-2</v>
      </c>
      <c r="H369">
        <v>0.5</v>
      </c>
      <c r="I369">
        <v>1E-4</v>
      </c>
      <c r="J369" t="b">
        <v>1</v>
      </c>
      <c r="K369">
        <v>1</v>
      </c>
      <c r="L369">
        <v>1500</v>
      </c>
      <c r="M369">
        <v>0.05</v>
      </c>
      <c r="N369">
        <v>0.154</v>
      </c>
      <c r="O369" t="s">
        <v>251</v>
      </c>
      <c r="P369" t="s">
        <v>252</v>
      </c>
      <c r="Q369" s="1">
        <v>-1.0302056892231E-5</v>
      </c>
      <c r="R369" s="1">
        <v>2.8360311330017002E-6</v>
      </c>
      <c r="S369" s="1">
        <v>3.06017332057372E-5</v>
      </c>
      <c r="T369" s="1">
        <v>-1.4577458543631399E-5</v>
      </c>
      <c r="U369">
        <v>1.02339850331579</v>
      </c>
      <c r="V369" s="1">
        <v>-1.15747917578098E-15</v>
      </c>
      <c r="W369">
        <v>1.60317746422864E-2</v>
      </c>
      <c r="X369">
        <v>1.8244824602265699</v>
      </c>
      <c r="Y369">
        <v>1.1377325581539</v>
      </c>
      <c r="Z369">
        <v>1.22038469327007E-2</v>
      </c>
      <c r="AA369">
        <v>0.90584101334636102</v>
      </c>
      <c r="AB369" s="9">
        <f t="shared" si="53"/>
        <v>-0.4763605527055057</v>
      </c>
      <c r="AC369" s="9">
        <f t="shared" si="54"/>
        <v>-0.47258738924567367</v>
      </c>
      <c r="AD369" s="2">
        <f t="shared" si="55"/>
        <v>-7.9208142622267941E-3</v>
      </c>
      <c r="AE369" s="8">
        <f t="shared" si="56"/>
        <v>5.0062506840104284E-2</v>
      </c>
      <c r="AF369" s="2">
        <f t="shared" si="57"/>
        <v>1.3849735554242876E-3</v>
      </c>
      <c r="AG369" s="8">
        <f t="shared" si="58"/>
        <v>4.8677533284679997E-2</v>
      </c>
      <c r="AH369" s="7">
        <f t="shared" si="59"/>
        <v>2.8452007773782827E-2</v>
      </c>
      <c r="AI369">
        <f t="shared" si="60"/>
        <v>1</v>
      </c>
      <c r="AJ369" s="10">
        <f t="shared" si="61"/>
        <v>4.8677533284679997E-2</v>
      </c>
    </row>
    <row r="370" spans="1:36" hidden="1" x14ac:dyDescent="0.25">
      <c r="A370" t="b">
        <v>0</v>
      </c>
      <c r="B370">
        <v>1000</v>
      </c>
      <c r="C370">
        <v>4.8677533284679997E-2</v>
      </c>
      <c r="D370" t="s">
        <v>52</v>
      </c>
      <c r="E370" t="b">
        <v>1</v>
      </c>
      <c r="F370" t="s">
        <v>53</v>
      </c>
      <c r="G370">
        <v>7.4999999999999997E-2</v>
      </c>
      <c r="H370">
        <v>0.5</v>
      </c>
      <c r="I370">
        <v>1E-4</v>
      </c>
      <c r="J370" t="b">
        <v>1</v>
      </c>
      <c r="K370">
        <v>1</v>
      </c>
      <c r="L370">
        <v>1500</v>
      </c>
      <c r="M370">
        <v>0.05</v>
      </c>
      <c r="N370">
        <v>0.154</v>
      </c>
      <c r="O370" t="s">
        <v>251</v>
      </c>
      <c r="P370" t="s">
        <v>253</v>
      </c>
      <c r="Q370" s="1">
        <v>-1E-10</v>
      </c>
      <c r="R370" s="1">
        <v>3.58578590643631E-12</v>
      </c>
      <c r="S370" s="1">
        <v>7.6037113491270397E-18</v>
      </c>
      <c r="T370" s="1">
        <v>7.0663989983213097E-17</v>
      </c>
      <c r="U370">
        <v>1.0234091864302299</v>
      </c>
      <c r="V370">
        <v>0</v>
      </c>
      <c r="W370">
        <v>6.8474547771351896E-2</v>
      </c>
      <c r="X370">
        <v>2</v>
      </c>
      <c r="Y370">
        <v>4.00056638547626E-3</v>
      </c>
      <c r="Z370">
        <v>2.5000000000000001E-4</v>
      </c>
      <c r="AA370">
        <v>4.7933529471223301E-3</v>
      </c>
      <c r="AB370" s="9">
        <f t="shared" si="53"/>
        <v>9.293355144435596</v>
      </c>
      <c r="AC370" s="9">
        <f t="shared" si="54"/>
        <v>-0.47258738924567367</v>
      </c>
      <c r="AD370" s="2">
        <f t="shared" si="55"/>
        <v>-1.0508521822206092</v>
      </c>
      <c r="AE370" s="8">
        <f t="shared" si="56"/>
        <v>-0.76240801336930708</v>
      </c>
      <c r="AF370" s="2">
        <f t="shared" si="57"/>
        <v>-0.81108554665398702</v>
      </c>
      <c r="AG370" s="8">
        <f t="shared" si="58"/>
        <v>4.8677533284679997E-2</v>
      </c>
      <c r="AH370" s="7">
        <f t="shared" si="59"/>
        <v>-16.662420873106473</v>
      </c>
      <c r="AI370">
        <f t="shared" si="60"/>
        <v>1</v>
      </c>
      <c r="AJ370" s="10">
        <f t="shared" si="61"/>
        <v>4.8677533284679997E-2</v>
      </c>
    </row>
    <row r="371" spans="1:36" hidden="1" x14ac:dyDescent="0.25">
      <c r="A371" t="b">
        <v>0</v>
      </c>
      <c r="B371">
        <v>1000</v>
      </c>
      <c r="C371">
        <v>4.8677533284679997E-2</v>
      </c>
      <c r="D371" t="s">
        <v>52</v>
      </c>
      <c r="E371" t="b">
        <v>1</v>
      </c>
      <c r="F371" t="s">
        <v>53</v>
      </c>
      <c r="G371">
        <v>7.4999999999999997E-2</v>
      </c>
      <c r="H371">
        <v>0.5</v>
      </c>
      <c r="I371">
        <v>1E-4</v>
      </c>
      <c r="J371" t="b">
        <v>1</v>
      </c>
      <c r="K371">
        <v>1</v>
      </c>
      <c r="L371">
        <v>1500</v>
      </c>
      <c r="M371">
        <v>0.05</v>
      </c>
      <c r="N371">
        <v>0.154</v>
      </c>
      <c r="O371" t="s">
        <v>251</v>
      </c>
      <c r="P371" t="s">
        <v>254</v>
      </c>
      <c r="Q371" s="1">
        <v>-1.4722972860931799E-6</v>
      </c>
      <c r="R371" s="1">
        <v>3.96502159036743E-7</v>
      </c>
      <c r="S371" s="1">
        <v>4.3733854938011103E-6</v>
      </c>
      <c r="T371" s="1">
        <v>-2.08342499920741E-6</v>
      </c>
      <c r="U371">
        <v>1.02340765959572</v>
      </c>
      <c r="V371" s="1">
        <v>-1.15771699548038E-15</v>
      </c>
      <c r="W371">
        <v>1.49754068953143E-2</v>
      </c>
      <c r="X371">
        <v>1.82448586125733</v>
      </c>
      <c r="Y371">
        <v>1.1324895670349999</v>
      </c>
      <c r="Z371">
        <v>1.2203659568004999E-2</v>
      </c>
      <c r="AA371">
        <v>0.88591296017030097</v>
      </c>
      <c r="AB371" s="9">
        <f t="shared" si="53"/>
        <v>-0.47638722956402579</v>
      </c>
      <c r="AC371" s="9">
        <f t="shared" si="54"/>
        <v>-0.47258738924567367</v>
      </c>
      <c r="AD371" s="2">
        <f t="shared" si="55"/>
        <v>-7.9763689757796907E-3</v>
      </c>
      <c r="AE371" s="8">
        <f t="shared" si="56"/>
        <v>5.0072311844439228E-2</v>
      </c>
      <c r="AF371" s="2">
        <f t="shared" si="57"/>
        <v>1.3947785597592313E-3</v>
      </c>
      <c r="AG371" s="8">
        <f t="shared" si="58"/>
        <v>4.8677533284679997E-2</v>
      </c>
      <c r="AH371" s="7">
        <f t="shared" si="59"/>
        <v>2.8653435489472554E-2</v>
      </c>
      <c r="AI371">
        <f t="shared" si="60"/>
        <v>1</v>
      </c>
      <c r="AJ371" s="10">
        <f t="shared" si="61"/>
        <v>4.8677533284679997E-2</v>
      </c>
    </row>
    <row r="372" spans="1:36" hidden="1" x14ac:dyDescent="0.25">
      <c r="A372" t="b">
        <v>0</v>
      </c>
      <c r="B372">
        <v>1000</v>
      </c>
      <c r="C372">
        <v>4.8677533284679997E-2</v>
      </c>
      <c r="D372" t="s">
        <v>52</v>
      </c>
      <c r="E372" t="b">
        <v>1</v>
      </c>
      <c r="F372" t="s">
        <v>53</v>
      </c>
      <c r="G372">
        <v>7.4999999999999997E-2</v>
      </c>
      <c r="H372">
        <v>0.5</v>
      </c>
      <c r="I372">
        <v>1E-4</v>
      </c>
      <c r="J372" t="b">
        <v>1</v>
      </c>
      <c r="K372">
        <v>1</v>
      </c>
      <c r="L372">
        <v>1500</v>
      </c>
      <c r="M372">
        <v>0.05</v>
      </c>
      <c r="N372">
        <v>0.154</v>
      </c>
      <c r="O372" t="s">
        <v>251</v>
      </c>
      <c r="P372" t="s">
        <v>255</v>
      </c>
      <c r="Q372" s="1">
        <v>-1.17743460866424E-5</v>
      </c>
      <c r="R372" s="1">
        <v>3.20229986535484E-6</v>
      </c>
      <c r="S372" s="1">
        <v>3.4975094258072203E-5</v>
      </c>
      <c r="T372" s="1">
        <v>-1.66608427950127E-5</v>
      </c>
      <c r="U372">
        <v>1.0233969764737401</v>
      </c>
      <c r="V372" s="1">
        <v>-1.1572363305762301E-15</v>
      </c>
      <c r="W372">
        <v>1.48455194205895E-2</v>
      </c>
      <c r="X372">
        <v>1.82448270354689</v>
      </c>
      <c r="Y372">
        <v>1.13503821543091</v>
      </c>
      <c r="Z372">
        <v>1.22038209152275E-2</v>
      </c>
      <c r="AA372">
        <v>0.89475206786579897</v>
      </c>
      <c r="AB372" s="9">
        <f t="shared" si="53"/>
        <v>-0.47636305629590692</v>
      </c>
      <c r="AC372" s="9">
        <f t="shared" si="54"/>
        <v>-0.47258738924567367</v>
      </c>
      <c r="AD372" s="2">
        <f t="shared" si="55"/>
        <v>-7.9260282684219252E-3</v>
      </c>
      <c r="AE372" s="8">
        <f t="shared" si="56"/>
        <v>5.0063427019930419E-2</v>
      </c>
      <c r="AF372" s="2">
        <f t="shared" si="57"/>
        <v>1.3858937352504222E-3</v>
      </c>
      <c r="AG372" s="8">
        <f t="shared" si="58"/>
        <v>4.8677533284679997E-2</v>
      </c>
      <c r="AH372" s="7">
        <f t="shared" si="59"/>
        <v>2.8470911357511137E-2</v>
      </c>
      <c r="AI372">
        <f t="shared" si="60"/>
        <v>1</v>
      </c>
      <c r="AJ372" s="10">
        <f t="shared" si="61"/>
        <v>4.8677533284679997E-2</v>
      </c>
    </row>
    <row r="373" spans="1:36" hidden="1" x14ac:dyDescent="0.25">
      <c r="A373" t="b">
        <v>0</v>
      </c>
      <c r="B373">
        <v>1000</v>
      </c>
      <c r="C373">
        <v>4.8677533284679997E-2</v>
      </c>
      <c r="D373" t="s">
        <v>52</v>
      </c>
      <c r="E373" t="b">
        <v>1</v>
      </c>
      <c r="F373" t="s">
        <v>53</v>
      </c>
      <c r="G373">
        <v>7.4999999999999997E-2</v>
      </c>
      <c r="H373">
        <v>0.5</v>
      </c>
      <c r="I373">
        <v>1E-4</v>
      </c>
      <c r="J373" t="b">
        <v>1</v>
      </c>
      <c r="K373">
        <v>1</v>
      </c>
      <c r="L373">
        <v>1500</v>
      </c>
      <c r="M373">
        <v>0.05</v>
      </c>
      <c r="N373">
        <v>0.154</v>
      </c>
      <c r="O373" t="s">
        <v>251</v>
      </c>
      <c r="P373" t="s">
        <v>256</v>
      </c>
      <c r="Q373" s="1">
        <v>-1.03020568922318E-5</v>
      </c>
      <c r="R373" s="1">
        <v>2.8043294156372598E-6</v>
      </c>
      <c r="S373" s="1">
        <v>3.0601733205740101E-5</v>
      </c>
      <c r="T373" s="1">
        <v>-1.45774585436702E-5</v>
      </c>
      <c r="U373">
        <v>1.0233985033008399</v>
      </c>
      <c r="V373" s="1">
        <v>-1.15747917645795E-15</v>
      </c>
      <c r="W373">
        <v>1.5805386003195001E-2</v>
      </c>
      <c r="X373">
        <v>1.8244824602266301</v>
      </c>
      <c r="Y373">
        <v>1.13427463698869</v>
      </c>
      <c r="Z373">
        <v>1.2203846932669699E-2</v>
      </c>
      <c r="AA373">
        <v>0.89559313453956801</v>
      </c>
      <c r="AB373" s="9">
        <f t="shared" si="53"/>
        <v>-0.4763605527067285</v>
      </c>
      <c r="AC373" s="9">
        <f t="shared" si="54"/>
        <v>-0.47258738924567367</v>
      </c>
      <c r="AD373" s="2">
        <f t="shared" si="55"/>
        <v>-7.9208142647734237E-3</v>
      </c>
      <c r="AE373" s="8">
        <f t="shared" si="56"/>
        <v>5.0062506840553717E-2</v>
      </c>
      <c r="AF373" s="2">
        <f t="shared" si="57"/>
        <v>1.3849735558737197E-3</v>
      </c>
      <c r="AG373" s="8">
        <f t="shared" si="58"/>
        <v>4.8677533284679997E-2</v>
      </c>
      <c r="AH373" s="7">
        <f t="shared" si="59"/>
        <v>2.8452007783015671E-2</v>
      </c>
      <c r="AI373">
        <f t="shared" si="60"/>
        <v>1</v>
      </c>
      <c r="AJ373" s="10">
        <f t="shared" si="61"/>
        <v>4.8677533284679997E-2</v>
      </c>
    </row>
    <row r="374" spans="1:36" hidden="1" x14ac:dyDescent="0.25">
      <c r="A374" t="b">
        <v>0</v>
      </c>
      <c r="B374">
        <v>1000</v>
      </c>
      <c r="C374">
        <v>4.8677533284679997E-2</v>
      </c>
      <c r="D374" t="s">
        <v>52</v>
      </c>
      <c r="E374" t="b">
        <v>1</v>
      </c>
      <c r="F374" t="s">
        <v>53</v>
      </c>
      <c r="G374">
        <v>7.4999999999999997E-2</v>
      </c>
      <c r="H374">
        <v>0.5</v>
      </c>
      <c r="I374">
        <v>1E-4</v>
      </c>
      <c r="J374" t="b">
        <v>1</v>
      </c>
      <c r="K374">
        <v>1</v>
      </c>
      <c r="L374">
        <v>1500</v>
      </c>
      <c r="M374">
        <v>0.05</v>
      </c>
      <c r="N374">
        <v>0.154</v>
      </c>
      <c r="O374" t="s">
        <v>251</v>
      </c>
      <c r="P374" t="s">
        <v>257</v>
      </c>
      <c r="Q374" s="1">
        <v>-1.1774346086643099E-5</v>
      </c>
      <c r="R374" s="1">
        <v>3.22968055010433E-6</v>
      </c>
      <c r="S374" s="1">
        <v>3.4975094258072E-5</v>
      </c>
      <c r="T374" s="1">
        <v>-1.66608427948594E-5</v>
      </c>
      <c r="U374">
        <v>1.0233969764750099</v>
      </c>
      <c r="V374" s="1">
        <v>-1.15723633136472E-15</v>
      </c>
      <c r="W374">
        <v>1.5001892786179E-2</v>
      </c>
      <c r="X374">
        <v>1.8244827035464</v>
      </c>
      <c r="Y374">
        <v>1.1379405394291799</v>
      </c>
      <c r="Z374">
        <v>1.2203820915266299E-2</v>
      </c>
      <c r="AA374">
        <v>0.90248519486659196</v>
      </c>
      <c r="AB374" s="9">
        <f t="shared" si="53"/>
        <v>-0.47636305629152659</v>
      </c>
      <c r="AC374" s="9">
        <f t="shared" si="54"/>
        <v>-0.47258738924567367</v>
      </c>
      <c r="AD374" s="2">
        <f t="shared" si="55"/>
        <v>-7.9260282592994447E-3</v>
      </c>
      <c r="AE374" s="8">
        <f t="shared" si="56"/>
        <v>5.0063427018320443E-2</v>
      </c>
      <c r="AF374" s="2">
        <f t="shared" si="57"/>
        <v>1.3858937336404462E-3</v>
      </c>
      <c r="AG374" s="8">
        <f t="shared" si="58"/>
        <v>4.8677533284679997E-2</v>
      </c>
      <c r="AH374" s="7">
        <f t="shared" si="59"/>
        <v>2.8470911324436823E-2</v>
      </c>
      <c r="AI374">
        <f t="shared" si="60"/>
        <v>1</v>
      </c>
      <c r="AJ374" s="10">
        <f t="shared" si="61"/>
        <v>4.8677533284679997E-2</v>
      </c>
    </row>
    <row r="375" spans="1:36" hidden="1" x14ac:dyDescent="0.25">
      <c r="A375" t="b">
        <v>0</v>
      </c>
      <c r="B375">
        <v>1000</v>
      </c>
      <c r="C375">
        <v>4.8677533284679997E-2</v>
      </c>
      <c r="D375" t="s">
        <v>52</v>
      </c>
      <c r="E375" t="b">
        <v>1</v>
      </c>
      <c r="F375" t="s">
        <v>53</v>
      </c>
      <c r="G375">
        <v>7.4999999999999997E-2</v>
      </c>
      <c r="H375">
        <v>0.5</v>
      </c>
      <c r="I375">
        <v>1E-4</v>
      </c>
      <c r="J375" t="b">
        <v>1</v>
      </c>
      <c r="K375">
        <v>1</v>
      </c>
      <c r="L375">
        <v>1500</v>
      </c>
      <c r="M375">
        <v>0.05</v>
      </c>
      <c r="N375">
        <v>0.154</v>
      </c>
      <c r="O375" t="s">
        <v>251</v>
      </c>
      <c r="P375" t="s">
        <v>258</v>
      </c>
      <c r="Q375" s="1">
        <v>-2.2076338269877099E-5</v>
      </c>
      <c r="R375" s="1">
        <v>5.9624347060066401E-6</v>
      </c>
      <c r="S375" s="1">
        <v>6.5576632005697095E-5</v>
      </c>
      <c r="T375" s="1">
        <v>-3.1237975488682099E-5</v>
      </c>
      <c r="U375">
        <v>1.0233862933312701</v>
      </c>
      <c r="V375" s="1">
        <v>-1.1579639946315001E-15</v>
      </c>
      <c r="W375">
        <v>1.43872020195089E-2</v>
      </c>
      <c r="X375">
        <v>1.8244818147928701</v>
      </c>
      <c r="Y375">
        <v>1.1334849226933299</v>
      </c>
      <c r="Z375">
        <v>1.2203822128294701E-2</v>
      </c>
      <c r="AA375">
        <v>0.88844804094651397</v>
      </c>
      <c r="AB375" s="9">
        <f t="shared" si="53"/>
        <v>-0.47635833883582557</v>
      </c>
      <c r="AC375" s="9">
        <f t="shared" si="54"/>
        <v>-0.47258738924567367</v>
      </c>
      <c r="AD375" s="2">
        <f t="shared" si="55"/>
        <v>-7.9162035860812496E-3</v>
      </c>
      <c r="AE375" s="8">
        <f t="shared" si="56"/>
        <v>5.0061693146757097E-2</v>
      </c>
      <c r="AF375" s="2">
        <f t="shared" si="57"/>
        <v>1.3841598620771001E-3</v>
      </c>
      <c r="AG375" s="8">
        <f t="shared" si="58"/>
        <v>4.8677533284679997E-2</v>
      </c>
      <c r="AH375" s="7">
        <f t="shared" si="59"/>
        <v>2.8435291779929383E-2</v>
      </c>
      <c r="AI375">
        <f t="shared" si="60"/>
        <v>1</v>
      </c>
      <c r="AJ375" s="10">
        <f t="shared" si="61"/>
        <v>4.8677533284679997E-2</v>
      </c>
    </row>
    <row r="376" spans="1:36" hidden="1" x14ac:dyDescent="0.25">
      <c r="A376" t="b">
        <v>0</v>
      </c>
      <c r="B376">
        <v>1000</v>
      </c>
      <c r="C376">
        <v>4.8677533284679997E-2</v>
      </c>
      <c r="D376" t="s">
        <v>52</v>
      </c>
      <c r="E376" t="b">
        <v>1</v>
      </c>
      <c r="F376" t="s">
        <v>53</v>
      </c>
      <c r="G376">
        <v>7.4999999999999997E-2</v>
      </c>
      <c r="H376">
        <v>0.5</v>
      </c>
      <c r="I376">
        <v>1E-4</v>
      </c>
      <c r="J376" t="b">
        <v>1</v>
      </c>
      <c r="K376">
        <v>1</v>
      </c>
      <c r="L376">
        <v>1500</v>
      </c>
      <c r="M376">
        <v>0.05</v>
      </c>
      <c r="N376">
        <v>0.154</v>
      </c>
      <c r="O376" t="s">
        <v>252</v>
      </c>
      <c r="P376" t="s">
        <v>255</v>
      </c>
      <c r="Q376" s="1">
        <v>-1.47228920056778E-6</v>
      </c>
      <c r="R376" s="1">
        <v>3.97299684748899E-7</v>
      </c>
      <c r="S376" s="1">
        <v>4.3733610523338996E-6</v>
      </c>
      <c r="T376" s="1">
        <v>-2.0833842513704498E-6</v>
      </c>
      <c r="U376">
        <v>1.02338629335993</v>
      </c>
      <c r="V376" s="1">
        <v>-1.15657030099602E-15</v>
      </c>
      <c r="W376">
        <v>1.49286900468608E-2</v>
      </c>
      <c r="X376">
        <v>1.82448508597014</v>
      </c>
      <c r="Y376">
        <v>1.1329027362759301</v>
      </c>
      <c r="Z376">
        <v>1.2203714506246801E-2</v>
      </c>
      <c r="AA376">
        <v>0.88769990459960801</v>
      </c>
      <c r="AB376" s="9">
        <f t="shared" si="53"/>
        <v>-0.47638057467462591</v>
      </c>
      <c r="AC376" s="9">
        <f t="shared" si="54"/>
        <v>-0.47258738924567367</v>
      </c>
      <c r="AD376" s="2">
        <f t="shared" si="55"/>
        <v>-7.9625107122451855E-3</v>
      </c>
      <c r="AE376" s="8">
        <f t="shared" si="56"/>
        <v>5.0069865841411716E-2</v>
      </c>
      <c r="AF376" s="2">
        <f t="shared" si="57"/>
        <v>1.3923325567317194E-3</v>
      </c>
      <c r="AG376" s="8">
        <f t="shared" si="58"/>
        <v>4.8677533284679997E-2</v>
      </c>
      <c r="AH376" s="7">
        <f t="shared" si="59"/>
        <v>2.8603186373248709E-2</v>
      </c>
      <c r="AI376">
        <f t="shared" si="60"/>
        <v>1</v>
      </c>
      <c r="AJ376" s="10">
        <f t="shared" si="61"/>
        <v>4.8677533284679997E-2</v>
      </c>
    </row>
    <row r="377" spans="1:36" hidden="1" x14ac:dyDescent="0.25">
      <c r="A377" t="b">
        <v>0</v>
      </c>
      <c r="B377">
        <v>1000</v>
      </c>
      <c r="C377">
        <v>4.8677533284679997E-2</v>
      </c>
      <c r="D377" t="s">
        <v>52</v>
      </c>
      <c r="E377" t="b">
        <v>1</v>
      </c>
      <c r="F377" t="s">
        <v>53</v>
      </c>
      <c r="G377">
        <v>7.4999999999999997E-2</v>
      </c>
      <c r="H377">
        <v>0.5</v>
      </c>
      <c r="I377">
        <v>1E-4</v>
      </c>
      <c r="J377" t="b">
        <v>1</v>
      </c>
      <c r="K377">
        <v>1</v>
      </c>
      <c r="L377">
        <v>1500</v>
      </c>
      <c r="M377">
        <v>0.05</v>
      </c>
      <c r="N377">
        <v>0.154</v>
      </c>
      <c r="O377" t="s">
        <v>252</v>
      </c>
      <c r="P377" t="s">
        <v>256</v>
      </c>
      <c r="Q377" s="1">
        <v>-1E-10</v>
      </c>
      <c r="R377" s="1">
        <v>3.5857858814425401E-12</v>
      </c>
      <c r="S377" s="1">
        <v>1.2380255480035801E-17</v>
      </c>
      <c r="T377" s="1">
        <v>-7.28353665574417E-17</v>
      </c>
      <c r="U377">
        <v>1.0233878201870299</v>
      </c>
      <c r="V377">
        <v>0</v>
      </c>
      <c r="W377">
        <v>6.8474547294068294E-2</v>
      </c>
      <c r="X377">
        <v>2</v>
      </c>
      <c r="Y377">
        <v>4.0005663575913798E-3</v>
      </c>
      <c r="Z377">
        <v>2.5000000000000001E-4</v>
      </c>
      <c r="AA377">
        <v>4.7933529137115299E-3</v>
      </c>
      <c r="AB377" s="9">
        <f t="shared" si="53"/>
        <v>-5.8831876833959393</v>
      </c>
      <c r="AC377" s="9">
        <f t="shared" si="54"/>
        <v>-0.47258738924567367</v>
      </c>
      <c r="AD377" s="2">
        <f t="shared" si="55"/>
        <v>-0.91967154293250708</v>
      </c>
      <c r="AE377" s="8">
        <f t="shared" si="56"/>
        <v>-2.1765377892766078</v>
      </c>
      <c r="AF377" s="2">
        <f t="shared" si="57"/>
        <v>-2.2252153225612878</v>
      </c>
      <c r="AG377" s="8">
        <f t="shared" si="58"/>
        <v>4.8677533284679997E-2</v>
      </c>
      <c r="AH377" s="7">
        <f t="shared" si="59"/>
        <v>-45.713395326496901</v>
      </c>
      <c r="AI377">
        <f t="shared" si="60"/>
        <v>1</v>
      </c>
      <c r="AJ377" s="10">
        <f t="shared" si="61"/>
        <v>4.8677533284679997E-2</v>
      </c>
    </row>
    <row r="378" spans="1:36" hidden="1" x14ac:dyDescent="0.25">
      <c r="A378" t="b">
        <v>0</v>
      </c>
      <c r="B378">
        <v>1000</v>
      </c>
      <c r="C378">
        <v>4.8677533284679997E-2</v>
      </c>
      <c r="D378" t="s">
        <v>52</v>
      </c>
      <c r="E378" t="b">
        <v>1</v>
      </c>
      <c r="F378" t="s">
        <v>53</v>
      </c>
      <c r="G378">
        <v>7.4999999999999997E-2</v>
      </c>
      <c r="H378">
        <v>0.5</v>
      </c>
      <c r="I378">
        <v>1E-4</v>
      </c>
      <c r="J378" t="b">
        <v>1</v>
      </c>
      <c r="K378">
        <v>1</v>
      </c>
      <c r="L378">
        <v>1500</v>
      </c>
      <c r="M378">
        <v>0.05</v>
      </c>
      <c r="N378">
        <v>0.154</v>
      </c>
      <c r="O378" t="s">
        <v>252</v>
      </c>
      <c r="P378" t="s">
        <v>257</v>
      </c>
      <c r="Q378" s="1">
        <v>-1.47228920056961E-6</v>
      </c>
      <c r="R378" s="1">
        <v>4.0033288425631399E-7</v>
      </c>
      <c r="S378" s="1">
        <v>4.3733610523383796E-6</v>
      </c>
      <c r="T378" s="1">
        <v>-2.08338425129897E-6</v>
      </c>
      <c r="U378">
        <v>1.0233862933612099</v>
      </c>
      <c r="V378" s="1">
        <v>-1.15657030195935E-15</v>
      </c>
      <c r="W378">
        <v>1.4663557954902101E-2</v>
      </c>
      <c r="X378">
        <v>1.8244850859675601</v>
      </c>
      <c r="Y378">
        <v>1.1351395928978101</v>
      </c>
      <c r="Z378">
        <v>1.22037145061897E-2</v>
      </c>
      <c r="AA378">
        <v>0.894544744089104</v>
      </c>
      <c r="AB378" s="9">
        <f t="shared" si="53"/>
        <v>-0.47638057465779354</v>
      </c>
      <c r="AC378" s="9">
        <f t="shared" si="54"/>
        <v>-0.47258738924567367</v>
      </c>
      <c r="AD378" s="2">
        <f t="shared" si="55"/>
        <v>-7.962510677192669E-3</v>
      </c>
      <c r="AE378" s="8">
        <f t="shared" si="56"/>
        <v>5.0069865835224985E-2</v>
      </c>
      <c r="AF378" s="2">
        <f t="shared" si="57"/>
        <v>1.3923325505449877E-3</v>
      </c>
      <c r="AG378" s="8">
        <f t="shared" si="58"/>
        <v>4.8677533284679997E-2</v>
      </c>
      <c r="AH378" s="7">
        <f t="shared" si="59"/>
        <v>2.8603186246152466E-2</v>
      </c>
      <c r="AI378">
        <f t="shared" si="60"/>
        <v>1</v>
      </c>
      <c r="AJ378" s="10">
        <f t="shared" si="61"/>
        <v>4.8677533284679997E-2</v>
      </c>
    </row>
    <row r="379" spans="1:36" hidden="1" x14ac:dyDescent="0.25">
      <c r="A379" t="b">
        <v>0</v>
      </c>
      <c r="B379">
        <v>1000</v>
      </c>
      <c r="C379">
        <v>4.8677533284679997E-2</v>
      </c>
      <c r="D379" t="s">
        <v>52</v>
      </c>
      <c r="E379" t="b">
        <v>1</v>
      </c>
      <c r="F379" t="s">
        <v>53</v>
      </c>
      <c r="G379">
        <v>7.4999999999999997E-2</v>
      </c>
      <c r="H379">
        <v>0.5</v>
      </c>
      <c r="I379">
        <v>1E-4</v>
      </c>
      <c r="J379" t="b">
        <v>1</v>
      </c>
      <c r="K379">
        <v>1</v>
      </c>
      <c r="L379">
        <v>1500</v>
      </c>
      <c r="M379">
        <v>0.05</v>
      </c>
      <c r="N379">
        <v>0.154</v>
      </c>
      <c r="O379" t="s">
        <v>252</v>
      </c>
      <c r="P379" t="s">
        <v>258</v>
      </c>
      <c r="Q379" s="1">
        <v>-1.17742814267149E-5</v>
      </c>
      <c r="R379" s="1">
        <v>3.20458111120432E-6</v>
      </c>
      <c r="S379" s="1">
        <v>3.4974898799956703E-5</v>
      </c>
      <c r="T379" s="1">
        <v>-1.6660516945088E-5</v>
      </c>
      <c r="U379">
        <v>1.02337561021747</v>
      </c>
      <c r="V379" s="1">
        <v>-1.1576287838713401E-15</v>
      </c>
      <c r="W379">
        <v>1.4799127097364599E-2</v>
      </c>
      <c r="X379">
        <v>1.8244819291296499</v>
      </c>
      <c r="Y379">
        <v>1.1353480717836899</v>
      </c>
      <c r="Z379">
        <v>1.2203875947378999E-2</v>
      </c>
      <c r="AA379">
        <v>0.89539021393157503</v>
      </c>
      <c r="AB379" s="9">
        <f t="shared" si="53"/>
        <v>-0.47635640178345917</v>
      </c>
      <c r="AC379" s="9">
        <f t="shared" si="54"/>
        <v>-0.47258738924567367</v>
      </c>
      <c r="AD379" s="2">
        <f t="shared" si="55"/>
        <v>-7.9121693834164342E-3</v>
      </c>
      <c r="AE379" s="8">
        <f t="shared" si="56"/>
        <v>5.006098119684068E-2</v>
      </c>
      <c r="AF379" s="2">
        <f t="shared" si="57"/>
        <v>1.3834479121606832E-3</v>
      </c>
      <c r="AG379" s="8">
        <f t="shared" si="58"/>
        <v>4.8677533284679997E-2</v>
      </c>
      <c r="AH379" s="7">
        <f t="shared" si="59"/>
        <v>2.8420665937813408E-2</v>
      </c>
      <c r="AI379">
        <f t="shared" si="60"/>
        <v>1</v>
      </c>
      <c r="AJ379" s="10">
        <f t="shared" si="61"/>
        <v>4.8677533284679997E-2</v>
      </c>
    </row>
    <row r="380" spans="1:36" hidden="1" x14ac:dyDescent="0.25">
      <c r="A380" t="b">
        <v>0</v>
      </c>
      <c r="B380">
        <v>1000</v>
      </c>
      <c r="C380">
        <v>4.8677533284679997E-2</v>
      </c>
      <c r="D380" t="s">
        <v>52</v>
      </c>
      <c r="E380" t="b">
        <v>1</v>
      </c>
      <c r="F380" t="s">
        <v>53</v>
      </c>
      <c r="G380">
        <v>7.4999999999999997E-2</v>
      </c>
      <c r="H380">
        <v>0.5</v>
      </c>
      <c r="I380">
        <v>1E-4</v>
      </c>
      <c r="J380" t="b">
        <v>1</v>
      </c>
      <c r="K380">
        <v>1</v>
      </c>
      <c r="L380">
        <v>1500</v>
      </c>
      <c r="M380">
        <v>0.05</v>
      </c>
      <c r="N380">
        <v>0.154</v>
      </c>
      <c r="O380" t="s">
        <v>253</v>
      </c>
      <c r="P380" t="s">
        <v>254</v>
      </c>
      <c r="Q380" s="1">
        <v>-1.4722972860936299E-6</v>
      </c>
      <c r="R380" s="1">
        <v>3.97791594229391E-7</v>
      </c>
      <c r="S380" s="1">
        <v>4.3733854938018701E-6</v>
      </c>
      <c r="T380" s="1">
        <v>-2.0834249991683698E-6</v>
      </c>
      <c r="U380">
        <v>1.0234076595963499</v>
      </c>
      <c r="V380" s="1">
        <v>-1.1577169976992299E-15</v>
      </c>
      <c r="W380">
        <v>1.46902683429897E-2</v>
      </c>
      <c r="X380">
        <v>1.8244858612561601</v>
      </c>
      <c r="Y380">
        <v>1.1333156793866099</v>
      </c>
      <c r="Z380">
        <v>1.2203659568045E-2</v>
      </c>
      <c r="AA380">
        <v>0.88880071154350104</v>
      </c>
      <c r="AB380" s="9">
        <f t="shared" si="53"/>
        <v>-0.47638722955501628</v>
      </c>
      <c r="AC380" s="9">
        <f t="shared" si="54"/>
        <v>-0.47258738924567367</v>
      </c>
      <c r="AD380" s="2">
        <f t="shared" si="55"/>
        <v>-7.9763689570183649E-3</v>
      </c>
      <c r="AE380" s="8">
        <f t="shared" si="56"/>
        <v>5.0072311841127801E-2</v>
      </c>
      <c r="AF380" s="2">
        <f t="shared" si="57"/>
        <v>1.3947785564478038E-3</v>
      </c>
      <c r="AG380" s="8">
        <f t="shared" si="58"/>
        <v>4.8677533284679997E-2</v>
      </c>
      <c r="AH380" s="7">
        <f t="shared" si="59"/>
        <v>2.8653435421444714E-2</v>
      </c>
      <c r="AI380">
        <f t="shared" si="60"/>
        <v>1</v>
      </c>
      <c r="AJ380" s="10">
        <f t="shared" si="61"/>
        <v>4.8677533284679997E-2</v>
      </c>
    </row>
    <row r="381" spans="1:36" hidden="1" x14ac:dyDescent="0.25">
      <c r="A381" t="b">
        <v>0</v>
      </c>
      <c r="B381">
        <v>1000</v>
      </c>
      <c r="C381">
        <v>4.8677533284679997E-2</v>
      </c>
      <c r="D381" t="s">
        <v>52</v>
      </c>
      <c r="E381" t="b">
        <v>1</v>
      </c>
      <c r="F381" t="s">
        <v>53</v>
      </c>
      <c r="G381">
        <v>7.4999999999999997E-2</v>
      </c>
      <c r="H381">
        <v>0.5</v>
      </c>
      <c r="I381">
        <v>1E-4</v>
      </c>
      <c r="J381" t="b">
        <v>1</v>
      </c>
      <c r="K381">
        <v>1</v>
      </c>
      <c r="L381">
        <v>1500</v>
      </c>
      <c r="M381">
        <v>0.05</v>
      </c>
      <c r="N381">
        <v>0.154</v>
      </c>
      <c r="O381" t="s">
        <v>253</v>
      </c>
      <c r="P381" t="s">
        <v>255</v>
      </c>
      <c r="Q381" s="1">
        <v>-1.1774346086642E-5</v>
      </c>
      <c r="R381" s="1">
        <v>3.22425701224744E-6</v>
      </c>
      <c r="S381" s="1">
        <v>3.4975094258069797E-5</v>
      </c>
      <c r="T381" s="1">
        <v>-1.6660842794926001E-5</v>
      </c>
      <c r="U381">
        <v>1.02339697647437</v>
      </c>
      <c r="V381" s="1">
        <v>-1.15723632919934E-15</v>
      </c>
      <c r="W381">
        <v>1.4935274920724001E-2</v>
      </c>
      <c r="X381">
        <v>1.82448270354665</v>
      </c>
      <c r="Y381">
        <v>1.13739944970183</v>
      </c>
      <c r="Z381">
        <v>1.2203820915261201E-2</v>
      </c>
      <c r="AA381">
        <v>0.90093428869217995</v>
      </c>
      <c r="AB381" s="9">
        <f t="shared" si="53"/>
        <v>-0.47636305629346082</v>
      </c>
      <c r="AC381" s="9">
        <f t="shared" si="54"/>
        <v>-0.47258738924567367</v>
      </c>
      <c r="AD381" s="2">
        <f t="shared" si="55"/>
        <v>-7.9260282633277779E-3</v>
      </c>
      <c r="AE381" s="8">
        <f t="shared" si="56"/>
        <v>5.006342701903136E-2</v>
      </c>
      <c r="AF381" s="2">
        <f t="shared" si="57"/>
        <v>1.3858937343513636E-3</v>
      </c>
      <c r="AG381" s="8">
        <f t="shared" si="58"/>
        <v>4.8677533284679997E-2</v>
      </c>
      <c r="AH381" s="7">
        <f t="shared" si="59"/>
        <v>2.8470911339041456E-2</v>
      </c>
      <c r="AI381">
        <f t="shared" si="60"/>
        <v>1</v>
      </c>
      <c r="AJ381" s="10">
        <f t="shared" si="61"/>
        <v>4.8677533284679997E-2</v>
      </c>
    </row>
    <row r="382" spans="1:36" hidden="1" x14ac:dyDescent="0.25">
      <c r="A382" t="b">
        <v>0</v>
      </c>
      <c r="B382">
        <v>1000</v>
      </c>
      <c r="C382">
        <v>4.8677533284679997E-2</v>
      </c>
      <c r="D382" t="s">
        <v>52</v>
      </c>
      <c r="E382" t="b">
        <v>1</v>
      </c>
      <c r="F382" t="s">
        <v>53</v>
      </c>
      <c r="G382">
        <v>7.4999999999999997E-2</v>
      </c>
      <c r="H382">
        <v>0.5</v>
      </c>
      <c r="I382">
        <v>1E-4</v>
      </c>
      <c r="J382" t="b">
        <v>1</v>
      </c>
      <c r="K382">
        <v>1</v>
      </c>
      <c r="L382">
        <v>1500</v>
      </c>
      <c r="M382">
        <v>0.05</v>
      </c>
      <c r="N382">
        <v>0.154</v>
      </c>
      <c r="O382" t="s">
        <v>253</v>
      </c>
      <c r="P382" t="s">
        <v>256</v>
      </c>
      <c r="Q382" s="1">
        <v>-1.0302056892232399E-5</v>
      </c>
      <c r="R382" s="1">
        <v>2.80329915763124E-6</v>
      </c>
      <c r="S382" s="1">
        <v>3.0601733205742201E-5</v>
      </c>
      <c r="T382" s="1">
        <v>-1.45774585436934E-5</v>
      </c>
      <c r="U382">
        <v>1.0233985033014801</v>
      </c>
      <c r="V382" s="1">
        <v>-1.1574791757552599E-15</v>
      </c>
      <c r="W382">
        <v>1.6014584027560001E-2</v>
      </c>
      <c r="X382">
        <v>1.8244824602266601</v>
      </c>
      <c r="Y382">
        <v>1.1339958425521799</v>
      </c>
      <c r="Z382">
        <v>1.220384693265E-2</v>
      </c>
      <c r="AA382">
        <v>0.89526866682358497</v>
      </c>
      <c r="AB382" s="9">
        <f t="shared" si="53"/>
        <v>-0.47636055270745392</v>
      </c>
      <c r="AC382" s="9">
        <f t="shared" si="54"/>
        <v>-0.47258738924567367</v>
      </c>
      <c r="AD382" s="2">
        <f t="shared" si="55"/>
        <v>-7.9208142662842151E-3</v>
      </c>
      <c r="AE382" s="8">
        <f t="shared" si="56"/>
        <v>5.0062506840820337E-2</v>
      </c>
      <c r="AF382" s="2">
        <f t="shared" si="57"/>
        <v>1.3849735561403398E-3</v>
      </c>
      <c r="AG382" s="8">
        <f t="shared" si="58"/>
        <v>4.8677533284679997E-2</v>
      </c>
      <c r="AH382" s="7">
        <f t="shared" si="59"/>
        <v>2.8452007788492942E-2</v>
      </c>
      <c r="AI382">
        <f t="shared" si="60"/>
        <v>1</v>
      </c>
      <c r="AJ382" s="10">
        <f t="shared" si="61"/>
        <v>4.8677533284679997E-2</v>
      </c>
    </row>
    <row r="383" spans="1:36" hidden="1" x14ac:dyDescent="0.25">
      <c r="A383" t="b">
        <v>0</v>
      </c>
      <c r="B383">
        <v>1000</v>
      </c>
      <c r="C383">
        <v>4.8677533284679997E-2</v>
      </c>
      <c r="D383" t="s">
        <v>52</v>
      </c>
      <c r="E383" t="b">
        <v>1</v>
      </c>
      <c r="F383" t="s">
        <v>53</v>
      </c>
      <c r="G383">
        <v>7.4999999999999997E-2</v>
      </c>
      <c r="H383">
        <v>0.5</v>
      </c>
      <c r="I383">
        <v>1E-4</v>
      </c>
      <c r="J383" t="b">
        <v>1</v>
      </c>
      <c r="K383">
        <v>1</v>
      </c>
      <c r="L383">
        <v>1500</v>
      </c>
      <c r="M383">
        <v>0.05</v>
      </c>
      <c r="N383">
        <v>0.154</v>
      </c>
      <c r="O383" t="s">
        <v>253</v>
      </c>
      <c r="P383" t="s">
        <v>257</v>
      </c>
      <c r="Q383" s="1">
        <v>-1.1774346086643399E-5</v>
      </c>
      <c r="R383" s="1">
        <v>3.2005924660619201E-6</v>
      </c>
      <c r="S383" s="1">
        <v>3.4975094258072901E-5</v>
      </c>
      <c r="T383" s="1">
        <v>-1.66608427948639E-5</v>
      </c>
      <c r="U383">
        <v>1.0233969764756501</v>
      </c>
      <c r="V383" s="1">
        <v>-1.1572363301582401E-15</v>
      </c>
      <c r="W383">
        <v>1.4674948047389801E-2</v>
      </c>
      <c r="X383">
        <v>1.82448270354638</v>
      </c>
      <c r="Y383">
        <v>1.1350585523986001</v>
      </c>
      <c r="Z383">
        <v>1.22038209152593E-2</v>
      </c>
      <c r="AA383">
        <v>0.89425758672771405</v>
      </c>
      <c r="AB383" s="9">
        <f t="shared" si="53"/>
        <v>-0.47636305629164294</v>
      </c>
      <c r="AC383" s="9">
        <f t="shared" si="54"/>
        <v>-0.47258738924567367</v>
      </c>
      <c r="AD383" s="2">
        <f t="shared" si="55"/>
        <v>-7.9260282595418063E-3</v>
      </c>
      <c r="AE383" s="8">
        <f t="shared" si="56"/>
        <v>5.0063427018363214E-2</v>
      </c>
      <c r="AF383" s="2">
        <f t="shared" si="57"/>
        <v>1.3858937336832175E-3</v>
      </c>
      <c r="AG383" s="8">
        <f t="shared" si="58"/>
        <v>4.8677533284679997E-2</v>
      </c>
      <c r="AH383" s="7">
        <f t="shared" si="59"/>
        <v>2.8470911325315491E-2</v>
      </c>
      <c r="AI383">
        <f t="shared" si="60"/>
        <v>1</v>
      </c>
      <c r="AJ383" s="10">
        <f t="shared" si="61"/>
        <v>4.8677533284679997E-2</v>
      </c>
    </row>
    <row r="384" spans="1:36" hidden="1" x14ac:dyDescent="0.25">
      <c r="A384" t="b">
        <v>0</v>
      </c>
      <c r="B384">
        <v>1000</v>
      </c>
      <c r="C384">
        <v>4.8677533284679997E-2</v>
      </c>
      <c r="D384" t="s">
        <v>52</v>
      </c>
      <c r="E384" t="b">
        <v>1</v>
      </c>
      <c r="F384" t="s">
        <v>53</v>
      </c>
      <c r="G384">
        <v>7.4999999999999997E-2</v>
      </c>
      <c r="H384">
        <v>0.5</v>
      </c>
      <c r="I384">
        <v>1E-4</v>
      </c>
      <c r="J384" t="b">
        <v>1</v>
      </c>
      <c r="K384">
        <v>1</v>
      </c>
      <c r="L384">
        <v>1500</v>
      </c>
      <c r="M384">
        <v>0.05</v>
      </c>
      <c r="N384">
        <v>0.154</v>
      </c>
      <c r="O384" t="s">
        <v>253</v>
      </c>
      <c r="P384" t="s">
        <v>258</v>
      </c>
      <c r="Q384" s="1">
        <v>-2.2076338269876899E-5</v>
      </c>
      <c r="R384" s="1">
        <v>5.9413786341340004E-6</v>
      </c>
      <c r="S384" s="1">
        <v>6.5576632005697204E-5</v>
      </c>
      <c r="T384" s="1">
        <v>-3.1237975488729797E-5</v>
      </c>
      <c r="U384">
        <v>1.02338629333191</v>
      </c>
      <c r="V384" s="1">
        <v>-1.15796399288244E-15</v>
      </c>
      <c r="W384">
        <v>1.4216002110001499E-2</v>
      </c>
      <c r="X384">
        <v>1.82448181479295</v>
      </c>
      <c r="Y384">
        <v>1.13282471122981</v>
      </c>
      <c r="Z384">
        <v>1.22038221282884E-2</v>
      </c>
      <c r="AA384">
        <v>0.88526501787890899</v>
      </c>
      <c r="AB384" s="9">
        <f t="shared" si="53"/>
        <v>-0.47635833883655215</v>
      </c>
      <c r="AC384" s="9">
        <f t="shared" si="54"/>
        <v>-0.47258738924567367</v>
      </c>
      <c r="AD384" s="2">
        <f t="shared" si="55"/>
        <v>-7.9162035875944836E-3</v>
      </c>
      <c r="AE384" s="8">
        <f t="shared" si="56"/>
        <v>5.0061693147024126E-2</v>
      </c>
      <c r="AF384" s="2">
        <f t="shared" si="57"/>
        <v>1.3841598623441295E-3</v>
      </c>
      <c r="AG384" s="8">
        <f t="shared" si="58"/>
        <v>4.8677533284679997E-2</v>
      </c>
      <c r="AH384" s="7">
        <f t="shared" si="59"/>
        <v>2.8435291785415064E-2</v>
      </c>
      <c r="AI384">
        <f t="shared" si="60"/>
        <v>1</v>
      </c>
      <c r="AJ384" s="10">
        <f t="shared" si="61"/>
        <v>4.8677533284679997E-2</v>
      </c>
    </row>
    <row r="385" spans="1:36" hidden="1" x14ac:dyDescent="0.25">
      <c r="A385" t="b">
        <v>0</v>
      </c>
      <c r="B385">
        <v>1000</v>
      </c>
      <c r="C385">
        <v>4.8677533284679997E-2</v>
      </c>
      <c r="D385" t="s">
        <v>52</v>
      </c>
      <c r="E385" t="b">
        <v>1</v>
      </c>
      <c r="F385" t="s">
        <v>53</v>
      </c>
      <c r="G385">
        <v>7.4999999999999997E-2</v>
      </c>
      <c r="H385">
        <v>0.5</v>
      </c>
      <c r="I385">
        <v>1E-4</v>
      </c>
      <c r="J385" t="b">
        <v>1</v>
      </c>
      <c r="K385">
        <v>1</v>
      </c>
      <c r="L385">
        <v>1500</v>
      </c>
      <c r="M385">
        <v>0.05</v>
      </c>
      <c r="N385">
        <v>0.154</v>
      </c>
      <c r="O385" t="s">
        <v>254</v>
      </c>
      <c r="P385" t="s">
        <v>255</v>
      </c>
      <c r="Q385" s="1">
        <v>-1.0302048806656899E-5</v>
      </c>
      <c r="R385" s="1">
        <v>2.8172743325424401E-6</v>
      </c>
      <c r="S385" s="1">
        <v>3.0601708764272899E-5</v>
      </c>
      <c r="T385" s="1">
        <v>-1.45774177959896E-5</v>
      </c>
      <c r="U385">
        <v>1.0233954496398601</v>
      </c>
      <c r="V385" s="1">
        <v>-1.15806926747846E-15</v>
      </c>
      <c r="W385">
        <v>1.58329084274542E-2</v>
      </c>
      <c r="X385">
        <v>1.82448235019983</v>
      </c>
      <c r="Y385">
        <v>1.13565232764491</v>
      </c>
      <c r="Z385">
        <v>1.22038548615998E-2</v>
      </c>
      <c r="AA385">
        <v>0.89976897455846705</v>
      </c>
      <c r="AB385" s="9">
        <f t="shared" si="53"/>
        <v>-0.47635960162487878</v>
      </c>
      <c r="AC385" s="9">
        <f t="shared" si="54"/>
        <v>-0.47258738924567367</v>
      </c>
      <c r="AD385" s="2">
        <f t="shared" si="55"/>
        <v>-7.9188335163979939E-3</v>
      </c>
      <c r="AE385" s="8">
        <f t="shared" si="56"/>
        <v>5.0062157276474686E-2</v>
      </c>
      <c r="AF385" s="2">
        <f t="shared" si="57"/>
        <v>1.3846239917946895E-3</v>
      </c>
      <c r="AG385" s="8">
        <f t="shared" si="58"/>
        <v>4.8677533284679997E-2</v>
      </c>
      <c r="AH385" s="7">
        <f t="shared" si="59"/>
        <v>2.8444826562944683E-2</v>
      </c>
      <c r="AI385">
        <f t="shared" si="60"/>
        <v>1</v>
      </c>
      <c r="AJ385" s="10">
        <f t="shared" si="61"/>
        <v>4.8677533284679997E-2</v>
      </c>
    </row>
    <row r="386" spans="1:36" hidden="1" x14ac:dyDescent="0.25">
      <c r="A386" t="b">
        <v>0</v>
      </c>
      <c r="B386">
        <v>1000</v>
      </c>
      <c r="C386">
        <v>4.8677533284679997E-2</v>
      </c>
      <c r="D386" t="s">
        <v>52</v>
      </c>
      <c r="E386" t="b">
        <v>1</v>
      </c>
      <c r="F386" t="s">
        <v>53</v>
      </c>
      <c r="G386">
        <v>7.4999999999999997E-2</v>
      </c>
      <c r="H386">
        <v>0.5</v>
      </c>
      <c r="I386">
        <v>1E-4</v>
      </c>
      <c r="J386" t="b">
        <v>1</v>
      </c>
      <c r="K386">
        <v>1</v>
      </c>
      <c r="L386">
        <v>1500</v>
      </c>
      <c r="M386">
        <v>0.05</v>
      </c>
      <c r="N386">
        <v>0.154</v>
      </c>
      <c r="O386" t="s">
        <v>254</v>
      </c>
      <c r="P386" t="s">
        <v>256</v>
      </c>
      <c r="Q386" s="1">
        <v>-8.8297596113875098E-6</v>
      </c>
      <c r="R386" s="1">
        <v>2.4198375126082402E-6</v>
      </c>
      <c r="S386" s="1">
        <v>2.6228347711943101E-5</v>
      </c>
      <c r="T386" s="1">
        <v>-1.24940335446518E-5</v>
      </c>
      <c r="U386">
        <v>1.0233969764669599</v>
      </c>
      <c r="V386" s="1">
        <v>-1.1572860715007799E-15</v>
      </c>
      <c r="W386">
        <v>1.6967527511081101E-2</v>
      </c>
      <c r="X386">
        <v>1.82448199070509</v>
      </c>
      <c r="Y386">
        <v>1.1349954989561899</v>
      </c>
      <c r="Z386">
        <v>1.2203889022084601E-2</v>
      </c>
      <c r="AA386">
        <v>0.90177434091683295</v>
      </c>
      <c r="AB386" s="9">
        <f t="shared" si="53"/>
        <v>-0.47635610454266747</v>
      </c>
      <c r="AC386" s="9">
        <f t="shared" si="54"/>
        <v>-0.47258738924567367</v>
      </c>
      <c r="AD386" s="2">
        <f t="shared" si="55"/>
        <v>-7.911550331892947E-3</v>
      </c>
      <c r="AE386" s="8">
        <f t="shared" si="56"/>
        <v>5.0060871948172471E-2</v>
      </c>
      <c r="AF386" s="2">
        <f t="shared" si="57"/>
        <v>1.3833386634924741E-3</v>
      </c>
      <c r="AG386" s="8">
        <f t="shared" si="58"/>
        <v>4.8677533284679997E-2</v>
      </c>
      <c r="AH386" s="7">
        <f t="shared" si="59"/>
        <v>2.841842160329526E-2</v>
      </c>
      <c r="AI386">
        <f t="shared" si="60"/>
        <v>1</v>
      </c>
      <c r="AJ386" s="10">
        <f t="shared" si="61"/>
        <v>4.8677533284679997E-2</v>
      </c>
    </row>
    <row r="387" spans="1:36" hidden="1" x14ac:dyDescent="0.25">
      <c r="A387" t="b">
        <v>0</v>
      </c>
      <c r="B387">
        <v>1000</v>
      </c>
      <c r="C387">
        <v>4.8677533284679997E-2</v>
      </c>
      <c r="D387" t="s">
        <v>52</v>
      </c>
      <c r="E387" t="b">
        <v>1</v>
      </c>
      <c r="F387" t="s">
        <v>53</v>
      </c>
      <c r="G387">
        <v>7.4999999999999997E-2</v>
      </c>
      <c r="H387">
        <v>0.5</v>
      </c>
      <c r="I387">
        <v>1E-4</v>
      </c>
      <c r="J387" t="b">
        <v>1</v>
      </c>
      <c r="K387">
        <v>1</v>
      </c>
      <c r="L387">
        <v>1500</v>
      </c>
      <c r="M387">
        <v>0.05</v>
      </c>
      <c r="N387">
        <v>0.154</v>
      </c>
      <c r="O387" t="s">
        <v>254</v>
      </c>
      <c r="P387" t="s">
        <v>257</v>
      </c>
      <c r="Q387" s="1">
        <v>-1.0302048806658001E-5</v>
      </c>
      <c r="R387" s="1">
        <v>2.80234729020282E-6</v>
      </c>
      <c r="S387" s="1">
        <v>3.0601708764274702E-5</v>
      </c>
      <c r="T387" s="1">
        <v>-1.45774177959031E-5</v>
      </c>
      <c r="U387">
        <v>1.0233954496411299</v>
      </c>
      <c r="V387" s="1">
        <v>-1.1580692687453E-15</v>
      </c>
      <c r="W387">
        <v>1.5828657416835801E-2</v>
      </c>
      <c r="X387">
        <v>1.82448235019947</v>
      </c>
      <c r="Y387">
        <v>1.13407086739417</v>
      </c>
      <c r="Z387">
        <v>1.2203854861613401E-2</v>
      </c>
      <c r="AA387">
        <v>0.89495435371938004</v>
      </c>
      <c r="AB387" s="9">
        <f t="shared" si="53"/>
        <v>-0.47635960162202406</v>
      </c>
      <c r="AC387" s="9">
        <f t="shared" si="54"/>
        <v>-0.47258738924567367</v>
      </c>
      <c r="AD387" s="2">
        <f t="shared" si="55"/>
        <v>-7.9188335104527496E-3</v>
      </c>
      <c r="AE387" s="8">
        <f t="shared" si="56"/>
        <v>5.0062157275425449E-2</v>
      </c>
      <c r="AF387" s="2">
        <f t="shared" si="57"/>
        <v>1.3846239907454524E-3</v>
      </c>
      <c r="AG387" s="8">
        <f t="shared" si="58"/>
        <v>4.8677533284679997E-2</v>
      </c>
      <c r="AH387" s="7">
        <f t="shared" si="59"/>
        <v>2.8444826541389832E-2</v>
      </c>
      <c r="AI387">
        <f t="shared" si="60"/>
        <v>1</v>
      </c>
      <c r="AJ387" s="10">
        <f t="shared" si="61"/>
        <v>4.8677533284679997E-2</v>
      </c>
    </row>
    <row r="388" spans="1:36" hidden="1" x14ac:dyDescent="0.25">
      <c r="A388" t="b">
        <v>0</v>
      </c>
      <c r="B388">
        <v>1000</v>
      </c>
      <c r="C388">
        <v>4.8677533284679997E-2</v>
      </c>
      <c r="D388" t="s">
        <v>52</v>
      </c>
      <c r="E388" t="b">
        <v>1</v>
      </c>
      <c r="F388" t="s">
        <v>53</v>
      </c>
      <c r="G388">
        <v>7.4999999999999997E-2</v>
      </c>
      <c r="H388">
        <v>0.5</v>
      </c>
      <c r="I388">
        <v>1E-4</v>
      </c>
      <c r="J388" t="b">
        <v>1</v>
      </c>
      <c r="K388">
        <v>1</v>
      </c>
      <c r="L388">
        <v>1500</v>
      </c>
      <c r="M388">
        <v>0.05</v>
      </c>
      <c r="N388">
        <v>0.154</v>
      </c>
      <c r="O388" t="s">
        <v>254</v>
      </c>
      <c r="P388" t="s">
        <v>258</v>
      </c>
      <c r="Q388" s="1">
        <v>-2.0604040995885399E-5</v>
      </c>
      <c r="R388" s="1">
        <v>5.6257199381589698E-6</v>
      </c>
      <c r="S388" s="1">
        <v>6.1203246511894302E-5</v>
      </c>
      <c r="T388" s="1">
        <v>-2.9154550489610699E-5</v>
      </c>
      <c r="U388">
        <v>1.0233847664973901</v>
      </c>
      <c r="V388" s="1">
        <v>-1.1567320349756601E-15</v>
      </c>
      <c r="W388">
        <v>1.59725520727463E-2</v>
      </c>
      <c r="X388">
        <v>1.8244816227430001</v>
      </c>
      <c r="Y388">
        <v>1.13497578952453</v>
      </c>
      <c r="Z388">
        <v>1.2203844518163301E-2</v>
      </c>
      <c r="AA388">
        <v>0.89835729125866304</v>
      </c>
      <c r="AB388" s="9">
        <f t="shared" si="53"/>
        <v>-0.47635627440032569</v>
      </c>
      <c r="AC388" s="9">
        <f t="shared" si="54"/>
        <v>-0.47258738924567367</v>
      </c>
      <c r="AD388" s="2">
        <f t="shared" si="55"/>
        <v>-7.9119040877473346E-3</v>
      </c>
      <c r="AE388" s="8">
        <f t="shared" si="56"/>
        <v>5.006093437810348E-2</v>
      </c>
      <c r="AF388" s="2">
        <f t="shared" si="57"/>
        <v>1.3834010934234836E-3</v>
      </c>
      <c r="AG388" s="8">
        <f t="shared" si="58"/>
        <v>4.8677533284679997E-2</v>
      </c>
      <c r="AH388" s="7">
        <f t="shared" si="59"/>
        <v>2.8419704123727105E-2</v>
      </c>
      <c r="AI388">
        <f t="shared" si="60"/>
        <v>1</v>
      </c>
      <c r="AJ388" s="10">
        <f t="shared" si="61"/>
        <v>4.8677533284679997E-2</v>
      </c>
    </row>
    <row r="389" spans="1:36" hidden="1" x14ac:dyDescent="0.25">
      <c r="A389" t="b">
        <v>0</v>
      </c>
      <c r="B389">
        <v>1000</v>
      </c>
      <c r="C389">
        <v>4.8677533284679997E-2</v>
      </c>
      <c r="D389" t="s">
        <v>52</v>
      </c>
      <c r="E389" t="b">
        <v>1</v>
      </c>
      <c r="F389" t="s">
        <v>53</v>
      </c>
      <c r="G389">
        <v>7.4999999999999997E-2</v>
      </c>
      <c r="H389">
        <v>0.5</v>
      </c>
      <c r="I389">
        <v>1E-4</v>
      </c>
      <c r="J389" t="b">
        <v>1</v>
      </c>
      <c r="K389">
        <v>1</v>
      </c>
      <c r="L389">
        <v>1500</v>
      </c>
      <c r="M389">
        <v>0.05</v>
      </c>
      <c r="N389">
        <v>0.154</v>
      </c>
      <c r="O389" t="s">
        <v>255</v>
      </c>
      <c r="P389" t="s">
        <v>257</v>
      </c>
      <c r="Q389" s="1">
        <v>-1E-10</v>
      </c>
      <c r="R389" s="1">
        <v>3.5857858524682801E-12</v>
      </c>
      <c r="S389" s="1">
        <v>1.21580456794636E-17</v>
      </c>
      <c r="T389" s="1">
        <v>6.2603883209098797E-17</v>
      </c>
      <c r="U389">
        <v>1.02338476651915</v>
      </c>
      <c r="V389">
        <v>0</v>
      </c>
      <c r="W389">
        <v>6.8474546740772704E-2</v>
      </c>
      <c r="X389">
        <v>2</v>
      </c>
      <c r="Y389">
        <v>4.0005663252655598E-3</v>
      </c>
      <c r="Z389">
        <v>2.5000000000000001E-4</v>
      </c>
      <c r="AA389">
        <v>4.79335287497975E-3</v>
      </c>
      <c r="AB389" s="9">
        <f t="shared" si="53"/>
        <v>5.1491732190844024</v>
      </c>
      <c r="AC389" s="9">
        <f t="shared" si="54"/>
        <v>-0.47258738924567367</v>
      </c>
      <c r="AD389" s="2">
        <f t="shared" si="55"/>
        <v>-1.0917792758445417</v>
      </c>
      <c r="AE389" s="8">
        <f t="shared" si="56"/>
        <v>-0.64633095400970575</v>
      </c>
      <c r="AF389" s="2">
        <f t="shared" si="57"/>
        <v>-0.6950084872943858</v>
      </c>
      <c r="AG389" s="8">
        <f t="shared" si="58"/>
        <v>4.8677533284679997E-2</v>
      </c>
      <c r="AH389" s="7">
        <f t="shared" si="59"/>
        <v>-14.277808269983185</v>
      </c>
      <c r="AI389">
        <f t="shared" si="60"/>
        <v>1</v>
      </c>
      <c r="AJ389" s="10">
        <f t="shared" si="61"/>
        <v>4.8677533284679997E-2</v>
      </c>
    </row>
    <row r="390" spans="1:36" hidden="1" x14ac:dyDescent="0.25">
      <c r="A390" t="b">
        <v>0</v>
      </c>
      <c r="B390">
        <v>1000</v>
      </c>
      <c r="C390">
        <v>4.8677533284679997E-2</v>
      </c>
      <c r="D390" t="s">
        <v>52</v>
      </c>
      <c r="E390" t="b">
        <v>1</v>
      </c>
      <c r="F390" t="s">
        <v>53</v>
      </c>
      <c r="G390">
        <v>7.4999999999999997E-2</v>
      </c>
      <c r="H390">
        <v>0.5</v>
      </c>
      <c r="I390">
        <v>1E-4</v>
      </c>
      <c r="J390" t="b">
        <v>1</v>
      </c>
      <c r="K390">
        <v>1</v>
      </c>
      <c r="L390">
        <v>1500</v>
      </c>
      <c r="M390">
        <v>0.05</v>
      </c>
      <c r="N390">
        <v>0.154</v>
      </c>
      <c r="O390" t="s">
        <v>255</v>
      </c>
      <c r="P390" t="s">
        <v>258</v>
      </c>
      <c r="Q390" s="1">
        <v>-1.03019922322879E-5</v>
      </c>
      <c r="R390" s="1">
        <v>2.8348249560867E-6</v>
      </c>
      <c r="S390" s="1">
        <v>3.06015377476233E-5</v>
      </c>
      <c r="T390" s="1">
        <v>-1.4577132693668E-5</v>
      </c>
      <c r="U390">
        <v>1.0233740833754099</v>
      </c>
      <c r="V390" s="1">
        <v>-1.15700714580215E-15</v>
      </c>
      <c r="W390">
        <v>1.60963734731643E-2</v>
      </c>
      <c r="X390">
        <v>1.8244815748253</v>
      </c>
      <c r="Y390">
        <v>1.1375265687662099</v>
      </c>
      <c r="Z390">
        <v>1.22039097759916E-2</v>
      </c>
      <c r="AA390">
        <v>0.90544105693732602</v>
      </c>
      <c r="AB390" s="9">
        <f t="shared" si="53"/>
        <v>-0.47635294715868154</v>
      </c>
      <c r="AC390" s="9">
        <f t="shared" si="54"/>
        <v>-0.47258738924567367</v>
      </c>
      <c r="AD390" s="2">
        <f t="shared" si="55"/>
        <v>-7.904974526700026E-3</v>
      </c>
      <c r="AE390" s="8">
        <f t="shared" si="56"/>
        <v>5.0059711476298931E-2</v>
      </c>
      <c r="AF390" s="2">
        <f t="shared" si="57"/>
        <v>1.3821781916189338E-3</v>
      </c>
      <c r="AG390" s="8">
        <f t="shared" si="58"/>
        <v>4.8677533284679997E-2</v>
      </c>
      <c r="AH390" s="7">
        <f t="shared" si="59"/>
        <v>2.8394581613977118E-2</v>
      </c>
      <c r="AI390">
        <f t="shared" si="60"/>
        <v>1</v>
      </c>
      <c r="AJ390" s="10">
        <f t="shared" si="61"/>
        <v>4.8677533284679997E-2</v>
      </c>
    </row>
    <row r="391" spans="1:36" hidden="1" x14ac:dyDescent="0.25">
      <c r="A391" t="b">
        <v>0</v>
      </c>
      <c r="B391">
        <v>1000</v>
      </c>
      <c r="C391">
        <v>4.8677533284679997E-2</v>
      </c>
      <c r="D391" t="s">
        <v>52</v>
      </c>
      <c r="E391" t="b">
        <v>1</v>
      </c>
      <c r="F391" t="s">
        <v>53</v>
      </c>
      <c r="G391">
        <v>7.4999999999999997E-2</v>
      </c>
      <c r="H391">
        <v>0.5</v>
      </c>
      <c r="I391">
        <v>1E-4</v>
      </c>
      <c r="J391" t="b">
        <v>1</v>
      </c>
      <c r="K391">
        <v>1</v>
      </c>
      <c r="L391">
        <v>1500</v>
      </c>
      <c r="M391">
        <v>0.05</v>
      </c>
      <c r="N391">
        <v>0.154</v>
      </c>
      <c r="O391" t="s">
        <v>256</v>
      </c>
      <c r="P391" t="s">
        <v>257</v>
      </c>
      <c r="Q391" s="1">
        <v>-1.4722892005687101E-6</v>
      </c>
      <c r="R391" s="1">
        <v>4.0018089765675398E-7</v>
      </c>
      <c r="S391" s="1">
        <v>4.3733610523327299E-6</v>
      </c>
      <c r="T391" s="1">
        <v>-2.0833842511012899E-6</v>
      </c>
      <c r="U391">
        <v>1.0233862933462601</v>
      </c>
      <c r="V391" s="1">
        <v>-1.15657030361429E-15</v>
      </c>
      <c r="W391">
        <v>1.4910282523495501E-2</v>
      </c>
      <c r="X391">
        <v>1.8244850859633499</v>
      </c>
      <c r="Y391">
        <v>1.13474327720741</v>
      </c>
      <c r="Z391">
        <v>1.2203714506833401E-2</v>
      </c>
      <c r="AA391">
        <v>0.89421658490788802</v>
      </c>
      <c r="AB391" s="9">
        <f t="shared" si="53"/>
        <v>-0.47638057461320799</v>
      </c>
      <c r="AC391" s="9">
        <f t="shared" si="54"/>
        <v>-0.47258738924567367</v>
      </c>
      <c r="AD391" s="2">
        <f t="shared" si="55"/>
        <v>-7.9625105843456057E-3</v>
      </c>
      <c r="AE391" s="8">
        <f t="shared" si="56"/>
        <v>5.0069865818837628E-2</v>
      </c>
      <c r="AF391" s="2">
        <f t="shared" si="57"/>
        <v>1.3923325341576309E-3</v>
      </c>
      <c r="AG391" s="8">
        <f t="shared" si="58"/>
        <v>4.8677533284679997E-2</v>
      </c>
      <c r="AH391" s="7">
        <f t="shared" si="59"/>
        <v>2.8603185909501127E-2</v>
      </c>
      <c r="AI391">
        <f t="shared" si="60"/>
        <v>1</v>
      </c>
      <c r="AJ391" s="10">
        <f t="shared" si="61"/>
        <v>4.8677533284679997E-2</v>
      </c>
    </row>
    <row r="392" spans="1:36" hidden="1" x14ac:dyDescent="0.25">
      <c r="A392" t="b">
        <v>0</v>
      </c>
      <c r="B392">
        <v>1000</v>
      </c>
      <c r="C392">
        <v>4.8677533284679997E-2</v>
      </c>
      <c r="D392" t="s">
        <v>52</v>
      </c>
      <c r="E392" t="b">
        <v>1</v>
      </c>
      <c r="F392" t="s">
        <v>53</v>
      </c>
      <c r="G392">
        <v>7.4999999999999997E-2</v>
      </c>
      <c r="H392">
        <v>0.5</v>
      </c>
      <c r="I392">
        <v>1E-4</v>
      </c>
      <c r="J392" t="b">
        <v>1</v>
      </c>
      <c r="K392">
        <v>1</v>
      </c>
      <c r="L392">
        <v>1500</v>
      </c>
      <c r="M392">
        <v>0.05</v>
      </c>
      <c r="N392">
        <v>0.154</v>
      </c>
      <c r="O392" t="s">
        <v>256</v>
      </c>
      <c r="P392" t="s">
        <v>258</v>
      </c>
      <c r="Q392" s="1">
        <v>-1.17742814267148E-5</v>
      </c>
      <c r="R392" s="1">
        <v>3.1807973367773799E-6</v>
      </c>
      <c r="S392" s="1">
        <v>3.4974898799955301E-5</v>
      </c>
      <c r="T392" s="1">
        <v>-1.6660516945003602E-5</v>
      </c>
      <c r="U392">
        <v>1.02337561020252</v>
      </c>
      <c r="V392" s="1">
        <v>-1.15762878274344E-15</v>
      </c>
      <c r="W392">
        <v>1.48095023340529E-2</v>
      </c>
      <c r="X392">
        <v>1.8244819291294101</v>
      </c>
      <c r="Y392">
        <v>1.13322322492148</v>
      </c>
      <c r="Z392">
        <v>1.2203875947406901E-2</v>
      </c>
      <c r="AA392">
        <v>0.88868621113082502</v>
      </c>
      <c r="AB392" s="9">
        <f t="shared" si="53"/>
        <v>-0.4763564017810652</v>
      </c>
      <c r="AC392" s="9">
        <f t="shared" si="54"/>
        <v>-0.47258738924567367</v>
      </c>
      <c r="AD392" s="2">
        <f t="shared" si="55"/>
        <v>-7.9121693784306446E-3</v>
      </c>
      <c r="AE392" s="8">
        <f t="shared" si="56"/>
        <v>5.006098119596078E-2</v>
      </c>
      <c r="AF392" s="2">
        <f t="shared" si="57"/>
        <v>1.3834479112807829E-3</v>
      </c>
      <c r="AG392" s="8">
        <f t="shared" si="58"/>
        <v>4.8677533284679997E-2</v>
      </c>
      <c r="AH392" s="7">
        <f t="shared" si="59"/>
        <v>2.8420665919737301E-2</v>
      </c>
      <c r="AI392">
        <f t="shared" si="60"/>
        <v>1</v>
      </c>
      <c r="AJ392" s="10">
        <f t="shared" si="61"/>
        <v>4.8677533284679997E-2</v>
      </c>
    </row>
    <row r="393" spans="1:36" hidden="1" x14ac:dyDescent="0.25">
      <c r="A393" t="b">
        <v>0</v>
      </c>
      <c r="B393">
        <v>1000</v>
      </c>
      <c r="C393">
        <v>4.8677533284679997E-2</v>
      </c>
      <c r="D393" t="s">
        <v>52</v>
      </c>
      <c r="E393" t="b">
        <v>1</v>
      </c>
      <c r="F393" t="s">
        <v>53</v>
      </c>
      <c r="G393">
        <v>7.4999999999999997E-2</v>
      </c>
      <c r="H393">
        <v>0.5</v>
      </c>
      <c r="I393">
        <v>1E-4</v>
      </c>
      <c r="J393" t="b">
        <v>1</v>
      </c>
      <c r="K393">
        <v>1</v>
      </c>
      <c r="L393">
        <v>1500</v>
      </c>
      <c r="M393">
        <v>0.05</v>
      </c>
      <c r="N393">
        <v>0.154</v>
      </c>
      <c r="O393" t="s">
        <v>257</v>
      </c>
      <c r="P393" t="s">
        <v>258</v>
      </c>
      <c r="Q393" s="1">
        <v>-1.0301992232286099E-5</v>
      </c>
      <c r="R393" s="1">
        <v>2.81293532965212E-6</v>
      </c>
      <c r="S393" s="1">
        <v>3.0601537747618699E-5</v>
      </c>
      <c r="T393" s="1">
        <v>-1.45771326937197E-5</v>
      </c>
      <c r="U393">
        <v>1.02337408337669</v>
      </c>
      <c r="V393" s="1">
        <v>-1.1570071471702001E-15</v>
      </c>
      <c r="W393">
        <v>1.5876963764802798E-2</v>
      </c>
      <c r="X393">
        <v>1.82448157482559</v>
      </c>
      <c r="Y393">
        <v>1.13510602220226</v>
      </c>
      <c r="Z393">
        <v>1.22039097760052E-2</v>
      </c>
      <c r="AA393">
        <v>0.89837740834964597</v>
      </c>
      <c r="AB393" s="9">
        <f t="shared" si="53"/>
        <v>-0.47635294716044257</v>
      </c>
      <c r="AC393" s="9">
        <f t="shared" si="54"/>
        <v>-0.47258738924567367</v>
      </c>
      <c r="AD393" s="2">
        <f t="shared" si="55"/>
        <v>-7.9049745303677588E-3</v>
      </c>
      <c r="AE393" s="8">
        <f t="shared" si="56"/>
        <v>5.0059711476946198E-2</v>
      </c>
      <c r="AF393" s="2">
        <f t="shared" si="57"/>
        <v>1.3821781922662008E-3</v>
      </c>
      <c r="AG393" s="8">
        <f t="shared" si="58"/>
        <v>4.8677533284679997E-2</v>
      </c>
      <c r="AH393" s="7">
        <f t="shared" si="59"/>
        <v>2.8394581627274155E-2</v>
      </c>
      <c r="AI393">
        <f t="shared" si="60"/>
        <v>1</v>
      </c>
      <c r="AJ393" s="10">
        <f t="shared" si="61"/>
        <v>4.8677533284679997E-2</v>
      </c>
    </row>
    <row r="394" spans="1:36" hidden="1" x14ac:dyDescent="0.25">
      <c r="A394" t="b">
        <v>0</v>
      </c>
      <c r="B394">
        <v>1000</v>
      </c>
      <c r="C394">
        <v>4.8677533284679997E-2</v>
      </c>
      <c r="D394" t="s">
        <v>52</v>
      </c>
      <c r="E394" t="b">
        <v>1</v>
      </c>
      <c r="F394" t="s">
        <v>53</v>
      </c>
      <c r="G394">
        <v>7.4999999999999997E-2</v>
      </c>
      <c r="H394">
        <v>0.5</v>
      </c>
      <c r="I394">
        <v>1E-4</v>
      </c>
      <c r="J394" t="b">
        <v>1</v>
      </c>
      <c r="K394">
        <v>2</v>
      </c>
      <c r="L394">
        <v>1500</v>
      </c>
      <c r="M394">
        <v>0.05</v>
      </c>
      <c r="N394">
        <v>0.154</v>
      </c>
      <c r="O394" t="s">
        <v>259</v>
      </c>
      <c r="P394" t="s">
        <v>260</v>
      </c>
      <c r="Q394" s="1">
        <v>-5.6170297654044396E-6</v>
      </c>
      <c r="R394" s="1">
        <v>4.2774288874427502E-7</v>
      </c>
      <c r="S394" s="1">
        <v>1.68514787557355E-5</v>
      </c>
      <c r="T394" s="1">
        <v>-2.4837797806172599E-5</v>
      </c>
      <c r="U394">
        <v>2.010838785247</v>
      </c>
      <c r="V394">
        <v>0</v>
      </c>
      <c r="W394">
        <v>5.4825512576560697E-3</v>
      </c>
      <c r="X394">
        <v>2</v>
      </c>
      <c r="Y394">
        <v>0.345824399489506</v>
      </c>
      <c r="Z394">
        <v>2.5000000000000001E-4</v>
      </c>
      <c r="AA394">
        <v>0.305015731898654</v>
      </c>
      <c r="AB394" s="9">
        <f t="shared" si="53"/>
        <v>-0.36848098268110313</v>
      </c>
      <c r="AC394" s="9">
        <f t="shared" si="54"/>
        <v>-0.36940254325521221</v>
      </c>
      <c r="AD394" s="2">
        <f t="shared" si="55"/>
        <v>2.5009718748678633E-3</v>
      </c>
      <c r="AE394" s="8">
        <f t="shared" si="56"/>
        <v>1.1854772241874971E-2</v>
      </c>
      <c r="AF394" s="2">
        <f t="shared" si="57"/>
        <v>-3.1461107929502824E-4</v>
      </c>
      <c r="AG394" s="8">
        <f t="shared" si="58"/>
        <v>1.2169383321169999E-2</v>
      </c>
      <c r="AH394" s="7">
        <f t="shared" si="59"/>
        <v>-2.5852672316412879E-2</v>
      </c>
      <c r="AI394">
        <f t="shared" si="60"/>
        <v>2</v>
      </c>
      <c r="AJ394" s="10">
        <f t="shared" si="61"/>
        <v>4.8677533284679997E-2</v>
      </c>
    </row>
    <row r="395" spans="1:36" hidden="1" x14ac:dyDescent="0.25">
      <c r="A395" t="b">
        <v>0</v>
      </c>
      <c r="B395">
        <v>1000</v>
      </c>
      <c r="C395">
        <v>4.8677533284679997E-2</v>
      </c>
      <c r="D395" t="s">
        <v>52</v>
      </c>
      <c r="E395" t="b">
        <v>1</v>
      </c>
      <c r="F395" t="s">
        <v>53</v>
      </c>
      <c r="G395">
        <v>7.4999999999999997E-2</v>
      </c>
      <c r="H395">
        <v>0.5</v>
      </c>
      <c r="I395">
        <v>1E-4</v>
      </c>
      <c r="J395" t="b">
        <v>1</v>
      </c>
      <c r="K395">
        <v>2</v>
      </c>
      <c r="L395">
        <v>1500</v>
      </c>
      <c r="M395">
        <v>0.05</v>
      </c>
      <c r="N395">
        <v>0.154</v>
      </c>
      <c r="O395" t="s">
        <v>259</v>
      </c>
      <c r="P395" t="s">
        <v>261</v>
      </c>
      <c r="Q395" s="1">
        <v>-4.47046502975633E-5</v>
      </c>
      <c r="R395" s="1">
        <v>1.7758823474370701E-8</v>
      </c>
      <c r="S395">
        <v>1.3475391169718001E-4</v>
      </c>
      <c r="T395">
        <v>-1.9858953628601301E-4</v>
      </c>
      <c r="U395">
        <v>2.0107739771686899</v>
      </c>
      <c r="V395" s="1">
        <v>2.5415219153521199E-15</v>
      </c>
      <c r="W395" s="1">
        <v>3.61418480270919E-5</v>
      </c>
      <c r="X395">
        <v>2.07915765872254</v>
      </c>
      <c r="Y395">
        <v>1.7373051751960399E-3</v>
      </c>
      <c r="Z395">
        <v>2.0677256296511001E-2</v>
      </c>
      <c r="AA395">
        <v>1.69554143799686E-3</v>
      </c>
      <c r="AB395" s="9">
        <f t="shared" si="53"/>
        <v>-0.3684300028564011</v>
      </c>
      <c r="AC395" s="9">
        <f t="shared" si="54"/>
        <v>-0.36940254325521221</v>
      </c>
      <c r="AD395" s="2">
        <f t="shared" si="55"/>
        <v>2.6396883838750718E-3</v>
      </c>
      <c r="AE395" s="8">
        <f t="shared" si="56"/>
        <v>1.1837373975165023E-2</v>
      </c>
      <c r="AF395" s="2">
        <f t="shared" si="57"/>
        <v>-3.3200934600497584E-4</v>
      </c>
      <c r="AG395" s="8">
        <f t="shared" si="58"/>
        <v>1.2169383321169999E-2</v>
      </c>
      <c r="AH395" s="7">
        <f t="shared" si="59"/>
        <v>-2.7282347613079832E-2</v>
      </c>
      <c r="AI395">
        <f t="shared" si="60"/>
        <v>2</v>
      </c>
      <c r="AJ395" s="10">
        <f t="shared" si="61"/>
        <v>4.8677533284679997E-2</v>
      </c>
    </row>
    <row r="396" spans="1:36" hidden="1" x14ac:dyDescent="0.25">
      <c r="A396" t="b">
        <v>0</v>
      </c>
      <c r="B396">
        <v>1000</v>
      </c>
      <c r="C396">
        <v>4.8677533284679997E-2</v>
      </c>
      <c r="D396" t="s">
        <v>52</v>
      </c>
      <c r="E396" t="b">
        <v>1</v>
      </c>
      <c r="F396" t="s">
        <v>53</v>
      </c>
      <c r="G396">
        <v>7.4999999999999997E-2</v>
      </c>
      <c r="H396">
        <v>0.5</v>
      </c>
      <c r="I396">
        <v>1E-4</v>
      </c>
      <c r="J396" t="b">
        <v>1</v>
      </c>
      <c r="K396">
        <v>2</v>
      </c>
      <c r="L396">
        <v>1500</v>
      </c>
      <c r="M396">
        <v>0.05</v>
      </c>
      <c r="N396">
        <v>0.154</v>
      </c>
      <c r="O396" t="s">
        <v>259</v>
      </c>
      <c r="P396" t="s">
        <v>262</v>
      </c>
      <c r="Q396" s="1">
        <v>-5.6170297654044396E-6</v>
      </c>
      <c r="R396" s="1">
        <v>4.2774288871983399E-7</v>
      </c>
      <c r="S396" s="1">
        <v>1.6851478755745299E-5</v>
      </c>
      <c r="T396" s="1">
        <v>-2.48377978064115E-5</v>
      </c>
      <c r="U396">
        <v>2.0108387852569898</v>
      </c>
      <c r="V396">
        <v>0</v>
      </c>
      <c r="W396">
        <v>5.4825512573428003E-3</v>
      </c>
      <c r="X396">
        <v>2</v>
      </c>
      <c r="Y396">
        <v>0.34582439946974602</v>
      </c>
      <c r="Z396">
        <v>2.5000000000000001E-4</v>
      </c>
      <c r="AA396">
        <v>0.30501573188122499</v>
      </c>
      <c r="AB396" s="9">
        <f t="shared" si="53"/>
        <v>-0.36848098268443308</v>
      </c>
      <c r="AC396" s="9">
        <f t="shared" si="54"/>
        <v>-0.36940254325521221</v>
      </c>
      <c r="AD396" s="2">
        <f t="shared" si="55"/>
        <v>2.5009718658082214E-3</v>
      </c>
      <c r="AE396" s="8">
        <f t="shared" si="56"/>
        <v>1.1854772243011421E-2</v>
      </c>
      <c r="AF396" s="2">
        <f t="shared" si="57"/>
        <v>-3.1461107815857793E-4</v>
      </c>
      <c r="AG396" s="8">
        <f t="shared" si="58"/>
        <v>1.2169383321169999E-2</v>
      </c>
      <c r="AH396" s="7">
        <f t="shared" si="59"/>
        <v>-2.5852672223026854E-2</v>
      </c>
      <c r="AI396">
        <f t="shared" si="60"/>
        <v>2</v>
      </c>
      <c r="AJ396" s="10">
        <f t="shared" si="61"/>
        <v>4.8677533284679997E-2</v>
      </c>
    </row>
    <row r="397" spans="1:36" hidden="1" x14ac:dyDescent="0.25">
      <c r="A397" t="b">
        <v>0</v>
      </c>
      <c r="B397">
        <v>1000</v>
      </c>
      <c r="C397">
        <v>4.8677533284679997E-2</v>
      </c>
      <c r="D397" t="s">
        <v>52</v>
      </c>
      <c r="E397" t="b">
        <v>1</v>
      </c>
      <c r="F397" t="s">
        <v>53</v>
      </c>
      <c r="G397">
        <v>7.4999999999999997E-2</v>
      </c>
      <c r="H397">
        <v>0.5</v>
      </c>
      <c r="I397">
        <v>1E-4</v>
      </c>
      <c r="J397" t="b">
        <v>1</v>
      </c>
      <c r="K397">
        <v>2</v>
      </c>
      <c r="L397">
        <v>1500</v>
      </c>
      <c r="M397">
        <v>0.05</v>
      </c>
      <c r="N397">
        <v>0.154</v>
      </c>
      <c r="O397" t="s">
        <v>259</v>
      </c>
      <c r="P397" t="s">
        <v>263</v>
      </c>
      <c r="Q397" s="1">
        <v>-1.12340549512088E-5</v>
      </c>
      <c r="R397" s="1">
        <v>8.5470125923524504E-7</v>
      </c>
      <c r="S397" s="1">
        <v>3.3702943718581E-5</v>
      </c>
      <c r="T397" s="1">
        <v>-4.9675509175320303E-5</v>
      </c>
      <c r="U397">
        <v>2.01082952122474</v>
      </c>
      <c r="V397">
        <v>0</v>
      </c>
      <c r="W397">
        <v>5.3772645274637902E-3</v>
      </c>
      <c r="X397">
        <v>2</v>
      </c>
      <c r="Y397">
        <v>0.34587834146997298</v>
      </c>
      <c r="Z397">
        <v>2.5000000000000001E-4</v>
      </c>
      <c r="AA397">
        <v>0.304739861519157</v>
      </c>
      <c r="AB397" s="9">
        <f t="shared" si="53"/>
        <v>-0.36848049231329721</v>
      </c>
      <c r="AC397" s="9">
        <f t="shared" si="54"/>
        <v>-0.36940254325521221</v>
      </c>
      <c r="AD397" s="2">
        <f t="shared" si="55"/>
        <v>2.5023059867468334E-3</v>
      </c>
      <c r="AE397" s="8">
        <f t="shared" si="56"/>
        <v>1.1854604887530193E-2</v>
      </c>
      <c r="AF397" s="2">
        <f t="shared" si="57"/>
        <v>-3.1477843363980629E-4</v>
      </c>
      <c r="AG397" s="8">
        <f t="shared" si="58"/>
        <v>1.2169383321169999E-2</v>
      </c>
      <c r="AH397" s="7">
        <f t="shared" si="59"/>
        <v>-2.5866424397382085E-2</v>
      </c>
      <c r="AI397">
        <f t="shared" si="60"/>
        <v>2</v>
      </c>
      <c r="AJ397" s="10">
        <f t="shared" si="61"/>
        <v>4.8677533284679997E-2</v>
      </c>
    </row>
    <row r="398" spans="1:36" hidden="1" x14ac:dyDescent="0.25">
      <c r="A398" t="b">
        <v>0</v>
      </c>
      <c r="B398">
        <v>1000</v>
      </c>
      <c r="C398">
        <v>4.8677533284679997E-2</v>
      </c>
      <c r="D398" t="s">
        <v>52</v>
      </c>
      <c r="E398" t="b">
        <v>1</v>
      </c>
      <c r="F398" t="s">
        <v>53</v>
      </c>
      <c r="G398">
        <v>7.4999999999999997E-2</v>
      </c>
      <c r="H398">
        <v>0.5</v>
      </c>
      <c r="I398">
        <v>1E-4</v>
      </c>
      <c r="J398" t="b">
        <v>1</v>
      </c>
      <c r="K398">
        <v>2</v>
      </c>
      <c r="L398">
        <v>1500</v>
      </c>
      <c r="M398">
        <v>0.05</v>
      </c>
      <c r="N398">
        <v>0.154</v>
      </c>
      <c r="O398" t="s">
        <v>259</v>
      </c>
      <c r="P398" t="s">
        <v>264</v>
      </c>
      <c r="Q398" s="1">
        <v>-5.0295057271430002E-5</v>
      </c>
      <c r="R398" s="1">
        <v>2.0263509974434098E-8</v>
      </c>
      <c r="S398">
        <v>1.5160528017047799E-4</v>
      </c>
      <c r="T398">
        <v>-2.2342664302375399E-4</v>
      </c>
      <c r="U398">
        <v>2.0107647127711399</v>
      </c>
      <c r="V398" s="1">
        <v>2.6575824488421999E-15</v>
      </c>
      <c r="W398" s="1">
        <v>3.91299905048851E-5</v>
      </c>
      <c r="X398">
        <v>2.07916739458142</v>
      </c>
      <c r="Y398">
        <v>1.7385224995922E-3</v>
      </c>
      <c r="Z398">
        <v>2.06808700773848E-2</v>
      </c>
      <c r="AA398">
        <v>1.7202689219024501E-3</v>
      </c>
      <c r="AB398" s="9">
        <f t="shared" si="53"/>
        <v>-0.36843479787200339</v>
      </c>
      <c r="AC398" s="9">
        <f t="shared" si="54"/>
        <v>-0.36940254325521221</v>
      </c>
      <c r="AD398" s="2">
        <f t="shared" si="55"/>
        <v>2.62663947270525E-3</v>
      </c>
      <c r="AE398" s="8">
        <f t="shared" si="56"/>
        <v>1.1839010380572232E-2</v>
      </c>
      <c r="AF398" s="2">
        <f t="shared" si="57"/>
        <v>-3.3037294059776699E-4</v>
      </c>
      <c r="AG398" s="8">
        <f t="shared" si="58"/>
        <v>1.2169383321169999E-2</v>
      </c>
      <c r="AH398" s="7">
        <f t="shared" si="59"/>
        <v>-2.7147878563661187E-2</v>
      </c>
      <c r="AI398">
        <f t="shared" si="60"/>
        <v>2</v>
      </c>
      <c r="AJ398" s="10">
        <f t="shared" si="61"/>
        <v>4.8677533284679997E-2</v>
      </c>
    </row>
    <row r="399" spans="1:36" hidden="1" x14ac:dyDescent="0.25">
      <c r="A399" t="b">
        <v>0</v>
      </c>
      <c r="B399">
        <v>1000</v>
      </c>
      <c r="C399">
        <v>4.8677533284679997E-2</v>
      </c>
      <c r="D399" t="s">
        <v>52</v>
      </c>
      <c r="E399" t="b">
        <v>1</v>
      </c>
      <c r="F399" t="s">
        <v>53</v>
      </c>
      <c r="G399">
        <v>7.4999999999999997E-2</v>
      </c>
      <c r="H399">
        <v>0.5</v>
      </c>
      <c r="I399">
        <v>1E-4</v>
      </c>
      <c r="J399" t="b">
        <v>1</v>
      </c>
      <c r="K399">
        <v>2</v>
      </c>
      <c r="L399">
        <v>1500</v>
      </c>
      <c r="M399">
        <v>0.05</v>
      </c>
      <c r="N399">
        <v>0.154</v>
      </c>
      <c r="O399" t="s">
        <v>259</v>
      </c>
      <c r="P399" t="s">
        <v>265</v>
      </c>
      <c r="Q399" s="1">
        <v>-4.4704650010116598E-5</v>
      </c>
      <c r="R399" s="1">
        <v>1.78364464755446E-8</v>
      </c>
      <c r="S399">
        <v>1.3475391169718299E-4</v>
      </c>
      <c r="T399">
        <v>-1.98589536285887E-4</v>
      </c>
      <c r="U399">
        <v>2.0107739771629101</v>
      </c>
      <c r="V399" s="1">
        <v>2.5839662280195702E-15</v>
      </c>
      <c r="W399" s="1">
        <v>3.6024063816804203E-5</v>
      </c>
      <c r="X399">
        <v>2.0791576273696899</v>
      </c>
      <c r="Y399">
        <v>1.7401848796275701E-3</v>
      </c>
      <c r="Z399">
        <v>2.0677283861236399E-2</v>
      </c>
      <c r="AA399">
        <v>1.70301231543887E-3</v>
      </c>
      <c r="AB399" s="9">
        <f t="shared" si="53"/>
        <v>-0.36843000285615918</v>
      </c>
      <c r="AC399" s="9">
        <f t="shared" si="54"/>
        <v>-0.36940254325521221</v>
      </c>
      <c r="AD399" s="2">
        <f t="shared" si="55"/>
        <v>2.639688384533434E-3</v>
      </c>
      <c r="AE399" s="8">
        <f t="shared" si="56"/>
        <v>1.1837373975082477E-2</v>
      </c>
      <c r="AF399" s="2">
        <f t="shared" si="57"/>
        <v>-3.3200934608752265E-4</v>
      </c>
      <c r="AG399" s="8">
        <f t="shared" si="58"/>
        <v>1.2169383321169999E-2</v>
      </c>
      <c r="AH399" s="7">
        <f t="shared" si="59"/>
        <v>-2.7282347619862986E-2</v>
      </c>
      <c r="AI399">
        <f t="shared" si="60"/>
        <v>2</v>
      </c>
      <c r="AJ399" s="10">
        <f t="shared" si="61"/>
        <v>4.8677533284679997E-2</v>
      </c>
    </row>
    <row r="400" spans="1:36" hidden="1" x14ac:dyDescent="0.25">
      <c r="A400" t="b">
        <v>0</v>
      </c>
      <c r="B400">
        <v>1000</v>
      </c>
      <c r="C400">
        <v>4.8677533284679997E-2</v>
      </c>
      <c r="D400" t="s">
        <v>52</v>
      </c>
      <c r="E400" t="b">
        <v>1</v>
      </c>
      <c r="F400" t="s">
        <v>53</v>
      </c>
      <c r="G400">
        <v>7.4999999999999997E-2</v>
      </c>
      <c r="H400">
        <v>0.5</v>
      </c>
      <c r="I400">
        <v>1E-4</v>
      </c>
      <c r="J400" t="b">
        <v>1</v>
      </c>
      <c r="K400">
        <v>2</v>
      </c>
      <c r="L400">
        <v>1500</v>
      </c>
      <c r="M400">
        <v>0.05</v>
      </c>
      <c r="N400">
        <v>0.154</v>
      </c>
      <c r="O400" t="s">
        <v>259</v>
      </c>
      <c r="P400" t="s">
        <v>266</v>
      </c>
      <c r="Q400" s="1">
        <v>-5.0295055059659399E-5</v>
      </c>
      <c r="R400" s="1">
        <v>2.0190601318628401E-8</v>
      </c>
      <c r="S400">
        <v>1.5160528017047799E-4</v>
      </c>
      <c r="T400">
        <v>-2.2342664302371E-4</v>
      </c>
      <c r="U400">
        <v>2.0107647127781401</v>
      </c>
      <c r="V400" s="1">
        <v>2.6091241834969499E-15</v>
      </c>
      <c r="W400" s="1">
        <v>3.9103873879916599E-5</v>
      </c>
      <c r="X400">
        <v>2.0791671802456002</v>
      </c>
      <c r="Y400">
        <v>1.73656798726435E-3</v>
      </c>
      <c r="Z400">
        <v>2.0681058343695199E-2</v>
      </c>
      <c r="AA400">
        <v>1.71403633550143E-3</v>
      </c>
      <c r="AB400" s="9">
        <f t="shared" si="53"/>
        <v>-0.36843479787193084</v>
      </c>
      <c r="AC400" s="9">
        <f t="shared" si="54"/>
        <v>-0.36940254325521221</v>
      </c>
      <c r="AD400" s="2">
        <f t="shared" si="55"/>
        <v>2.6266394729028697E-3</v>
      </c>
      <c r="AE400" s="8">
        <f t="shared" si="56"/>
        <v>1.1839010380547455E-2</v>
      </c>
      <c r="AF400" s="2">
        <f t="shared" si="57"/>
        <v>-3.3037294062254405E-4</v>
      </c>
      <c r="AG400" s="8">
        <f t="shared" si="58"/>
        <v>1.2169383321169999E-2</v>
      </c>
      <c r="AH400" s="7">
        <f t="shared" si="59"/>
        <v>-2.7147878565697201E-2</v>
      </c>
      <c r="AI400">
        <f t="shared" si="60"/>
        <v>2</v>
      </c>
      <c r="AJ400" s="10">
        <f t="shared" si="61"/>
        <v>4.8677533284679997E-2</v>
      </c>
    </row>
    <row r="401" spans="1:36" hidden="1" x14ac:dyDescent="0.25">
      <c r="A401" t="b">
        <v>0</v>
      </c>
      <c r="B401">
        <v>1000</v>
      </c>
      <c r="C401">
        <v>4.8677533284679997E-2</v>
      </c>
      <c r="D401" t="s">
        <v>52</v>
      </c>
      <c r="E401" t="b">
        <v>1</v>
      </c>
      <c r="F401" t="s">
        <v>53</v>
      </c>
      <c r="G401">
        <v>7.4999999999999997E-2</v>
      </c>
      <c r="H401">
        <v>0.5</v>
      </c>
      <c r="I401">
        <v>1E-4</v>
      </c>
      <c r="J401" t="b">
        <v>1</v>
      </c>
      <c r="K401">
        <v>2</v>
      </c>
      <c r="L401">
        <v>1500</v>
      </c>
      <c r="M401">
        <v>0.05</v>
      </c>
      <c r="N401">
        <v>0.154</v>
      </c>
      <c r="O401" t="s">
        <v>259</v>
      </c>
      <c r="P401" t="s">
        <v>267</v>
      </c>
      <c r="Q401" s="1">
        <v>-8.9409038277016496E-5</v>
      </c>
      <c r="R401" s="1">
        <v>3.5689912596071103E-8</v>
      </c>
      <c r="S401">
        <v>2.6950694162010299E-4</v>
      </c>
      <c r="T401">
        <v>-3.9717354743873E-4</v>
      </c>
      <c r="U401">
        <v>2.0106999017226901</v>
      </c>
      <c r="V401" s="1">
        <v>2.6080272180650701E-15</v>
      </c>
      <c r="W401" s="1">
        <v>3.6585715812802E-5</v>
      </c>
      <c r="X401">
        <v>2.0791482198982298</v>
      </c>
      <c r="Y401">
        <v>1.7394893732913001E-3</v>
      </c>
      <c r="Z401">
        <v>2.06756040898388E-2</v>
      </c>
      <c r="AA401">
        <v>1.70386555925119E-3</v>
      </c>
      <c r="AB401" s="9">
        <f t="shared" si="53"/>
        <v>-0.36842608306411068</v>
      </c>
      <c r="AC401" s="9">
        <f t="shared" si="54"/>
        <v>-0.36940254325521221</v>
      </c>
      <c r="AD401" s="2">
        <f t="shared" si="55"/>
        <v>2.6503557592354454E-3</v>
      </c>
      <c r="AE401" s="8">
        <f t="shared" si="56"/>
        <v>1.1836036263053705E-2</v>
      </c>
      <c r="AF401" s="2">
        <f t="shared" si="57"/>
        <v>-3.3334705811629423E-4</v>
      </c>
      <c r="AG401" s="8">
        <f t="shared" si="58"/>
        <v>1.2169383321169999E-2</v>
      </c>
      <c r="AH401" s="7">
        <f t="shared" si="59"/>
        <v>-2.7392272009083635E-2</v>
      </c>
      <c r="AI401">
        <f t="shared" si="60"/>
        <v>2</v>
      </c>
      <c r="AJ401" s="10">
        <f t="shared" si="61"/>
        <v>4.8677533284679997E-2</v>
      </c>
    </row>
    <row r="402" spans="1:36" hidden="1" x14ac:dyDescent="0.25">
      <c r="A402" t="b">
        <v>0</v>
      </c>
      <c r="B402">
        <v>1000</v>
      </c>
      <c r="C402">
        <v>4.8677533284679997E-2</v>
      </c>
      <c r="D402" t="s">
        <v>52</v>
      </c>
      <c r="E402" t="b">
        <v>1</v>
      </c>
      <c r="F402" t="s">
        <v>53</v>
      </c>
      <c r="G402">
        <v>7.4999999999999997E-2</v>
      </c>
      <c r="H402">
        <v>0.5</v>
      </c>
      <c r="I402">
        <v>1E-4</v>
      </c>
      <c r="J402" t="b">
        <v>1</v>
      </c>
      <c r="K402">
        <v>2</v>
      </c>
      <c r="L402">
        <v>1500</v>
      </c>
      <c r="M402">
        <v>0.05</v>
      </c>
      <c r="N402">
        <v>0.154</v>
      </c>
      <c r="O402" t="s">
        <v>260</v>
      </c>
      <c r="P402" t="s">
        <v>261</v>
      </c>
      <c r="Q402" s="1">
        <v>-3.9114211672788698E-5</v>
      </c>
      <c r="R402" s="1">
        <v>1.6217530596847799E-8</v>
      </c>
      <c r="S402">
        <v>1.17902432941447E-4</v>
      </c>
      <c r="T402">
        <v>-1.7375173848002801E-4</v>
      </c>
      <c r="U402">
        <v>2.01076471319965</v>
      </c>
      <c r="V402" s="1">
        <v>2.5632016202830102E-15</v>
      </c>
      <c r="W402" s="1">
        <v>4.4276425639565803E-5</v>
      </c>
      <c r="X402">
        <v>2.0791425848730301</v>
      </c>
      <c r="Y402">
        <v>1.74191809994691E-3</v>
      </c>
      <c r="Z402">
        <v>2.0672010858570001E-2</v>
      </c>
      <c r="AA402">
        <v>1.7714782248693501E-3</v>
      </c>
      <c r="AB402" s="9">
        <f t="shared" si="53"/>
        <v>-0.36842271644707497</v>
      </c>
      <c r="AC402" s="9">
        <f t="shared" si="54"/>
        <v>-0.36940254325521221</v>
      </c>
      <c r="AD402" s="2">
        <f t="shared" si="55"/>
        <v>2.6595178972304012E-3</v>
      </c>
      <c r="AE402" s="8">
        <f t="shared" si="56"/>
        <v>1.1834887336533741E-2</v>
      </c>
      <c r="AF402" s="2">
        <f t="shared" si="57"/>
        <v>-3.3449598463625857E-4</v>
      </c>
      <c r="AG402" s="8">
        <f t="shared" si="58"/>
        <v>1.2169383321169999E-2</v>
      </c>
      <c r="AH402" s="7">
        <f t="shared" si="59"/>
        <v>-2.748668324502241E-2</v>
      </c>
      <c r="AI402">
        <f t="shared" si="60"/>
        <v>2</v>
      </c>
      <c r="AJ402" s="10">
        <f t="shared" si="61"/>
        <v>4.8677533284679997E-2</v>
      </c>
    </row>
    <row r="403" spans="1:36" hidden="1" x14ac:dyDescent="0.25">
      <c r="A403" t="b">
        <v>0</v>
      </c>
      <c r="B403">
        <v>1000</v>
      </c>
      <c r="C403">
        <v>4.8677533284679997E-2</v>
      </c>
      <c r="D403" t="s">
        <v>52</v>
      </c>
      <c r="E403" t="b">
        <v>1</v>
      </c>
      <c r="F403" t="s">
        <v>53</v>
      </c>
      <c r="G403">
        <v>7.4999999999999997E-2</v>
      </c>
      <c r="H403">
        <v>0.5</v>
      </c>
      <c r="I403">
        <v>1E-4</v>
      </c>
      <c r="J403" t="b">
        <v>1</v>
      </c>
      <c r="K403">
        <v>2</v>
      </c>
      <c r="L403">
        <v>1500</v>
      </c>
      <c r="M403">
        <v>0.05</v>
      </c>
      <c r="N403">
        <v>0.154</v>
      </c>
      <c r="O403" t="s">
        <v>260</v>
      </c>
      <c r="P403" t="s">
        <v>262</v>
      </c>
      <c r="Q403" s="1">
        <v>-1E-10</v>
      </c>
      <c r="R403" s="1">
        <v>3.5857858674388501E-12</v>
      </c>
      <c r="S403" s="1">
        <v>2.3102813490711501E-17</v>
      </c>
      <c r="T403" s="1">
        <v>-5.7485835573365596E-16</v>
      </c>
      <c r="U403">
        <v>2.0108295212879499</v>
      </c>
      <c r="V403">
        <v>0</v>
      </c>
      <c r="W403">
        <v>6.8474547026652302E-2</v>
      </c>
      <c r="X403">
        <v>2</v>
      </c>
      <c r="Y403">
        <v>4.0005663419678296E-3</v>
      </c>
      <c r="Z403">
        <v>2.5000000000000001E-4</v>
      </c>
      <c r="AA403">
        <v>4.7933528949918904E-3</v>
      </c>
      <c r="AB403" s="9">
        <f t="shared" si="53"/>
        <v>-6.2206531248323724</v>
      </c>
      <c r="AC403" s="9">
        <f t="shared" si="54"/>
        <v>-0.36940254325521221</v>
      </c>
      <c r="AD403" s="2">
        <f t="shared" si="55"/>
        <v>-0.94061675906978559</v>
      </c>
      <c r="AE403" s="8">
        <f t="shared" si="56"/>
        <v>-2.039025884431894</v>
      </c>
      <c r="AF403" s="2">
        <f t="shared" si="57"/>
        <v>-2.051195267753064</v>
      </c>
      <c r="AG403" s="8">
        <f t="shared" si="58"/>
        <v>1.2169383321169999E-2</v>
      </c>
      <c r="AH403" s="7">
        <f t="shared" si="59"/>
        <v>-168.5537560629536</v>
      </c>
      <c r="AI403">
        <f t="shared" si="60"/>
        <v>2</v>
      </c>
      <c r="AJ403" s="10">
        <f t="shared" si="61"/>
        <v>4.8677533284679997E-2</v>
      </c>
    </row>
    <row r="404" spans="1:36" hidden="1" x14ac:dyDescent="0.25">
      <c r="A404" t="b">
        <v>0</v>
      </c>
      <c r="B404">
        <v>1000</v>
      </c>
      <c r="C404">
        <v>4.8677533284679997E-2</v>
      </c>
      <c r="D404" t="s">
        <v>52</v>
      </c>
      <c r="E404" t="b">
        <v>1</v>
      </c>
      <c r="F404" t="s">
        <v>53</v>
      </c>
      <c r="G404">
        <v>7.4999999999999997E-2</v>
      </c>
      <c r="H404">
        <v>0.5</v>
      </c>
      <c r="I404">
        <v>1E-4</v>
      </c>
      <c r="J404" t="b">
        <v>1</v>
      </c>
      <c r="K404">
        <v>2</v>
      </c>
      <c r="L404">
        <v>1500</v>
      </c>
      <c r="M404">
        <v>0.05</v>
      </c>
      <c r="N404">
        <v>0.154</v>
      </c>
      <c r="O404" t="s">
        <v>260</v>
      </c>
      <c r="P404" t="s">
        <v>263</v>
      </c>
      <c r="Q404" s="1">
        <v>-5.6170251858018098E-6</v>
      </c>
      <c r="R404" s="1">
        <v>4.2762110704850498E-7</v>
      </c>
      <c r="S404" s="1">
        <v>1.6851464962846401E-5</v>
      </c>
      <c r="T404" s="1">
        <v>-2.4837711369361599E-5</v>
      </c>
      <c r="U404">
        <v>2.0108202572557001</v>
      </c>
      <c r="V404">
        <v>0</v>
      </c>
      <c r="W404">
        <v>5.4087847876506502E-3</v>
      </c>
      <c r="X404">
        <v>2</v>
      </c>
      <c r="Y404">
        <v>0.34588816764591201</v>
      </c>
      <c r="Z404">
        <v>2.5000000000000001E-4</v>
      </c>
      <c r="AA404">
        <v>0.30493191191248498</v>
      </c>
      <c r="AB404" s="9">
        <f t="shared" si="53"/>
        <v>-0.36848000194824354</v>
      </c>
      <c r="AC404" s="9">
        <f t="shared" si="54"/>
        <v>-0.36940254325521221</v>
      </c>
      <c r="AD404" s="2">
        <f t="shared" si="55"/>
        <v>2.5036400946889525E-3</v>
      </c>
      <c r="AE404" s="8">
        <f t="shared" si="56"/>
        <v>1.1854437534180069E-2</v>
      </c>
      <c r="AF404" s="2">
        <f t="shared" si="57"/>
        <v>-3.1494578698993032E-4</v>
      </c>
      <c r="AG404" s="8">
        <f t="shared" si="58"/>
        <v>1.2169383321169999E-2</v>
      </c>
      <c r="AH404" s="7">
        <f t="shared" si="59"/>
        <v>-2.5880176396617157E-2</v>
      </c>
      <c r="AI404">
        <f t="shared" si="60"/>
        <v>2</v>
      </c>
      <c r="AJ404" s="10">
        <f t="shared" si="61"/>
        <v>4.8677533284679997E-2</v>
      </c>
    </row>
    <row r="405" spans="1:36" hidden="1" x14ac:dyDescent="0.25">
      <c r="A405" t="b">
        <v>0</v>
      </c>
      <c r="B405">
        <v>1000</v>
      </c>
      <c r="C405">
        <v>4.8677533284679997E-2</v>
      </c>
      <c r="D405" t="s">
        <v>52</v>
      </c>
      <c r="E405" t="b">
        <v>1</v>
      </c>
      <c r="F405" t="s">
        <v>53</v>
      </c>
      <c r="G405">
        <v>7.4999999999999997E-2</v>
      </c>
      <c r="H405">
        <v>0.5</v>
      </c>
      <c r="I405">
        <v>1E-4</v>
      </c>
      <c r="J405" t="b">
        <v>1</v>
      </c>
      <c r="K405">
        <v>2</v>
      </c>
      <c r="L405">
        <v>1500</v>
      </c>
      <c r="M405">
        <v>0.05</v>
      </c>
      <c r="N405">
        <v>0.154</v>
      </c>
      <c r="O405" t="s">
        <v>260</v>
      </c>
      <c r="P405" t="s">
        <v>264</v>
      </c>
      <c r="Q405" s="1">
        <v>-4.4704616864724202E-5</v>
      </c>
      <c r="R405" s="1">
        <v>1.7874708535883801E-8</v>
      </c>
      <c r="S405">
        <v>1.3475380141474001E-4</v>
      </c>
      <c r="T405">
        <v>-1.9858884521751501E-4</v>
      </c>
      <c r="U405">
        <v>2.0107554488021</v>
      </c>
      <c r="V405" s="1">
        <v>2.5731155031778298E-15</v>
      </c>
      <c r="W405" s="1">
        <v>3.7335672466603399E-5</v>
      </c>
      <c r="X405">
        <v>2.07915522927268</v>
      </c>
      <c r="Y405">
        <v>1.7383107366005801E-3</v>
      </c>
      <c r="Z405">
        <v>2.0676902920542899E-2</v>
      </c>
      <c r="AA405">
        <v>1.7068633831110601E-3</v>
      </c>
      <c r="AB405" s="9">
        <f t="shared" si="53"/>
        <v>-0.36842902228469604</v>
      </c>
      <c r="AC405" s="9">
        <f t="shared" si="54"/>
        <v>-0.36940254325521221</v>
      </c>
      <c r="AD405" s="2">
        <f t="shared" si="55"/>
        <v>2.6423569035880501E-3</v>
      </c>
      <c r="AE405" s="8">
        <f t="shared" si="56"/>
        <v>1.1837039333977685E-2</v>
      </c>
      <c r="AF405" s="2">
        <f t="shared" si="57"/>
        <v>-3.3234398719231457E-4</v>
      </c>
      <c r="AG405" s="8">
        <f t="shared" si="58"/>
        <v>1.2169383321169999E-2</v>
      </c>
      <c r="AH405" s="7">
        <f t="shared" si="59"/>
        <v>-2.7309846228129337E-2</v>
      </c>
      <c r="AI405">
        <f t="shared" si="60"/>
        <v>2</v>
      </c>
      <c r="AJ405" s="10">
        <f t="shared" si="61"/>
        <v>4.8677533284679997E-2</v>
      </c>
    </row>
    <row r="406" spans="1:36" hidden="1" x14ac:dyDescent="0.25">
      <c r="A406" t="b">
        <v>0</v>
      </c>
      <c r="B406">
        <v>1000</v>
      </c>
      <c r="C406">
        <v>4.8677533284679997E-2</v>
      </c>
      <c r="D406" t="s">
        <v>52</v>
      </c>
      <c r="E406" t="b">
        <v>1</v>
      </c>
      <c r="F406" t="s">
        <v>53</v>
      </c>
      <c r="G406">
        <v>7.4999999999999997E-2</v>
      </c>
      <c r="H406">
        <v>0.5</v>
      </c>
      <c r="I406">
        <v>1E-4</v>
      </c>
      <c r="J406" t="b">
        <v>1</v>
      </c>
      <c r="K406">
        <v>2</v>
      </c>
      <c r="L406">
        <v>1500</v>
      </c>
      <c r="M406">
        <v>0.05</v>
      </c>
      <c r="N406">
        <v>0.154</v>
      </c>
      <c r="O406" t="s">
        <v>260</v>
      </c>
      <c r="P406" t="s">
        <v>265</v>
      </c>
      <c r="Q406" s="1">
        <v>-3.9114211727879998E-5</v>
      </c>
      <c r="R406" s="1">
        <v>1.6364852983279901E-8</v>
      </c>
      <c r="S406">
        <v>1.17902432941456E-4</v>
      </c>
      <c r="T406">
        <v>-1.7375173848013599E-4</v>
      </c>
      <c r="U406">
        <v>2.0107647131938702</v>
      </c>
      <c r="V406" s="1">
        <v>2.51840832012244E-15</v>
      </c>
      <c r="W406" s="1">
        <v>4.4747490463574001E-5</v>
      </c>
      <c r="X406">
        <v>2.0791425917640298</v>
      </c>
      <c r="Y406">
        <v>1.7461400503434399E-3</v>
      </c>
      <c r="Z406">
        <v>2.0672004835643298E-2</v>
      </c>
      <c r="AA406">
        <v>1.78775520220473E-3</v>
      </c>
      <c r="AB406" s="9">
        <f t="shared" si="53"/>
        <v>-0.36842271644727587</v>
      </c>
      <c r="AC406" s="9">
        <f t="shared" si="54"/>
        <v>-0.36940254325521221</v>
      </c>
      <c r="AD406" s="2">
        <f t="shared" si="55"/>
        <v>2.6595178966837274E-3</v>
      </c>
      <c r="AE406" s="8">
        <f t="shared" si="56"/>
        <v>1.1834887336602295E-2</v>
      </c>
      <c r="AF406" s="2">
        <f t="shared" si="57"/>
        <v>-3.3449598456770403E-4</v>
      </c>
      <c r="AG406" s="8">
        <f t="shared" si="58"/>
        <v>1.2169383321169999E-2</v>
      </c>
      <c r="AH406" s="7">
        <f t="shared" si="59"/>
        <v>-2.7486683239389048E-2</v>
      </c>
      <c r="AI406">
        <f t="shared" si="60"/>
        <v>2</v>
      </c>
      <c r="AJ406" s="10">
        <f t="shared" si="61"/>
        <v>4.8677533284679997E-2</v>
      </c>
    </row>
    <row r="407" spans="1:36" hidden="1" x14ac:dyDescent="0.25">
      <c r="A407" t="b">
        <v>0</v>
      </c>
      <c r="B407">
        <v>1000</v>
      </c>
      <c r="C407">
        <v>4.8677533284679997E-2</v>
      </c>
      <c r="D407" t="s">
        <v>52</v>
      </c>
      <c r="E407" t="b">
        <v>1</v>
      </c>
      <c r="F407" t="s">
        <v>53</v>
      </c>
      <c r="G407">
        <v>7.4999999999999997E-2</v>
      </c>
      <c r="H407">
        <v>0.5</v>
      </c>
      <c r="I407">
        <v>1E-4</v>
      </c>
      <c r="J407" t="b">
        <v>1</v>
      </c>
      <c r="K407">
        <v>2</v>
      </c>
      <c r="L407">
        <v>1500</v>
      </c>
      <c r="M407">
        <v>0.05</v>
      </c>
      <c r="N407">
        <v>0.154</v>
      </c>
      <c r="O407" t="s">
        <v>260</v>
      </c>
      <c r="P407" t="s">
        <v>266</v>
      </c>
      <c r="Q407" s="1">
        <v>-4.4704619045324798E-5</v>
      </c>
      <c r="R407" s="1">
        <v>1.7634455291256002E-8</v>
      </c>
      <c r="S407">
        <v>1.3475380141474001E-4</v>
      </c>
      <c r="T407">
        <v>-1.9858884521739201E-4</v>
      </c>
      <c r="U407">
        <v>2.0107554488091002</v>
      </c>
      <c r="V407" s="1">
        <v>2.6511176061691301E-15</v>
      </c>
      <c r="W407" s="1">
        <v>3.6995455090613401E-5</v>
      </c>
      <c r="X407">
        <v>2.0791554666588499</v>
      </c>
      <c r="Y407">
        <v>1.73198393608432E-3</v>
      </c>
      <c r="Z407">
        <v>2.0676694363061299E-2</v>
      </c>
      <c r="AA407">
        <v>1.6836792236507999E-3</v>
      </c>
      <c r="AB407" s="9">
        <f t="shared" si="53"/>
        <v>-0.36842902228446789</v>
      </c>
      <c r="AC407" s="9">
        <f t="shared" si="54"/>
        <v>-0.36940254325521221</v>
      </c>
      <c r="AD407" s="2">
        <f t="shared" si="55"/>
        <v>2.6423569042088868E-3</v>
      </c>
      <c r="AE407" s="8">
        <f t="shared" si="56"/>
        <v>1.1837039333899809E-2</v>
      </c>
      <c r="AF407" s="2">
        <f t="shared" si="57"/>
        <v>-3.3234398727018978E-4</v>
      </c>
      <c r="AG407" s="8">
        <f t="shared" si="58"/>
        <v>1.2169383321169999E-2</v>
      </c>
      <c r="AH407" s="7">
        <f t="shared" si="59"/>
        <v>-2.7309846234528611E-2</v>
      </c>
      <c r="AI407">
        <f t="shared" si="60"/>
        <v>2</v>
      </c>
      <c r="AJ407" s="10">
        <f t="shared" si="61"/>
        <v>4.8677533284679997E-2</v>
      </c>
    </row>
    <row r="408" spans="1:36" hidden="1" x14ac:dyDescent="0.25">
      <c r="A408" t="b">
        <v>0</v>
      </c>
      <c r="B408">
        <v>1000</v>
      </c>
      <c r="C408">
        <v>4.8677533284679997E-2</v>
      </c>
      <c r="D408" t="s">
        <v>52</v>
      </c>
      <c r="E408" t="b">
        <v>1</v>
      </c>
      <c r="F408" t="s">
        <v>53</v>
      </c>
      <c r="G408">
        <v>7.4999999999999997E-2</v>
      </c>
      <c r="H408">
        <v>0.5</v>
      </c>
      <c r="I408">
        <v>1E-4</v>
      </c>
      <c r="J408" t="b">
        <v>1</v>
      </c>
      <c r="K408">
        <v>2</v>
      </c>
      <c r="L408">
        <v>1500</v>
      </c>
      <c r="M408">
        <v>0.05</v>
      </c>
      <c r="N408">
        <v>0.154</v>
      </c>
      <c r="O408" t="s">
        <v>260</v>
      </c>
      <c r="P408" t="s">
        <v>267</v>
      </c>
      <c r="Q408" s="1">
        <v>-8.3818601581603694E-5</v>
      </c>
      <c r="R408" s="1">
        <v>3.41438137745181E-8</v>
      </c>
      <c r="S408">
        <v>2.5265546286437098E-4</v>
      </c>
      <c r="T408">
        <v>-3.7233574963270498E-4</v>
      </c>
      <c r="U408">
        <v>2.0106906377536502</v>
      </c>
      <c r="V408" s="1">
        <v>2.6570379076144399E-15</v>
      </c>
      <c r="W408" s="1">
        <v>3.9022002878562297E-5</v>
      </c>
      <c r="X408">
        <v>2.0791406679369402</v>
      </c>
      <c r="Y408">
        <v>1.7458663534149199E-3</v>
      </c>
      <c r="Z408">
        <v>2.0672947743532798E-2</v>
      </c>
      <c r="AA408">
        <v>1.73941153592459E-3</v>
      </c>
      <c r="AB408" s="9">
        <f t="shared" si="53"/>
        <v>-0.36842242139899828</v>
      </c>
      <c r="AC408" s="9">
        <f t="shared" si="54"/>
        <v>-0.36940254325521221</v>
      </c>
      <c r="AD408" s="2">
        <f t="shared" si="55"/>
        <v>2.6603208688877888E-3</v>
      </c>
      <c r="AE408" s="8">
        <f t="shared" si="56"/>
        <v>1.1834786645502457E-2</v>
      </c>
      <c r="AF408" s="2">
        <f t="shared" si="57"/>
        <v>-3.3459667566754225E-4</v>
      </c>
      <c r="AG408" s="8">
        <f t="shared" si="58"/>
        <v>1.2169383321169999E-2</v>
      </c>
      <c r="AH408" s="7">
        <f t="shared" si="59"/>
        <v>-2.7494957372693984E-2</v>
      </c>
      <c r="AI408">
        <f t="shared" si="60"/>
        <v>2</v>
      </c>
      <c r="AJ408" s="10">
        <f t="shared" si="61"/>
        <v>4.8677533284679997E-2</v>
      </c>
    </row>
    <row r="409" spans="1:36" hidden="1" x14ac:dyDescent="0.25">
      <c r="A409" t="b">
        <v>0</v>
      </c>
      <c r="B409">
        <v>1000</v>
      </c>
      <c r="C409">
        <v>4.8677533284679997E-2</v>
      </c>
      <c r="D409" t="s">
        <v>52</v>
      </c>
      <c r="E409" t="b">
        <v>1</v>
      </c>
      <c r="F409" t="s">
        <v>53</v>
      </c>
      <c r="G409">
        <v>7.4999999999999997E-2</v>
      </c>
      <c r="H409">
        <v>0.5</v>
      </c>
      <c r="I409">
        <v>1E-4</v>
      </c>
      <c r="J409" t="b">
        <v>1</v>
      </c>
      <c r="K409">
        <v>2</v>
      </c>
      <c r="L409">
        <v>1500</v>
      </c>
      <c r="M409">
        <v>0.05</v>
      </c>
      <c r="N409">
        <v>0.154</v>
      </c>
      <c r="O409" t="s">
        <v>261</v>
      </c>
      <c r="P409" t="s">
        <v>264</v>
      </c>
      <c r="Q409" s="1">
        <v>-5.6169931497499801E-6</v>
      </c>
      <c r="R409" s="1">
        <v>4.2972120441481801E-7</v>
      </c>
      <c r="S409" s="1">
        <v>1.6851368473295301E-5</v>
      </c>
      <c r="T409" s="1">
        <v>-2.4837106737614501E-5</v>
      </c>
      <c r="U409">
        <v>2.0106906407237899</v>
      </c>
      <c r="V409">
        <v>0</v>
      </c>
      <c r="W409">
        <v>5.3287401628932998E-3</v>
      </c>
      <c r="X409">
        <v>2</v>
      </c>
      <c r="Y409">
        <v>0.34647041245320598</v>
      </c>
      <c r="Z409">
        <v>2.5000000000000001E-4</v>
      </c>
      <c r="AA409">
        <v>0.306426565361132</v>
      </c>
      <c r="AB409" s="9">
        <f t="shared" si="53"/>
        <v>-0.36847314176552426</v>
      </c>
      <c r="AC409" s="9">
        <f t="shared" si="54"/>
        <v>-0.36940254325521221</v>
      </c>
      <c r="AD409" s="2">
        <f t="shared" si="55"/>
        <v>2.5223045707885028E-3</v>
      </c>
      <c r="AE409" s="8">
        <f t="shared" si="56"/>
        <v>1.1852096274937369E-2</v>
      </c>
      <c r="AF409" s="2">
        <f t="shared" si="57"/>
        <v>-3.1728704623263E-4</v>
      </c>
      <c r="AG409" s="8">
        <f t="shared" si="58"/>
        <v>1.2169383321169999E-2</v>
      </c>
      <c r="AH409" s="7">
        <f t="shared" si="59"/>
        <v>-2.6072565705172079E-2</v>
      </c>
      <c r="AI409">
        <f t="shared" si="60"/>
        <v>2</v>
      </c>
      <c r="AJ409" s="10">
        <f t="shared" si="61"/>
        <v>4.8677533284679997E-2</v>
      </c>
    </row>
    <row r="410" spans="1:36" hidden="1" x14ac:dyDescent="0.25">
      <c r="A410" t="b">
        <v>0</v>
      </c>
      <c r="B410">
        <v>1000</v>
      </c>
      <c r="C410">
        <v>4.8677533284679997E-2</v>
      </c>
      <c r="D410" t="s">
        <v>52</v>
      </c>
      <c r="E410" t="b">
        <v>1</v>
      </c>
      <c r="F410" t="s">
        <v>53</v>
      </c>
      <c r="G410">
        <v>7.4999999999999997E-2</v>
      </c>
      <c r="H410">
        <v>0.5</v>
      </c>
      <c r="I410">
        <v>1E-4</v>
      </c>
      <c r="J410" t="b">
        <v>1</v>
      </c>
      <c r="K410">
        <v>2</v>
      </c>
      <c r="L410">
        <v>1500</v>
      </c>
      <c r="M410">
        <v>0.05</v>
      </c>
      <c r="N410">
        <v>0.154</v>
      </c>
      <c r="O410" t="s">
        <v>261</v>
      </c>
      <c r="P410" t="s">
        <v>265</v>
      </c>
      <c r="Q410" s="1">
        <v>-1E-10</v>
      </c>
      <c r="R410" s="1">
        <v>3.5857858602963899E-12</v>
      </c>
      <c r="S410" s="1">
        <v>1.4768300837713001E-17</v>
      </c>
      <c r="T410" s="1">
        <v>-1.0761787973680899E-16</v>
      </c>
      <c r="U410">
        <v>2.0106999051155499</v>
      </c>
      <c r="V410">
        <v>0</v>
      </c>
      <c r="W410">
        <v>6.84745468902591E-2</v>
      </c>
      <c r="X410">
        <v>2</v>
      </c>
      <c r="Y410">
        <v>4.0005663339991804E-3</v>
      </c>
      <c r="Z410">
        <v>2.5000000000000001E-4</v>
      </c>
      <c r="AA410">
        <v>4.7933528854440998E-3</v>
      </c>
      <c r="AB410" s="9">
        <f t="shared" si="53"/>
        <v>-1.8217715246900832</v>
      </c>
      <c r="AC410" s="9">
        <f t="shared" si="54"/>
        <v>-0.36940254325521221</v>
      </c>
      <c r="AD410" s="2">
        <f t="shared" si="55"/>
        <v>-0.79722893993633237</v>
      </c>
      <c r="AE410" s="8">
        <f t="shared" si="56"/>
        <v>0.98470216887309703</v>
      </c>
      <c r="AF410" s="2">
        <f t="shared" si="57"/>
        <v>0.97253278555192701</v>
      </c>
      <c r="AG410" s="8">
        <f t="shared" si="58"/>
        <v>1.2169383321169999E-2</v>
      </c>
      <c r="AH410" s="7">
        <f t="shared" si="59"/>
        <v>79.916357294793883</v>
      </c>
      <c r="AI410">
        <f t="shared" si="60"/>
        <v>2</v>
      </c>
      <c r="AJ410" s="10">
        <f t="shared" si="61"/>
        <v>4.8677533284679997E-2</v>
      </c>
    </row>
    <row r="411" spans="1:36" hidden="1" x14ac:dyDescent="0.25">
      <c r="A411" t="b">
        <v>0</v>
      </c>
      <c r="B411">
        <v>1000</v>
      </c>
      <c r="C411">
        <v>4.8677533284679997E-2</v>
      </c>
      <c r="D411" t="s">
        <v>52</v>
      </c>
      <c r="E411" t="b">
        <v>1</v>
      </c>
      <c r="F411" t="s">
        <v>53</v>
      </c>
      <c r="G411">
        <v>7.4999999999999997E-2</v>
      </c>
      <c r="H411">
        <v>0.5</v>
      </c>
      <c r="I411">
        <v>1E-4</v>
      </c>
      <c r="J411" t="b">
        <v>1</v>
      </c>
      <c r="K411">
        <v>2</v>
      </c>
      <c r="L411">
        <v>1500</v>
      </c>
      <c r="M411">
        <v>0.05</v>
      </c>
      <c r="N411">
        <v>0.154</v>
      </c>
      <c r="O411" t="s">
        <v>261</v>
      </c>
      <c r="P411" t="s">
        <v>266</v>
      </c>
      <c r="Q411" s="1">
        <v>-5.6169931497499801E-6</v>
      </c>
      <c r="R411" s="1">
        <v>4.2972120439900502E-7</v>
      </c>
      <c r="S411" s="1">
        <v>1.6851368473296802E-5</v>
      </c>
      <c r="T411" s="1">
        <v>-2.4837106737582798E-5</v>
      </c>
      <c r="U411">
        <v>2.0106906407307901</v>
      </c>
      <c r="V411">
        <v>0</v>
      </c>
      <c r="W411">
        <v>5.3287401626972101E-3</v>
      </c>
      <c r="X411">
        <v>2</v>
      </c>
      <c r="Y411">
        <v>0.34647041244045601</v>
      </c>
      <c r="Z411">
        <v>2.5000000000000001E-4</v>
      </c>
      <c r="AA411">
        <v>0.30642656534985602</v>
      </c>
      <c r="AB411" s="9">
        <f t="shared" si="53"/>
        <v>-0.36847314176502111</v>
      </c>
      <c r="AC411" s="9">
        <f t="shared" si="54"/>
        <v>-0.36940254325521221</v>
      </c>
      <c r="AD411" s="2">
        <f t="shared" si="55"/>
        <v>2.5223045721574078E-3</v>
      </c>
      <c r="AE411" s="8">
        <f t="shared" si="56"/>
        <v>1.1852096274765652E-2</v>
      </c>
      <c r="AF411" s="2">
        <f t="shared" si="57"/>
        <v>-3.1728704640434681E-4</v>
      </c>
      <c r="AG411" s="8">
        <f t="shared" si="58"/>
        <v>1.2169383321169999E-2</v>
      </c>
      <c r="AH411" s="7">
        <f t="shared" si="59"/>
        <v>-2.6072565719282636E-2</v>
      </c>
      <c r="AI411">
        <f t="shared" si="60"/>
        <v>2</v>
      </c>
      <c r="AJ411" s="10">
        <f t="shared" si="61"/>
        <v>4.8677533284679997E-2</v>
      </c>
    </row>
    <row r="412" spans="1:36" hidden="1" x14ac:dyDescent="0.25">
      <c r="A412" t="b">
        <v>0</v>
      </c>
      <c r="B412">
        <v>1000</v>
      </c>
      <c r="C412">
        <v>4.8677533284679997E-2</v>
      </c>
      <c r="D412" t="s">
        <v>52</v>
      </c>
      <c r="E412" t="b">
        <v>1</v>
      </c>
      <c r="F412" t="s">
        <v>53</v>
      </c>
      <c r="G412">
        <v>7.4999999999999997E-2</v>
      </c>
      <c r="H412">
        <v>0.5</v>
      </c>
      <c r="I412">
        <v>1E-4</v>
      </c>
      <c r="J412" t="b">
        <v>1</v>
      </c>
      <c r="K412">
        <v>2</v>
      </c>
      <c r="L412">
        <v>1500</v>
      </c>
      <c r="M412">
        <v>0.05</v>
      </c>
      <c r="N412">
        <v>0.154</v>
      </c>
      <c r="O412" t="s">
        <v>261</v>
      </c>
      <c r="P412" t="s">
        <v>267</v>
      </c>
      <c r="Q412" s="1">
        <v>-4.4704389383446701E-5</v>
      </c>
      <c r="R412" s="1">
        <v>1.76602764339952E-8</v>
      </c>
      <c r="S412">
        <v>1.3475302992292499E-4</v>
      </c>
      <c r="T412">
        <v>-1.9858401115283001E-4</v>
      </c>
      <c r="U412">
        <v>2.0106258296753299</v>
      </c>
      <c r="V412" s="1">
        <v>2.6129558245806701E-15</v>
      </c>
      <c r="W412" s="1">
        <v>3.6506343545278297E-5</v>
      </c>
      <c r="X412">
        <v>2.0791389336038599</v>
      </c>
      <c r="Y412">
        <v>1.7345297937697601E-3</v>
      </c>
      <c r="Z412">
        <v>2.06738176898007E-2</v>
      </c>
      <c r="AA412">
        <v>1.68607492266475E-3</v>
      </c>
      <c r="AB412" s="9">
        <f t="shared" si="53"/>
        <v>-0.36842216324637483</v>
      </c>
      <c r="AC412" s="9">
        <f t="shared" si="54"/>
        <v>-0.36940254325521221</v>
      </c>
      <c r="AD412" s="2">
        <f t="shared" si="55"/>
        <v>2.6610234308346303E-3</v>
      </c>
      <c r="AE412" s="8">
        <f t="shared" si="56"/>
        <v>1.1834698545795675E-2</v>
      </c>
      <c r="AF412" s="2">
        <f t="shared" si="57"/>
        <v>-3.346847753743238E-4</v>
      </c>
      <c r="AG412" s="8">
        <f t="shared" si="58"/>
        <v>1.2169383321169999E-2</v>
      </c>
      <c r="AH412" s="7">
        <f t="shared" si="59"/>
        <v>-2.7502196828010365E-2</v>
      </c>
      <c r="AI412">
        <f t="shared" si="60"/>
        <v>2</v>
      </c>
      <c r="AJ412" s="10">
        <f t="shared" si="61"/>
        <v>4.8677533284679997E-2</v>
      </c>
    </row>
    <row r="413" spans="1:36" hidden="1" x14ac:dyDescent="0.25">
      <c r="A413" t="b">
        <v>0</v>
      </c>
      <c r="B413">
        <v>1000</v>
      </c>
      <c r="C413">
        <v>4.8677533284679997E-2</v>
      </c>
      <c r="D413" t="s">
        <v>52</v>
      </c>
      <c r="E413" t="b">
        <v>1</v>
      </c>
      <c r="F413" t="s">
        <v>53</v>
      </c>
      <c r="G413">
        <v>7.4999999999999997E-2</v>
      </c>
      <c r="H413">
        <v>0.5</v>
      </c>
      <c r="I413">
        <v>1E-4</v>
      </c>
      <c r="J413" t="b">
        <v>1</v>
      </c>
      <c r="K413">
        <v>2</v>
      </c>
      <c r="L413">
        <v>1500</v>
      </c>
      <c r="M413">
        <v>0.05</v>
      </c>
      <c r="N413">
        <v>0.154</v>
      </c>
      <c r="O413" t="s">
        <v>262</v>
      </c>
      <c r="P413" t="s">
        <v>263</v>
      </c>
      <c r="Q413" s="1">
        <v>-5.6170251858018098E-6</v>
      </c>
      <c r="R413" s="1">
        <v>4.2762110706400901E-7</v>
      </c>
      <c r="S413" s="1">
        <v>1.6851464962832899E-5</v>
      </c>
      <c r="T413" s="1">
        <v>-2.4837711368933699E-5</v>
      </c>
      <c r="U413">
        <v>2.0108202572656899</v>
      </c>
      <c r="V413">
        <v>0</v>
      </c>
      <c r="W413">
        <v>5.4087847878467599E-3</v>
      </c>
      <c r="X413">
        <v>2</v>
      </c>
      <c r="Y413">
        <v>0.34588816765845298</v>
      </c>
      <c r="Z413">
        <v>2.5000000000000001E-4</v>
      </c>
      <c r="AA413">
        <v>0.30493191192354102</v>
      </c>
      <c r="AB413" s="9">
        <f t="shared" si="53"/>
        <v>-0.36848000194219066</v>
      </c>
      <c r="AC413" s="9">
        <f t="shared" si="54"/>
        <v>-0.36940254325521221</v>
      </c>
      <c r="AD413" s="2">
        <f t="shared" si="55"/>
        <v>2.5036401111566686E-3</v>
      </c>
      <c r="AE413" s="8">
        <f t="shared" si="56"/>
        <v>1.1854437532114305E-2</v>
      </c>
      <c r="AF413" s="2">
        <f t="shared" si="57"/>
        <v>-3.1494578905569455E-4</v>
      </c>
      <c r="AG413" s="8">
        <f t="shared" si="58"/>
        <v>1.2169383321169999E-2</v>
      </c>
      <c r="AH413" s="7">
        <f t="shared" si="59"/>
        <v>-2.5880176566368096E-2</v>
      </c>
      <c r="AI413">
        <f t="shared" si="60"/>
        <v>2</v>
      </c>
      <c r="AJ413" s="10">
        <f t="shared" si="61"/>
        <v>4.8677533284679997E-2</v>
      </c>
    </row>
    <row r="414" spans="1:36" hidden="1" x14ac:dyDescent="0.25">
      <c r="A414" t="b">
        <v>0</v>
      </c>
      <c r="B414">
        <v>1000</v>
      </c>
      <c r="C414">
        <v>4.8677533284679997E-2</v>
      </c>
      <c r="D414" t="s">
        <v>52</v>
      </c>
      <c r="E414" t="b">
        <v>1</v>
      </c>
      <c r="F414" t="s">
        <v>53</v>
      </c>
      <c r="G414">
        <v>7.4999999999999997E-2</v>
      </c>
      <c r="H414">
        <v>0.5</v>
      </c>
      <c r="I414">
        <v>1E-4</v>
      </c>
      <c r="J414" t="b">
        <v>1</v>
      </c>
      <c r="K414">
        <v>2</v>
      </c>
      <c r="L414">
        <v>1500</v>
      </c>
      <c r="M414">
        <v>0.05</v>
      </c>
      <c r="N414">
        <v>0.154</v>
      </c>
      <c r="O414" t="s">
        <v>262</v>
      </c>
      <c r="P414" t="s">
        <v>264</v>
      </c>
      <c r="Q414" s="1">
        <v>-4.4704617891399298E-5</v>
      </c>
      <c r="R414" s="1">
        <v>1.7616959684934901E-8</v>
      </c>
      <c r="S414">
        <v>1.34753801414729E-4</v>
      </c>
      <c r="T414">
        <v>-1.98588845217228E-4</v>
      </c>
      <c r="U414">
        <v>2.0107554488120898</v>
      </c>
      <c r="V414" s="1">
        <v>2.63074168662558E-15</v>
      </c>
      <c r="W414" s="1">
        <v>3.7329524322428202E-5</v>
      </c>
      <c r="X414">
        <v>2.0791553410194998</v>
      </c>
      <c r="Y414">
        <v>1.73100190637483E-3</v>
      </c>
      <c r="Z414">
        <v>2.06768047257842E-2</v>
      </c>
      <c r="AA414">
        <v>1.6819868160000201E-3</v>
      </c>
      <c r="AB414" s="9">
        <f t="shared" si="53"/>
        <v>-0.36842902228419366</v>
      </c>
      <c r="AC414" s="9">
        <f t="shared" si="54"/>
        <v>-0.36940254325521221</v>
      </c>
      <c r="AD414" s="2">
        <f t="shared" si="55"/>
        <v>2.6423569049551787E-3</v>
      </c>
      <c r="AE414" s="8">
        <f t="shared" si="56"/>
        <v>1.1837039333806225E-2</v>
      </c>
      <c r="AF414" s="2">
        <f t="shared" si="57"/>
        <v>-3.3234398736377464E-4</v>
      </c>
      <c r="AG414" s="8">
        <f t="shared" si="58"/>
        <v>1.2169383321169999E-2</v>
      </c>
      <c r="AH414" s="7">
        <f t="shared" si="59"/>
        <v>-2.7309846242218799E-2</v>
      </c>
      <c r="AI414">
        <f t="shared" si="60"/>
        <v>2</v>
      </c>
      <c r="AJ414" s="10">
        <f t="shared" si="61"/>
        <v>4.8677533284679997E-2</v>
      </c>
    </row>
    <row r="415" spans="1:36" hidden="1" x14ac:dyDescent="0.25">
      <c r="A415" t="b">
        <v>0</v>
      </c>
      <c r="B415">
        <v>1000</v>
      </c>
      <c r="C415">
        <v>4.8677533284679997E-2</v>
      </c>
      <c r="D415" t="s">
        <v>52</v>
      </c>
      <c r="E415" t="b">
        <v>1</v>
      </c>
      <c r="F415" t="s">
        <v>53</v>
      </c>
      <c r="G415">
        <v>7.4999999999999997E-2</v>
      </c>
      <c r="H415">
        <v>0.5</v>
      </c>
      <c r="I415">
        <v>1E-4</v>
      </c>
      <c r="J415" t="b">
        <v>1</v>
      </c>
      <c r="K415">
        <v>2</v>
      </c>
      <c r="L415">
        <v>1500</v>
      </c>
      <c r="M415">
        <v>0.05</v>
      </c>
      <c r="N415">
        <v>0.154</v>
      </c>
      <c r="O415" t="s">
        <v>262</v>
      </c>
      <c r="P415" t="s">
        <v>265</v>
      </c>
      <c r="Q415" s="1">
        <v>-3.9114212555922501E-5</v>
      </c>
      <c r="R415" s="1">
        <v>1.6417085316922001E-8</v>
      </c>
      <c r="S415">
        <v>1.17902432941441E-4</v>
      </c>
      <c r="T415">
        <v>-1.7375173847965301E-4</v>
      </c>
      <c r="U415">
        <v>2.0107647132038502</v>
      </c>
      <c r="V415" s="1">
        <v>2.5964595332362002E-15</v>
      </c>
      <c r="W415" s="1">
        <v>4.55271244340196E-5</v>
      </c>
      <c r="X415">
        <v>2.0791426948279401</v>
      </c>
      <c r="Y415">
        <v>1.7458713338842E-3</v>
      </c>
      <c r="Z415">
        <v>2.0671914266455101E-2</v>
      </c>
      <c r="AA415">
        <v>1.7937066251368301E-3</v>
      </c>
      <c r="AB415" s="9">
        <f t="shared" si="53"/>
        <v>-0.36842271644629859</v>
      </c>
      <c r="AC415" s="9">
        <f t="shared" si="54"/>
        <v>-0.36940254325521221</v>
      </c>
      <c r="AD415" s="2">
        <f t="shared" si="55"/>
        <v>2.6595178993433777E-3</v>
      </c>
      <c r="AE415" s="8">
        <f t="shared" si="56"/>
        <v>1.1834887336268798E-2</v>
      </c>
      <c r="AF415" s="2">
        <f t="shared" si="57"/>
        <v>-3.3449598490120115E-4</v>
      </c>
      <c r="AG415" s="8">
        <f t="shared" si="58"/>
        <v>1.2169383321169999E-2</v>
      </c>
      <c r="AH415" s="7">
        <f t="shared" si="59"/>
        <v>-2.7486683266793651E-2</v>
      </c>
      <c r="AI415">
        <f t="shared" si="60"/>
        <v>2</v>
      </c>
      <c r="AJ415" s="10">
        <f t="shared" si="61"/>
        <v>4.8677533284679997E-2</v>
      </c>
    </row>
    <row r="416" spans="1:36" hidden="1" x14ac:dyDescent="0.25">
      <c r="A416" t="b">
        <v>0</v>
      </c>
      <c r="B416">
        <v>1000</v>
      </c>
      <c r="C416">
        <v>4.8677533284679997E-2</v>
      </c>
      <c r="D416" t="s">
        <v>52</v>
      </c>
      <c r="E416" t="b">
        <v>1</v>
      </c>
      <c r="F416" t="s">
        <v>53</v>
      </c>
      <c r="G416">
        <v>7.4999999999999997E-2</v>
      </c>
      <c r="H416">
        <v>0.5</v>
      </c>
      <c r="I416">
        <v>1E-4</v>
      </c>
      <c r="J416" t="b">
        <v>1</v>
      </c>
      <c r="K416">
        <v>2</v>
      </c>
      <c r="L416">
        <v>1500</v>
      </c>
      <c r="M416">
        <v>0.05</v>
      </c>
      <c r="N416">
        <v>0.154</v>
      </c>
      <c r="O416" t="s">
        <v>262</v>
      </c>
      <c r="P416" t="s">
        <v>266</v>
      </c>
      <c r="Q416" s="1">
        <v>-4.4704619044846001E-5</v>
      </c>
      <c r="R416" s="1">
        <v>1.7650317985844499E-8</v>
      </c>
      <c r="S416">
        <v>1.34753801414727E-4</v>
      </c>
      <c r="T416">
        <v>-1.98588845217068E-4</v>
      </c>
      <c r="U416">
        <v>2.01075544881909</v>
      </c>
      <c r="V416" s="1">
        <v>2.6354353780235001E-15</v>
      </c>
      <c r="W416" s="1">
        <v>3.73328903748252E-5</v>
      </c>
      <c r="X416">
        <v>2.0791554667605299</v>
      </c>
      <c r="Y416">
        <v>1.7317181535206399E-3</v>
      </c>
      <c r="Z416">
        <v>2.0676694294282399E-2</v>
      </c>
      <c r="AA416">
        <v>1.6852572870875401E-3</v>
      </c>
      <c r="AB416" s="9">
        <f t="shared" si="53"/>
        <v>-0.36842902228390229</v>
      </c>
      <c r="AC416" s="9">
        <f t="shared" si="54"/>
        <v>-0.36940254325521221</v>
      </c>
      <c r="AD416" s="2">
        <f t="shared" si="55"/>
        <v>2.6423569057481E-3</v>
      </c>
      <c r="AE416" s="8">
        <f t="shared" si="56"/>
        <v>1.1837039333706804E-2</v>
      </c>
      <c r="AF416" s="2">
        <f t="shared" si="57"/>
        <v>-3.3234398746319511E-4</v>
      </c>
      <c r="AG416" s="8">
        <f t="shared" si="58"/>
        <v>1.2169383321169999E-2</v>
      </c>
      <c r="AH416" s="7">
        <f t="shared" si="59"/>
        <v>-2.7309846250388521E-2</v>
      </c>
      <c r="AI416">
        <f t="shared" si="60"/>
        <v>2</v>
      </c>
      <c r="AJ416" s="10">
        <f t="shared" si="61"/>
        <v>4.8677533284679997E-2</v>
      </c>
    </row>
    <row r="417" spans="1:36" hidden="1" x14ac:dyDescent="0.25">
      <c r="A417" t="b">
        <v>0</v>
      </c>
      <c r="B417">
        <v>1000</v>
      </c>
      <c r="C417">
        <v>4.8677533284679997E-2</v>
      </c>
      <c r="D417" t="s">
        <v>52</v>
      </c>
      <c r="E417" t="b">
        <v>1</v>
      </c>
      <c r="F417" t="s">
        <v>53</v>
      </c>
      <c r="G417">
        <v>7.4999999999999997E-2</v>
      </c>
      <c r="H417">
        <v>0.5</v>
      </c>
      <c r="I417">
        <v>1E-4</v>
      </c>
      <c r="J417" t="b">
        <v>1</v>
      </c>
      <c r="K417">
        <v>2</v>
      </c>
      <c r="L417">
        <v>1500</v>
      </c>
      <c r="M417">
        <v>0.05</v>
      </c>
      <c r="N417">
        <v>0.154</v>
      </c>
      <c r="O417" t="s">
        <v>262</v>
      </c>
      <c r="P417" t="s">
        <v>267</v>
      </c>
      <c r="Q417" s="1">
        <v>-8.3818605797850295E-5</v>
      </c>
      <c r="R417" s="1">
        <v>3.34680713227748E-8</v>
      </c>
      <c r="S417">
        <v>2.5265546286436003E-4</v>
      </c>
      <c r="T417">
        <v>-3.7233574963237099E-4</v>
      </c>
      <c r="U417">
        <v>2.0106906377636302</v>
      </c>
      <c r="V417" s="1">
        <v>2.6496538249045499E-15</v>
      </c>
      <c r="W417" s="1">
        <v>3.88494821795353E-5</v>
      </c>
      <c r="X417">
        <v>2.0791409127615301</v>
      </c>
      <c r="Y417">
        <v>1.73472377664565E-3</v>
      </c>
      <c r="Z417">
        <v>2.0672732678171098E-2</v>
      </c>
      <c r="AA417">
        <v>1.70465383754625E-3</v>
      </c>
      <c r="AB417" s="9">
        <f t="shared" si="53"/>
        <v>-0.36842242139868375</v>
      </c>
      <c r="AC417" s="9">
        <f t="shared" si="54"/>
        <v>-0.36940254325521221</v>
      </c>
      <c r="AD417" s="2">
        <f t="shared" si="55"/>
        <v>2.6603208697437708E-3</v>
      </c>
      <c r="AE417" s="8">
        <f t="shared" si="56"/>
        <v>1.1834786645395107E-2</v>
      </c>
      <c r="AF417" s="2">
        <f t="shared" si="57"/>
        <v>-3.3459667577489215E-4</v>
      </c>
      <c r="AG417" s="8">
        <f t="shared" si="58"/>
        <v>1.2169383321169999E-2</v>
      </c>
      <c r="AH417" s="7">
        <f t="shared" si="59"/>
        <v>-2.7494957381515292E-2</v>
      </c>
      <c r="AI417">
        <f t="shared" si="60"/>
        <v>2</v>
      </c>
      <c r="AJ417" s="10">
        <f t="shared" si="61"/>
        <v>4.8677533284679997E-2</v>
      </c>
    </row>
    <row r="418" spans="1:36" hidden="1" x14ac:dyDescent="0.25">
      <c r="A418" t="b">
        <v>0</v>
      </c>
      <c r="B418">
        <v>1000</v>
      </c>
      <c r="C418">
        <v>4.8677533284679997E-2</v>
      </c>
      <c r="D418" t="s">
        <v>52</v>
      </c>
      <c r="E418" t="b">
        <v>1</v>
      </c>
      <c r="F418" t="s">
        <v>53</v>
      </c>
      <c r="G418">
        <v>7.4999999999999997E-2</v>
      </c>
      <c r="H418">
        <v>0.5</v>
      </c>
      <c r="I418">
        <v>1E-4</v>
      </c>
      <c r="J418" t="b">
        <v>1</v>
      </c>
      <c r="K418">
        <v>2</v>
      </c>
      <c r="L418">
        <v>1500</v>
      </c>
      <c r="M418">
        <v>0.05</v>
      </c>
      <c r="N418">
        <v>0.154</v>
      </c>
      <c r="O418" t="s">
        <v>263</v>
      </c>
      <c r="P418" t="s">
        <v>264</v>
      </c>
      <c r="Q418" s="1">
        <v>-3.91141833858021E-5</v>
      </c>
      <c r="R418" s="1">
        <v>1.6213993865360599E-8</v>
      </c>
      <c r="S418">
        <v>1.17902336451893E-4</v>
      </c>
      <c r="T418">
        <v>-1.7375113384810299E-4</v>
      </c>
      <c r="U418">
        <v>2.01074618477984</v>
      </c>
      <c r="V418" s="1">
        <v>2.5670644808990501E-15</v>
      </c>
      <c r="W418" s="1">
        <v>4.5625389639682299E-5</v>
      </c>
      <c r="X418">
        <v>2.0791402756641402</v>
      </c>
      <c r="Y418">
        <v>1.7385306335168001E-3</v>
      </c>
      <c r="Z418">
        <v>2.0671551906114801E-2</v>
      </c>
      <c r="AA418">
        <v>1.77131312281209E-3</v>
      </c>
      <c r="AB418" s="9">
        <f t="shared" si="53"/>
        <v>-0.36842173589790916</v>
      </c>
      <c r="AC418" s="9">
        <f t="shared" si="54"/>
        <v>-0.36940254325521221</v>
      </c>
      <c r="AD418" s="2">
        <f t="shared" si="55"/>
        <v>2.6621864611560131E-3</v>
      </c>
      <c r="AE418" s="8">
        <f t="shared" si="56"/>
        <v>1.1834552704683149E-2</v>
      </c>
      <c r="AF418" s="2">
        <f t="shared" si="57"/>
        <v>-3.3483061648685065E-4</v>
      </c>
      <c r="AG418" s="8">
        <f t="shared" si="58"/>
        <v>1.2169383321169999E-2</v>
      </c>
      <c r="AH418" s="7">
        <f t="shared" si="59"/>
        <v>-2.7514181092839395E-2</v>
      </c>
      <c r="AI418">
        <f t="shared" si="60"/>
        <v>2</v>
      </c>
      <c r="AJ418" s="10">
        <f t="shared" si="61"/>
        <v>4.8677533284679997E-2</v>
      </c>
    </row>
    <row r="419" spans="1:36" hidden="1" x14ac:dyDescent="0.25">
      <c r="A419" t="b">
        <v>0</v>
      </c>
      <c r="B419">
        <v>1000</v>
      </c>
      <c r="C419">
        <v>4.8677533284679997E-2</v>
      </c>
      <c r="D419" t="s">
        <v>52</v>
      </c>
      <c r="E419" t="b">
        <v>1</v>
      </c>
      <c r="F419" t="s">
        <v>53</v>
      </c>
      <c r="G419">
        <v>7.4999999999999997E-2</v>
      </c>
      <c r="H419">
        <v>0.5</v>
      </c>
      <c r="I419">
        <v>1E-4</v>
      </c>
      <c r="J419" t="b">
        <v>1</v>
      </c>
      <c r="K419">
        <v>2</v>
      </c>
      <c r="L419">
        <v>1500</v>
      </c>
      <c r="M419">
        <v>0.05</v>
      </c>
      <c r="N419">
        <v>0.154</v>
      </c>
      <c r="O419" t="s">
        <v>263</v>
      </c>
      <c r="P419" t="s">
        <v>265</v>
      </c>
      <c r="Q419" s="1">
        <v>-3.3523777280281003E-5</v>
      </c>
      <c r="R419" s="1">
        <v>1.3922546034405099E-8</v>
      </c>
      <c r="S419">
        <v>1.01050967978605E-4</v>
      </c>
      <c r="T419">
        <v>-1.48914027110648E-4</v>
      </c>
      <c r="U419">
        <v>2.0107554491716</v>
      </c>
      <c r="V419" s="1">
        <v>2.6408597273493301E-15</v>
      </c>
      <c r="W419" s="1">
        <v>4.3864555088358198E-5</v>
      </c>
      <c r="X419">
        <v>2.07912289602571</v>
      </c>
      <c r="Y419">
        <v>1.7438533421430401E-3</v>
      </c>
      <c r="Z419">
        <v>2.0665068378985799E-2</v>
      </c>
      <c r="AA419">
        <v>1.7743641015182999E-3</v>
      </c>
      <c r="AB419" s="9">
        <f t="shared" si="53"/>
        <v>-0.36841316340031693</v>
      </c>
      <c r="AC419" s="9">
        <f t="shared" si="54"/>
        <v>-0.36940254325521221</v>
      </c>
      <c r="AD419" s="2">
        <f t="shared" si="55"/>
        <v>2.6855171128079558E-3</v>
      </c>
      <c r="AE419" s="8">
        <f t="shared" si="56"/>
        <v>1.1831627179282917E-2</v>
      </c>
      <c r="AF419" s="2">
        <f t="shared" si="57"/>
        <v>-3.3775614188708176E-4</v>
      </c>
      <c r="AG419" s="8">
        <f t="shared" si="58"/>
        <v>1.2169383321169999E-2</v>
      </c>
      <c r="AH419" s="7">
        <f t="shared" si="59"/>
        <v>-2.7754581557104648E-2</v>
      </c>
      <c r="AI419">
        <f t="shared" si="60"/>
        <v>2</v>
      </c>
      <c r="AJ419" s="10">
        <f t="shared" si="61"/>
        <v>4.8677533284679997E-2</v>
      </c>
    </row>
    <row r="420" spans="1:36" hidden="1" x14ac:dyDescent="0.25">
      <c r="A420" t="b">
        <v>0</v>
      </c>
      <c r="B420">
        <v>1000</v>
      </c>
      <c r="C420">
        <v>4.8677533284679997E-2</v>
      </c>
      <c r="D420" t="s">
        <v>52</v>
      </c>
      <c r="E420" t="b">
        <v>1</v>
      </c>
      <c r="F420" t="s">
        <v>53</v>
      </c>
      <c r="G420">
        <v>7.4999999999999997E-2</v>
      </c>
      <c r="H420">
        <v>0.5</v>
      </c>
      <c r="I420">
        <v>1E-4</v>
      </c>
      <c r="J420" t="b">
        <v>1</v>
      </c>
      <c r="K420">
        <v>2</v>
      </c>
      <c r="L420">
        <v>1500</v>
      </c>
      <c r="M420">
        <v>0.05</v>
      </c>
      <c r="N420">
        <v>0.154</v>
      </c>
      <c r="O420" t="s">
        <v>263</v>
      </c>
      <c r="P420" t="s">
        <v>266</v>
      </c>
      <c r="Q420" s="1">
        <v>-3.9114184072340397E-5</v>
      </c>
      <c r="R420" s="1">
        <v>1.64054758237482E-8</v>
      </c>
      <c r="S420">
        <v>1.17902336451895E-4</v>
      </c>
      <c r="T420">
        <v>-1.73751133848085E-4</v>
      </c>
      <c r="U420">
        <v>2.0107461847868402</v>
      </c>
      <c r="V420" s="1">
        <v>2.6189398536089001E-15</v>
      </c>
      <c r="W420" s="1">
        <v>4.5911683738733703E-5</v>
      </c>
      <c r="X420">
        <v>2.07914036101731</v>
      </c>
      <c r="Y420">
        <v>1.7445954307179501E-3</v>
      </c>
      <c r="Z420">
        <v>2.0671476925435198E-2</v>
      </c>
      <c r="AA420">
        <v>1.79236748389449E-3</v>
      </c>
      <c r="AB420" s="9">
        <f t="shared" ref="AB420:AB483" si="62">T420/S420/K420^2</f>
        <v>-0.3684217358978647</v>
      </c>
      <c r="AC420" s="9">
        <f t="shared" ref="AC420:AC483" si="63">(1+10*C420/K420^2)/(-3-3*C420/K420^2)</f>
        <v>-0.36940254325521221</v>
      </c>
      <c r="AD420" s="2">
        <f t="shared" ref="AD420:AD483" si="64">(AC420/AB420-1)</f>
        <v>2.6621864612770274E-3</v>
      </c>
      <c r="AE420" s="8">
        <f t="shared" ref="AE420:AE483" si="65">-(1+3*AB420)/(10+3*AB420)</f>
        <v>1.1834552704667968E-2</v>
      </c>
      <c r="AF420" s="2">
        <f t="shared" ref="AF420:AF483" si="66">(AE420-C420/K420^2)</f>
        <v>-3.3483061650203122E-4</v>
      </c>
      <c r="AG420" s="8">
        <f t="shared" ref="AG420:AG483" si="67">C420/K420^2</f>
        <v>1.2169383321169999E-2</v>
      </c>
      <c r="AH420" s="7">
        <f t="shared" ref="AH420:AH483" si="68">AF420/AG420</f>
        <v>-2.7514181094086831E-2</v>
      </c>
      <c r="AI420">
        <f t="shared" ref="AI420:AI483" si="69">K420</f>
        <v>2</v>
      </c>
      <c r="AJ420" s="10">
        <f t="shared" ref="AJ420:AJ483" si="70">C420</f>
        <v>4.8677533284679997E-2</v>
      </c>
    </row>
    <row r="421" spans="1:36" hidden="1" x14ac:dyDescent="0.25">
      <c r="A421" t="b">
        <v>0</v>
      </c>
      <c r="B421">
        <v>1000</v>
      </c>
      <c r="C421">
        <v>4.8677533284679997E-2</v>
      </c>
      <c r="D421" t="s">
        <v>52</v>
      </c>
      <c r="E421" t="b">
        <v>1</v>
      </c>
      <c r="F421" t="s">
        <v>53</v>
      </c>
      <c r="G421">
        <v>7.4999999999999997E-2</v>
      </c>
      <c r="H421">
        <v>0.5</v>
      </c>
      <c r="I421">
        <v>1E-4</v>
      </c>
      <c r="J421" t="b">
        <v>1</v>
      </c>
      <c r="K421">
        <v>2</v>
      </c>
      <c r="L421">
        <v>1500</v>
      </c>
      <c r="M421">
        <v>0.05</v>
      </c>
      <c r="N421">
        <v>0.154</v>
      </c>
      <c r="O421" t="s">
        <v>263</v>
      </c>
      <c r="P421" t="s">
        <v>267</v>
      </c>
      <c r="Q421" s="1">
        <v>-7.8228170926507998E-5</v>
      </c>
      <c r="R421" s="1">
        <v>3.2655236801920998E-8</v>
      </c>
      <c r="S421">
        <v>2.3580399790152401E-4</v>
      </c>
      <c r="T421">
        <v>-3.47498038263407E-4</v>
      </c>
      <c r="U421">
        <v>2.01068137373138</v>
      </c>
      <c r="V421" s="1">
        <v>2.5951793251866999E-15</v>
      </c>
      <c r="W421" s="1">
        <v>4.5346050728593197E-5</v>
      </c>
      <c r="X421">
        <v>2.0791323260594599</v>
      </c>
      <c r="Y421">
        <v>1.7436290211671601E-3</v>
      </c>
      <c r="Z421">
        <v>2.0669835314200101E-2</v>
      </c>
      <c r="AA421">
        <v>1.78373530165983E-3</v>
      </c>
      <c r="AB421" s="9">
        <f t="shared" si="62"/>
        <v>-0.3684183064704955</v>
      </c>
      <c r="AC421" s="9">
        <f t="shared" si="63"/>
        <v>-0.36940254325521221</v>
      </c>
      <c r="AD421" s="2">
        <f t="shared" si="64"/>
        <v>2.6715197573807803E-3</v>
      </c>
      <c r="AE421" s="8">
        <f t="shared" si="65"/>
        <v>1.18333823463013E-2</v>
      </c>
      <c r="AF421" s="2">
        <f t="shared" si="66"/>
        <v>-3.3600097486869915E-4</v>
      </c>
      <c r="AG421" s="8">
        <f t="shared" si="67"/>
        <v>1.2169383321169999E-2</v>
      </c>
      <c r="AH421" s="7">
        <f t="shared" si="68"/>
        <v>-2.7610353458435974E-2</v>
      </c>
      <c r="AI421">
        <f t="shared" si="69"/>
        <v>2</v>
      </c>
      <c r="AJ421" s="10">
        <f t="shared" si="70"/>
        <v>4.8677533284679997E-2</v>
      </c>
    </row>
    <row r="422" spans="1:36" hidden="1" x14ac:dyDescent="0.25">
      <c r="A422" t="b">
        <v>0</v>
      </c>
      <c r="B422">
        <v>1000</v>
      </c>
      <c r="C422">
        <v>4.8677533284679997E-2</v>
      </c>
      <c r="D422" t="s">
        <v>52</v>
      </c>
      <c r="E422" t="b">
        <v>1</v>
      </c>
      <c r="F422" t="s">
        <v>53</v>
      </c>
      <c r="G422">
        <v>7.4999999999999997E-2</v>
      </c>
      <c r="H422">
        <v>0.5</v>
      </c>
      <c r="I422">
        <v>1E-4</v>
      </c>
      <c r="J422" t="b">
        <v>1</v>
      </c>
      <c r="K422">
        <v>2</v>
      </c>
      <c r="L422">
        <v>1500</v>
      </c>
      <c r="M422">
        <v>0.05</v>
      </c>
      <c r="N422">
        <v>0.154</v>
      </c>
      <c r="O422" t="s">
        <v>264</v>
      </c>
      <c r="P422" t="s">
        <v>266</v>
      </c>
      <c r="Q422" s="1">
        <v>-1E-10</v>
      </c>
      <c r="R422" s="1">
        <v>3.5857858961197299E-12</v>
      </c>
      <c r="S422" s="1">
        <v>1.30292531774477E-17</v>
      </c>
      <c r="T422" s="1">
        <v>-1.6955194990498001E-16</v>
      </c>
      <c r="U422">
        <v>2.0106813763332401</v>
      </c>
      <c r="V422">
        <v>0</v>
      </c>
      <c r="W422">
        <v>6.8474547574345401E-2</v>
      </c>
      <c r="X422">
        <v>2</v>
      </c>
      <c r="Y422">
        <v>4.0005663739663298E-3</v>
      </c>
      <c r="Z422">
        <v>2.5000000000000001E-4</v>
      </c>
      <c r="AA422">
        <v>4.7933529333314797E-3</v>
      </c>
      <c r="AB422" s="9">
        <f t="shared" si="62"/>
        <v>-3.2532937152233909</v>
      </c>
      <c r="AC422" s="9">
        <f t="shared" si="63"/>
        <v>-0.36940254325521221</v>
      </c>
      <c r="AD422" s="2">
        <f t="shared" si="64"/>
        <v>-0.88645275355045927</v>
      </c>
      <c r="AE422" s="8">
        <f t="shared" si="65"/>
        <v>36.481438203255806</v>
      </c>
      <c r="AF422" s="2">
        <f t="shared" si="66"/>
        <v>36.469268819934634</v>
      </c>
      <c r="AG422" s="8">
        <f t="shared" si="67"/>
        <v>1.2169383321169999E-2</v>
      </c>
      <c r="AH422" s="7">
        <f t="shared" si="68"/>
        <v>2996.8050029694004</v>
      </c>
      <c r="AI422">
        <f t="shared" si="69"/>
        <v>2</v>
      </c>
      <c r="AJ422" s="10">
        <f t="shared" si="70"/>
        <v>4.8677533284679997E-2</v>
      </c>
    </row>
    <row r="423" spans="1:36" hidden="1" x14ac:dyDescent="0.25">
      <c r="A423" t="b">
        <v>0</v>
      </c>
      <c r="B423">
        <v>1000</v>
      </c>
      <c r="C423">
        <v>4.8677533284679997E-2</v>
      </c>
      <c r="D423" t="s">
        <v>52</v>
      </c>
      <c r="E423" t="b">
        <v>1</v>
      </c>
      <c r="F423" t="s">
        <v>53</v>
      </c>
      <c r="G423">
        <v>7.4999999999999997E-2</v>
      </c>
      <c r="H423">
        <v>0.5</v>
      </c>
      <c r="I423">
        <v>1E-4</v>
      </c>
      <c r="J423" t="b">
        <v>1</v>
      </c>
      <c r="K423">
        <v>2</v>
      </c>
      <c r="L423">
        <v>1500</v>
      </c>
      <c r="M423">
        <v>0.05</v>
      </c>
      <c r="N423">
        <v>0.154</v>
      </c>
      <c r="O423" t="s">
        <v>264</v>
      </c>
      <c r="P423" t="s">
        <v>267</v>
      </c>
      <c r="Q423" s="1">
        <v>-3.9113984304203597E-5</v>
      </c>
      <c r="R423" s="1">
        <v>1.63838883616632E-8</v>
      </c>
      <c r="S423">
        <v>1.17901661449627E-4</v>
      </c>
      <c r="T423">
        <v>-1.7374690441503699E-4</v>
      </c>
      <c r="U423">
        <v>2.0106165652777901</v>
      </c>
      <c r="V423" s="1">
        <v>2.6163598253257201E-15</v>
      </c>
      <c r="W423" s="1">
        <v>4.5242200269536501E-5</v>
      </c>
      <c r="X423">
        <v>2.0791239737557601</v>
      </c>
      <c r="Y423">
        <v>1.74631435799119E-3</v>
      </c>
      <c r="Z423">
        <v>2.06684724669709E-2</v>
      </c>
      <c r="AA423">
        <v>1.7899274371701601E-3</v>
      </c>
      <c r="AB423" s="9">
        <f t="shared" si="62"/>
        <v>-0.36841487702289427</v>
      </c>
      <c r="AC423" s="9">
        <f t="shared" si="63"/>
        <v>-0.36940254325521221</v>
      </c>
      <c r="AD423" s="2">
        <f t="shared" si="64"/>
        <v>2.6808532823079378E-3</v>
      </c>
      <c r="AE423" s="8">
        <f t="shared" si="65"/>
        <v>1.1832211983737517E-2</v>
      </c>
      <c r="AF423" s="2">
        <f t="shared" si="66"/>
        <v>-3.3717133743248195E-4</v>
      </c>
      <c r="AG423" s="8">
        <f t="shared" si="67"/>
        <v>1.2169383321169999E-2</v>
      </c>
      <c r="AH423" s="7">
        <f t="shared" si="68"/>
        <v>-2.7706526167676451E-2</v>
      </c>
      <c r="AI423">
        <f t="shared" si="69"/>
        <v>2</v>
      </c>
      <c r="AJ423" s="10">
        <f t="shared" si="70"/>
        <v>4.8677533284679997E-2</v>
      </c>
    </row>
    <row r="424" spans="1:36" hidden="1" x14ac:dyDescent="0.25">
      <c r="A424" t="b">
        <v>0</v>
      </c>
      <c r="B424">
        <v>1000</v>
      </c>
      <c r="C424">
        <v>4.8677533284679997E-2</v>
      </c>
      <c r="D424" t="s">
        <v>52</v>
      </c>
      <c r="E424" t="b">
        <v>1</v>
      </c>
      <c r="F424" t="s">
        <v>53</v>
      </c>
      <c r="G424">
        <v>7.4999999999999997E-2</v>
      </c>
      <c r="H424">
        <v>0.5</v>
      </c>
      <c r="I424">
        <v>1E-4</v>
      </c>
      <c r="J424" t="b">
        <v>1</v>
      </c>
      <c r="K424">
        <v>2</v>
      </c>
      <c r="L424">
        <v>1500</v>
      </c>
      <c r="M424">
        <v>0.05</v>
      </c>
      <c r="N424">
        <v>0.154</v>
      </c>
      <c r="O424" t="s">
        <v>265</v>
      </c>
      <c r="P424" t="s">
        <v>266</v>
      </c>
      <c r="Q424" s="1">
        <v>-5.6169931497499801E-6</v>
      </c>
      <c r="R424" s="1">
        <v>4.2972120442923801E-7</v>
      </c>
      <c r="S424" s="1">
        <v>1.6851368473292099E-5</v>
      </c>
      <c r="T424" s="1">
        <v>-2.4837106737573999E-5</v>
      </c>
      <c r="U424">
        <v>2.0106906407250098</v>
      </c>
      <c r="V424">
        <v>0</v>
      </c>
      <c r="W424">
        <v>5.3287401630721203E-3</v>
      </c>
      <c r="X424">
        <v>2</v>
      </c>
      <c r="Y424">
        <v>0.34647041246483201</v>
      </c>
      <c r="Z424">
        <v>2.5000000000000001E-4</v>
      </c>
      <c r="AA424">
        <v>0.30642656537141499</v>
      </c>
      <c r="AB424" s="9">
        <f t="shared" si="62"/>
        <v>-0.36847314176499341</v>
      </c>
      <c r="AC424" s="9">
        <f t="shared" si="63"/>
        <v>-0.36940254325521221</v>
      </c>
      <c r="AD424" s="2">
        <f t="shared" si="64"/>
        <v>2.5223045722326809E-3</v>
      </c>
      <c r="AE424" s="8">
        <f t="shared" si="65"/>
        <v>1.1852096274756207E-2</v>
      </c>
      <c r="AF424" s="2">
        <f t="shared" si="66"/>
        <v>-3.1728704641379238E-4</v>
      </c>
      <c r="AG424" s="8">
        <f t="shared" si="67"/>
        <v>1.2169383321169999E-2</v>
      </c>
      <c r="AH424" s="7">
        <f t="shared" si="68"/>
        <v>-2.6072565720058814E-2</v>
      </c>
      <c r="AI424">
        <f t="shared" si="69"/>
        <v>2</v>
      </c>
      <c r="AJ424" s="10">
        <f t="shared" si="70"/>
        <v>4.8677533284679997E-2</v>
      </c>
    </row>
    <row r="425" spans="1:36" hidden="1" x14ac:dyDescent="0.25">
      <c r="A425" t="b">
        <v>0</v>
      </c>
      <c r="B425">
        <v>1000</v>
      </c>
      <c r="C425">
        <v>4.8677533284679997E-2</v>
      </c>
      <c r="D425" t="s">
        <v>52</v>
      </c>
      <c r="E425" t="b">
        <v>1</v>
      </c>
      <c r="F425" t="s">
        <v>53</v>
      </c>
      <c r="G425">
        <v>7.4999999999999997E-2</v>
      </c>
      <c r="H425">
        <v>0.5</v>
      </c>
      <c r="I425">
        <v>1E-4</v>
      </c>
      <c r="J425" t="b">
        <v>1</v>
      </c>
      <c r="K425">
        <v>2</v>
      </c>
      <c r="L425">
        <v>1500</v>
      </c>
      <c r="M425">
        <v>0.05</v>
      </c>
      <c r="N425">
        <v>0.154</v>
      </c>
      <c r="O425" t="s">
        <v>265</v>
      </c>
      <c r="P425" t="s">
        <v>267</v>
      </c>
      <c r="Q425" s="1">
        <v>-4.4704391541260003E-5</v>
      </c>
      <c r="R425" s="1">
        <v>1.77193102343772E-8</v>
      </c>
      <c r="S425">
        <v>1.34753029922918E-4</v>
      </c>
      <c r="T425">
        <v>-1.9858401115278301E-4</v>
      </c>
      <c r="U425">
        <v>2.0106258296695501</v>
      </c>
      <c r="V425" s="1">
        <v>2.590255540365E-15</v>
      </c>
      <c r="W425" s="1">
        <v>3.7274832951369E-5</v>
      </c>
      <c r="X425">
        <v>2.0791391685185299</v>
      </c>
      <c r="Y425">
        <v>1.7347315925400301E-3</v>
      </c>
      <c r="Z425">
        <v>2.0673611251596901E-2</v>
      </c>
      <c r="AA425">
        <v>1.69185832366083E-3</v>
      </c>
      <c r="AB425" s="9">
        <f t="shared" si="62"/>
        <v>-0.36842216324630672</v>
      </c>
      <c r="AC425" s="9">
        <f t="shared" si="63"/>
        <v>-0.36940254325521221</v>
      </c>
      <c r="AD425" s="2">
        <f t="shared" si="64"/>
        <v>2.6610234310200376E-3</v>
      </c>
      <c r="AE425" s="8">
        <f t="shared" si="65"/>
        <v>1.1834698545772437E-2</v>
      </c>
      <c r="AF425" s="2">
        <f t="shared" si="66"/>
        <v>-3.3468477539756215E-4</v>
      </c>
      <c r="AG425" s="8">
        <f t="shared" si="67"/>
        <v>1.2169383321169999E-2</v>
      </c>
      <c r="AH425" s="7">
        <f t="shared" si="68"/>
        <v>-2.7502196829919941E-2</v>
      </c>
      <c r="AI425">
        <f t="shared" si="69"/>
        <v>2</v>
      </c>
      <c r="AJ425" s="10">
        <f t="shared" si="70"/>
        <v>4.8677533284679997E-2</v>
      </c>
    </row>
    <row r="426" spans="1:36" hidden="1" x14ac:dyDescent="0.25">
      <c r="A426" t="b">
        <v>0</v>
      </c>
      <c r="B426">
        <v>1000</v>
      </c>
      <c r="C426">
        <v>4.8677533284679997E-2</v>
      </c>
      <c r="D426" t="s">
        <v>52</v>
      </c>
      <c r="E426" t="b">
        <v>1</v>
      </c>
      <c r="F426" t="s">
        <v>53</v>
      </c>
      <c r="G426">
        <v>7.4999999999999997E-2</v>
      </c>
      <c r="H426">
        <v>0.5</v>
      </c>
      <c r="I426">
        <v>1E-4</v>
      </c>
      <c r="J426" t="b">
        <v>1</v>
      </c>
      <c r="K426">
        <v>2</v>
      </c>
      <c r="L426">
        <v>1500</v>
      </c>
      <c r="M426">
        <v>0.05</v>
      </c>
      <c r="N426">
        <v>0.154</v>
      </c>
      <c r="O426" t="s">
        <v>266</v>
      </c>
      <c r="P426" t="s">
        <v>267</v>
      </c>
      <c r="Q426" s="1">
        <v>-3.9113984116222903E-5</v>
      </c>
      <c r="R426" s="1">
        <v>1.6441041104353699E-8</v>
      </c>
      <c r="S426">
        <v>1.17901661449624E-4</v>
      </c>
      <c r="T426">
        <v>-1.73746904415061E-4</v>
      </c>
      <c r="U426">
        <v>2.0106165652847801</v>
      </c>
      <c r="V426" s="1">
        <v>2.5506747778797999E-15</v>
      </c>
      <c r="W426" s="1">
        <v>4.4607022073513802E-5</v>
      </c>
      <c r="X426">
        <v>2.0791239503330301</v>
      </c>
      <c r="Y426">
        <v>1.7504887861035201E-3</v>
      </c>
      <c r="Z426">
        <v>2.0668493012334699E-2</v>
      </c>
      <c r="AA426">
        <v>1.7960873823627899E-3</v>
      </c>
      <c r="AB426" s="9">
        <f t="shared" si="62"/>
        <v>-0.36841487702295456</v>
      </c>
      <c r="AC426" s="9">
        <f t="shared" si="63"/>
        <v>-0.36940254325521221</v>
      </c>
      <c r="AD426" s="2">
        <f t="shared" si="64"/>
        <v>2.6808532821440689E-3</v>
      </c>
      <c r="AE426" s="8">
        <f t="shared" si="65"/>
        <v>1.1832211983758103E-2</v>
      </c>
      <c r="AF426" s="2">
        <f t="shared" si="66"/>
        <v>-3.3717133741189599E-4</v>
      </c>
      <c r="AG426" s="8">
        <f t="shared" si="67"/>
        <v>1.2169383321169999E-2</v>
      </c>
      <c r="AH426" s="7">
        <f t="shared" si="68"/>
        <v>-2.7706526165984832E-2</v>
      </c>
      <c r="AI426">
        <f t="shared" si="69"/>
        <v>2</v>
      </c>
      <c r="AJ426" s="10">
        <f t="shared" si="70"/>
        <v>4.8677533284679997E-2</v>
      </c>
    </row>
    <row r="427" spans="1:36" hidden="1" x14ac:dyDescent="0.25">
      <c r="A427" t="b">
        <v>0</v>
      </c>
      <c r="B427">
        <v>1000</v>
      </c>
      <c r="C427">
        <v>9.7355066569360105E-2</v>
      </c>
      <c r="D427" t="s">
        <v>52</v>
      </c>
      <c r="E427" t="b">
        <v>1</v>
      </c>
      <c r="F427" t="s">
        <v>53</v>
      </c>
      <c r="G427">
        <v>7.4999999999999997E-2</v>
      </c>
      <c r="H427">
        <v>0.5</v>
      </c>
      <c r="I427">
        <v>1E-4</v>
      </c>
      <c r="J427" t="b">
        <v>1</v>
      </c>
      <c r="K427">
        <v>2</v>
      </c>
      <c r="L427">
        <v>1500</v>
      </c>
      <c r="M427">
        <v>0.1</v>
      </c>
      <c r="N427">
        <v>0.154</v>
      </c>
      <c r="O427" t="s">
        <v>268</v>
      </c>
      <c r="P427" t="s">
        <v>269</v>
      </c>
      <c r="Q427" s="1">
        <v>-5.6845005734897898E-6</v>
      </c>
      <c r="R427" s="1">
        <v>8.5656892176517802E-7</v>
      </c>
      <c r="S427" s="1">
        <v>1.70530630150863E-5</v>
      </c>
      <c r="T427" s="1">
        <v>-2.74484076049217E-5</v>
      </c>
      <c r="U427">
        <v>2.02162736658352</v>
      </c>
      <c r="V427">
        <v>0</v>
      </c>
      <c r="W427">
        <v>1.05600699341041E-2</v>
      </c>
      <c r="X427">
        <v>2</v>
      </c>
      <c r="Y427">
        <v>0.68259692676023298</v>
      </c>
      <c r="Z427">
        <v>2.5000000000000001E-4</v>
      </c>
      <c r="AA427">
        <v>0.60355656894181597</v>
      </c>
      <c r="AB427" s="9">
        <f t="shared" si="62"/>
        <v>-0.4023970295048897</v>
      </c>
      <c r="AC427" s="9">
        <f t="shared" si="63"/>
        <v>-0.4046147319338752</v>
      </c>
      <c r="AD427" s="2">
        <f t="shared" si="64"/>
        <v>5.511229622430891E-3</v>
      </c>
      <c r="AE427" s="8">
        <f t="shared" si="65"/>
        <v>2.356369740323052E-2</v>
      </c>
      <c r="AF427" s="2">
        <f t="shared" si="66"/>
        <v>-7.7506923910950626E-4</v>
      </c>
      <c r="AG427" s="8">
        <f t="shared" si="67"/>
        <v>2.4338766642340026E-2</v>
      </c>
      <c r="AH427" s="7">
        <f t="shared" si="68"/>
        <v>-3.1845049936145328E-2</v>
      </c>
      <c r="AI427">
        <f t="shared" si="69"/>
        <v>2</v>
      </c>
      <c r="AJ427" s="10">
        <f t="shared" si="70"/>
        <v>9.7355066569360105E-2</v>
      </c>
    </row>
    <row r="428" spans="1:36" hidden="1" x14ac:dyDescent="0.25">
      <c r="A428" t="b">
        <v>0</v>
      </c>
      <c r="B428">
        <v>1000</v>
      </c>
      <c r="C428">
        <v>9.7355066569360105E-2</v>
      </c>
      <c r="D428" t="s">
        <v>52</v>
      </c>
      <c r="E428" t="b">
        <v>1</v>
      </c>
      <c r="F428" t="s">
        <v>53</v>
      </c>
      <c r="G428">
        <v>7.4999999999999997E-2</v>
      </c>
      <c r="H428">
        <v>0.5</v>
      </c>
      <c r="I428">
        <v>1E-4</v>
      </c>
      <c r="J428" t="b">
        <v>1</v>
      </c>
      <c r="K428">
        <v>2</v>
      </c>
      <c r="L428">
        <v>1500</v>
      </c>
      <c r="M428">
        <v>0.1</v>
      </c>
      <c r="N428">
        <v>0.154</v>
      </c>
      <c r="O428" t="s">
        <v>268</v>
      </c>
      <c r="P428" t="s">
        <v>270</v>
      </c>
      <c r="Q428" s="1">
        <v>-4.4892534321132902E-5</v>
      </c>
      <c r="R428" s="1">
        <v>3.4625088488033698E-8</v>
      </c>
      <c r="S428">
        <v>1.3636457311751399E-4</v>
      </c>
      <c r="T428">
        <v>-2.1945580449768699E-4</v>
      </c>
      <c r="U428">
        <v>2.0215561312294898</v>
      </c>
      <c r="V428" s="1">
        <v>3.5708655983398497E-15</v>
      </c>
      <c r="W428" s="1">
        <v>7.7176390687124397E-5</v>
      </c>
      <c r="X428">
        <v>2.13508309190322</v>
      </c>
      <c r="Y428">
        <v>3.1993012756122699E-3</v>
      </c>
      <c r="Z428">
        <v>5.7270999982604001E-2</v>
      </c>
      <c r="AA428">
        <v>3.4058278449991199E-3</v>
      </c>
      <c r="AB428" s="9">
        <f t="shared" si="62"/>
        <v>-0.40233287774194848</v>
      </c>
      <c r="AC428" s="9">
        <f t="shared" si="63"/>
        <v>-0.4046147319338752</v>
      </c>
      <c r="AD428" s="2">
        <f t="shared" si="64"/>
        <v>5.6715578521282506E-3</v>
      </c>
      <c r="AE428" s="8">
        <f t="shared" si="65"/>
        <v>2.3541294330741827E-2</v>
      </c>
      <c r="AF428" s="2">
        <f t="shared" si="66"/>
        <v>-7.9747231159819909E-4</v>
      </c>
      <c r="AG428" s="8">
        <f t="shared" si="67"/>
        <v>2.4338766642340026E-2</v>
      </c>
      <c r="AH428" s="7">
        <f t="shared" si="68"/>
        <v>-3.2765518619620855E-2</v>
      </c>
      <c r="AI428">
        <f t="shared" si="69"/>
        <v>2</v>
      </c>
      <c r="AJ428" s="10">
        <f t="shared" si="70"/>
        <v>9.7355066569360105E-2</v>
      </c>
    </row>
    <row r="429" spans="1:36" hidden="1" x14ac:dyDescent="0.25">
      <c r="A429" t="b">
        <v>0</v>
      </c>
      <c r="B429">
        <v>1000</v>
      </c>
      <c r="C429">
        <v>9.7355066569360105E-2</v>
      </c>
      <c r="D429" t="s">
        <v>52</v>
      </c>
      <c r="E429" t="b">
        <v>1</v>
      </c>
      <c r="F429" t="s">
        <v>53</v>
      </c>
      <c r="G429">
        <v>7.4999999999999997E-2</v>
      </c>
      <c r="H429">
        <v>0.5</v>
      </c>
      <c r="I429">
        <v>1E-4</v>
      </c>
      <c r="J429" t="b">
        <v>1</v>
      </c>
      <c r="K429">
        <v>2</v>
      </c>
      <c r="L429">
        <v>1500</v>
      </c>
      <c r="M429">
        <v>0.1</v>
      </c>
      <c r="N429">
        <v>0.154</v>
      </c>
      <c r="O429" t="s">
        <v>268</v>
      </c>
      <c r="P429" t="s">
        <v>271</v>
      </c>
      <c r="Q429" s="1">
        <v>-5.6845005734157803E-6</v>
      </c>
      <c r="R429" s="1">
        <v>8.5295173506378504E-7</v>
      </c>
      <c r="S429" s="1">
        <v>1.7053063015088499E-5</v>
      </c>
      <c r="T429" s="1">
        <v>-2.7448407604995301E-5</v>
      </c>
      <c r="U429">
        <v>2.0216273665904199</v>
      </c>
      <c r="V429">
        <v>0</v>
      </c>
      <c r="W429">
        <v>1.0504703543740499E-2</v>
      </c>
      <c r="X429">
        <v>2</v>
      </c>
      <c r="Y429">
        <v>0.68184498620579004</v>
      </c>
      <c r="Z429">
        <v>2.5000000000000001E-4</v>
      </c>
      <c r="AA429">
        <v>0.60101225465757402</v>
      </c>
      <c r="AB429" s="9">
        <f t="shared" si="62"/>
        <v>-0.40239702950591677</v>
      </c>
      <c r="AC429" s="9">
        <f t="shared" si="63"/>
        <v>-0.4046147319338752</v>
      </c>
      <c r="AD429" s="2">
        <f t="shared" si="64"/>
        <v>5.5112296198642774E-3</v>
      </c>
      <c r="AE429" s="8">
        <f t="shared" si="65"/>
        <v>2.3563697403589209E-2</v>
      </c>
      <c r="AF429" s="2">
        <f t="shared" si="66"/>
        <v>-7.7506923875081749E-4</v>
      </c>
      <c r="AG429" s="8">
        <f t="shared" si="67"/>
        <v>2.4338766642340026E-2</v>
      </c>
      <c r="AH429" s="7">
        <f t="shared" si="68"/>
        <v>-3.1845049921407985E-2</v>
      </c>
      <c r="AI429">
        <f t="shared" si="69"/>
        <v>2</v>
      </c>
      <c r="AJ429" s="10">
        <f t="shared" si="70"/>
        <v>9.7355066569360105E-2</v>
      </c>
    </row>
    <row r="430" spans="1:36" hidden="1" x14ac:dyDescent="0.25">
      <c r="A430" t="b">
        <v>0</v>
      </c>
      <c r="B430">
        <v>1000</v>
      </c>
      <c r="C430">
        <v>9.7355066569360105E-2</v>
      </c>
      <c r="D430" t="s">
        <v>52</v>
      </c>
      <c r="E430" t="b">
        <v>1</v>
      </c>
      <c r="F430" t="s">
        <v>53</v>
      </c>
      <c r="G430">
        <v>7.4999999999999997E-2</v>
      </c>
      <c r="H430">
        <v>0.5</v>
      </c>
      <c r="I430">
        <v>1E-4</v>
      </c>
      <c r="J430" t="b">
        <v>1</v>
      </c>
      <c r="K430">
        <v>2</v>
      </c>
      <c r="L430">
        <v>1500</v>
      </c>
      <c r="M430">
        <v>0.1</v>
      </c>
      <c r="N430">
        <v>0.154</v>
      </c>
      <c r="O430" t="s">
        <v>268</v>
      </c>
      <c r="P430" t="s">
        <v>272</v>
      </c>
      <c r="Q430" s="1">
        <v>-1.1227979386838599E-5</v>
      </c>
      <c r="R430" s="1">
        <v>8.6108002913194998E-9</v>
      </c>
      <c r="S430" s="1">
        <v>3.4106098550665202E-5</v>
      </c>
      <c r="T430" s="1">
        <v>-5.4896644438922403E-5</v>
      </c>
      <c r="U430">
        <v>2.0216171834899899</v>
      </c>
      <c r="V430" s="1">
        <v>3.5702589267119599E-15</v>
      </c>
      <c r="W430" s="1">
        <v>7.4886556250575495E-5</v>
      </c>
      <c r="X430">
        <v>2.1352186261744701</v>
      </c>
      <c r="Y430">
        <v>3.19921176644822E-3</v>
      </c>
      <c r="Z430">
        <v>5.7309973148825501E-2</v>
      </c>
      <c r="AA430">
        <v>3.3853760578406999E-3</v>
      </c>
      <c r="AB430" s="9">
        <f t="shared" si="62"/>
        <v>-0.40239610195646158</v>
      </c>
      <c r="AC430" s="9">
        <f t="shared" si="63"/>
        <v>-0.4046147319338752</v>
      </c>
      <c r="AD430" s="2">
        <f t="shared" si="64"/>
        <v>5.5135473893175302E-3</v>
      </c>
      <c r="AE430" s="8">
        <f t="shared" si="65"/>
        <v>2.3563373477870266E-2</v>
      </c>
      <c r="AF430" s="2">
        <f t="shared" si="66"/>
        <v>-7.7539316446975995E-4</v>
      </c>
      <c r="AG430" s="8">
        <f t="shared" si="67"/>
        <v>2.4338766642340026E-2</v>
      </c>
      <c r="AH430" s="7">
        <f t="shared" si="68"/>
        <v>-3.1858358965522769E-2</v>
      </c>
      <c r="AI430">
        <f t="shared" si="69"/>
        <v>2</v>
      </c>
      <c r="AJ430" s="10">
        <f t="shared" si="70"/>
        <v>9.7355066569360105E-2</v>
      </c>
    </row>
    <row r="431" spans="1:36" hidden="1" x14ac:dyDescent="0.25">
      <c r="A431" t="b">
        <v>0</v>
      </c>
      <c r="B431">
        <v>1000</v>
      </c>
      <c r="C431">
        <v>9.7355066569360105E-2</v>
      </c>
      <c r="D431" t="s">
        <v>52</v>
      </c>
      <c r="E431" t="b">
        <v>1</v>
      </c>
      <c r="F431" t="s">
        <v>53</v>
      </c>
      <c r="G431">
        <v>7.4999999999999997E-2</v>
      </c>
      <c r="H431">
        <v>0.5</v>
      </c>
      <c r="I431">
        <v>1E-4</v>
      </c>
      <c r="J431" t="b">
        <v>1</v>
      </c>
      <c r="K431">
        <v>2</v>
      </c>
      <c r="L431">
        <v>1500</v>
      </c>
      <c r="M431">
        <v>0.1</v>
      </c>
      <c r="N431">
        <v>0.154</v>
      </c>
      <c r="O431" t="s">
        <v>268</v>
      </c>
      <c r="P431" t="s">
        <v>273</v>
      </c>
      <c r="Q431" s="1">
        <v>-5.0506460891633398E-5</v>
      </c>
      <c r="R431" s="1">
        <v>3.9542264974302098E-8</v>
      </c>
      <c r="S431">
        <v>1.5341741642047499E-4</v>
      </c>
      <c r="T431">
        <v>-2.4690284682081E-4</v>
      </c>
      <c r="U431">
        <v>2.0215459478817999</v>
      </c>
      <c r="V431" s="1">
        <v>3.6011429404796198E-15</v>
      </c>
      <c r="W431" s="1">
        <v>8.0280270035580401E-5</v>
      </c>
      <c r="X431">
        <v>2.1350944790306401</v>
      </c>
      <c r="Y431">
        <v>3.2085095332323602E-3</v>
      </c>
      <c r="Z431">
        <v>5.7274714908240001E-2</v>
      </c>
      <c r="AA431">
        <v>3.45959697994357E-3</v>
      </c>
      <c r="AB431" s="9">
        <f t="shared" si="62"/>
        <v>-0.4023383599162515</v>
      </c>
      <c r="AC431" s="9">
        <f t="shared" si="63"/>
        <v>-0.4046147319338752</v>
      </c>
      <c r="AD431" s="2">
        <f t="shared" si="64"/>
        <v>5.6578547919157174E-3</v>
      </c>
      <c r="AE431" s="8">
        <f t="shared" si="65"/>
        <v>2.3543208776802872E-2</v>
      </c>
      <c r="AF431" s="2">
        <f t="shared" si="66"/>
        <v>-7.9555786553715466E-4</v>
      </c>
      <c r="AG431" s="8">
        <f t="shared" si="67"/>
        <v>2.4338766642340026E-2</v>
      </c>
      <c r="AH431" s="7">
        <f t="shared" si="68"/>
        <v>-3.2686860317448961E-2</v>
      </c>
      <c r="AI431">
        <f t="shared" si="69"/>
        <v>2</v>
      </c>
      <c r="AJ431" s="10">
        <f t="shared" si="70"/>
        <v>9.7355066569360105E-2</v>
      </c>
    </row>
    <row r="432" spans="1:36" hidden="1" x14ac:dyDescent="0.25">
      <c r="A432" t="b">
        <v>0</v>
      </c>
      <c r="B432">
        <v>1000</v>
      </c>
      <c r="C432">
        <v>9.7355066569360105E-2</v>
      </c>
      <c r="D432" t="s">
        <v>52</v>
      </c>
      <c r="E432" t="b">
        <v>1</v>
      </c>
      <c r="F432" t="s">
        <v>53</v>
      </c>
      <c r="G432">
        <v>7.4999999999999997E-2</v>
      </c>
      <c r="H432">
        <v>0.5</v>
      </c>
      <c r="I432">
        <v>1E-4</v>
      </c>
      <c r="J432" t="b">
        <v>1</v>
      </c>
      <c r="K432">
        <v>2</v>
      </c>
      <c r="L432">
        <v>1500</v>
      </c>
      <c r="M432">
        <v>0.1</v>
      </c>
      <c r="N432">
        <v>0.154</v>
      </c>
      <c r="O432" t="s">
        <v>268</v>
      </c>
      <c r="P432" t="s">
        <v>274</v>
      </c>
      <c r="Q432" s="1">
        <v>-4.48925352879239E-5</v>
      </c>
      <c r="R432" s="1">
        <v>3.50128011088326E-8</v>
      </c>
      <c r="S432">
        <v>1.36364573117508E-4</v>
      </c>
      <c r="T432">
        <v>-2.1945580449728801E-4</v>
      </c>
      <c r="U432">
        <v>2.0215561312279098</v>
      </c>
      <c r="V432" s="1">
        <v>3.5370204892818099E-15</v>
      </c>
      <c r="W432" s="1">
        <v>7.7025181479016997E-5</v>
      </c>
      <c r="X432">
        <v>2.1350831956790102</v>
      </c>
      <c r="Y432">
        <v>3.2140297573280499E-3</v>
      </c>
      <c r="Z432">
        <v>5.7270904512973203E-2</v>
      </c>
      <c r="AA432">
        <v>3.4445766250312802E-3</v>
      </c>
      <c r="AB432" s="9">
        <f t="shared" si="62"/>
        <v>-0.40233287774123466</v>
      </c>
      <c r="AC432" s="9">
        <f t="shared" si="63"/>
        <v>-0.4046147319338752</v>
      </c>
      <c r="AD432" s="2">
        <f t="shared" si="64"/>
        <v>5.671557853912601E-3</v>
      </c>
      <c r="AE432" s="8">
        <f t="shared" si="65"/>
        <v>2.3541294330492533E-2</v>
      </c>
      <c r="AF432" s="2">
        <f t="shared" si="66"/>
        <v>-7.9747231184749273E-4</v>
      </c>
      <c r="AG432" s="8">
        <f t="shared" si="67"/>
        <v>2.4338766642340026E-2</v>
      </c>
      <c r="AH432" s="7">
        <f t="shared" si="68"/>
        <v>-3.2765518629863509E-2</v>
      </c>
      <c r="AI432">
        <f t="shared" si="69"/>
        <v>2</v>
      </c>
      <c r="AJ432" s="10">
        <f t="shared" si="70"/>
        <v>9.7355066569360105E-2</v>
      </c>
    </row>
    <row r="433" spans="1:36" hidden="1" x14ac:dyDescent="0.25">
      <c r="A433" t="b">
        <v>0</v>
      </c>
      <c r="B433">
        <v>1000</v>
      </c>
      <c r="C433">
        <v>9.7355066569360105E-2</v>
      </c>
      <c r="D433" t="s">
        <v>52</v>
      </c>
      <c r="E433" t="b">
        <v>1</v>
      </c>
      <c r="F433" t="s">
        <v>53</v>
      </c>
      <c r="G433">
        <v>7.4999999999999997E-2</v>
      </c>
      <c r="H433">
        <v>0.5</v>
      </c>
      <c r="I433">
        <v>1E-4</v>
      </c>
      <c r="J433" t="b">
        <v>1</v>
      </c>
      <c r="K433">
        <v>2</v>
      </c>
      <c r="L433">
        <v>1500</v>
      </c>
      <c r="M433">
        <v>0.1</v>
      </c>
      <c r="N433">
        <v>0.154</v>
      </c>
      <c r="O433" t="s">
        <v>268</v>
      </c>
      <c r="P433" t="s">
        <v>275</v>
      </c>
      <c r="Q433" s="1">
        <v>-5.0506460602314401E-5</v>
      </c>
      <c r="R433" s="1">
        <v>3.9424249093270199E-8</v>
      </c>
      <c r="S433">
        <v>1.5341741642047301E-4</v>
      </c>
      <c r="T433">
        <v>-2.4690284682060102E-4</v>
      </c>
      <c r="U433">
        <v>2.0215459478911599</v>
      </c>
      <c r="V433" s="1">
        <v>3.5486727636582001E-15</v>
      </c>
      <c r="W433" s="1">
        <v>8.0884528749862003E-5</v>
      </c>
      <c r="X433">
        <v>2.1350944508740199</v>
      </c>
      <c r="Y433">
        <v>3.2027856684916402E-3</v>
      </c>
      <c r="Z433">
        <v>5.7274740675851803E-2</v>
      </c>
      <c r="AA433">
        <v>3.44941057299719E-3</v>
      </c>
      <c r="AB433" s="9">
        <f t="shared" si="62"/>
        <v>-0.40233835991591615</v>
      </c>
      <c r="AC433" s="9">
        <f t="shared" si="63"/>
        <v>-0.4046147319338752</v>
      </c>
      <c r="AD433" s="2">
        <f t="shared" si="64"/>
        <v>5.6578547927539358E-3</v>
      </c>
      <c r="AE433" s="8">
        <f t="shared" si="65"/>
        <v>2.3543208776685785E-2</v>
      </c>
      <c r="AF433" s="2">
        <f t="shared" si="66"/>
        <v>-7.9555786565424155E-4</v>
      </c>
      <c r="AG433" s="8">
        <f t="shared" si="67"/>
        <v>2.4338766642340026E-2</v>
      </c>
      <c r="AH433" s="7">
        <f t="shared" si="68"/>
        <v>-3.2686860322259675E-2</v>
      </c>
      <c r="AI433">
        <f t="shared" si="69"/>
        <v>2</v>
      </c>
      <c r="AJ433" s="10">
        <f t="shared" si="70"/>
        <v>9.7355066569360105E-2</v>
      </c>
    </row>
    <row r="434" spans="1:36" hidden="1" x14ac:dyDescent="0.25">
      <c r="A434" t="b">
        <v>0</v>
      </c>
      <c r="B434">
        <v>1000</v>
      </c>
      <c r="C434">
        <v>9.7355066569360105E-2</v>
      </c>
      <c r="D434" t="s">
        <v>52</v>
      </c>
      <c r="E434" t="b">
        <v>1</v>
      </c>
      <c r="F434" t="s">
        <v>53</v>
      </c>
      <c r="G434">
        <v>7.4999999999999997E-2</v>
      </c>
      <c r="H434">
        <v>0.5</v>
      </c>
      <c r="I434">
        <v>1E-4</v>
      </c>
      <c r="J434" t="b">
        <v>1</v>
      </c>
      <c r="K434">
        <v>2</v>
      </c>
      <c r="L434">
        <v>1500</v>
      </c>
      <c r="M434">
        <v>0.1</v>
      </c>
      <c r="N434">
        <v>0.154</v>
      </c>
      <c r="O434" t="s">
        <v>268</v>
      </c>
      <c r="P434" t="s">
        <v>276</v>
      </c>
      <c r="Q434" s="1">
        <v>-8.9784526246645307E-5</v>
      </c>
      <c r="R434" s="1">
        <v>7.0022036688622197E-8</v>
      </c>
      <c r="S434">
        <v>2.72727389529745E-4</v>
      </c>
      <c r="T434">
        <v>-4.3890069385470301E-4</v>
      </c>
      <c r="U434">
        <v>2.0214747103376398</v>
      </c>
      <c r="V434" s="1">
        <v>3.59764014569829E-15</v>
      </c>
      <c r="W434" s="1">
        <v>7.6197647522640896E-5</v>
      </c>
      <c r="X434">
        <v>2.1350652249165001</v>
      </c>
      <c r="Y434">
        <v>3.2172262561926302E-3</v>
      </c>
      <c r="Z434">
        <v>5.7268241724381899E-2</v>
      </c>
      <c r="AA434">
        <v>3.4439307359084102E-3</v>
      </c>
      <c r="AB434" s="9">
        <f t="shared" si="62"/>
        <v>-0.40232546372724542</v>
      </c>
      <c r="AC434" s="9">
        <f t="shared" si="63"/>
        <v>-0.4046147319338752</v>
      </c>
      <c r="AD434" s="2">
        <f t="shared" si="64"/>
        <v>5.6900902702539113E-3</v>
      </c>
      <c r="AE434" s="8">
        <f t="shared" si="65"/>
        <v>2.3538705272457803E-2</v>
      </c>
      <c r="AF434" s="2">
        <f t="shared" si="66"/>
        <v>-8.0006136988222329E-4</v>
      </c>
      <c r="AG434" s="8">
        <f t="shared" si="67"/>
        <v>2.4338766642340026E-2</v>
      </c>
      <c r="AH434" s="7">
        <f t="shared" si="68"/>
        <v>-3.2871894522807345E-2</v>
      </c>
      <c r="AI434">
        <f t="shared" si="69"/>
        <v>2</v>
      </c>
      <c r="AJ434" s="10">
        <f t="shared" si="70"/>
        <v>9.7355066569360105E-2</v>
      </c>
    </row>
    <row r="435" spans="1:36" hidden="1" x14ac:dyDescent="0.25">
      <c r="A435" t="b">
        <v>0</v>
      </c>
      <c r="B435">
        <v>1000</v>
      </c>
      <c r="C435">
        <v>9.7355066569360105E-2</v>
      </c>
      <c r="D435" t="s">
        <v>52</v>
      </c>
      <c r="E435" t="b">
        <v>1</v>
      </c>
      <c r="F435" t="s">
        <v>53</v>
      </c>
      <c r="G435">
        <v>7.4999999999999997E-2</v>
      </c>
      <c r="H435">
        <v>0.5</v>
      </c>
      <c r="I435">
        <v>1E-4</v>
      </c>
      <c r="J435" t="b">
        <v>1</v>
      </c>
      <c r="K435">
        <v>2</v>
      </c>
      <c r="L435">
        <v>1500</v>
      </c>
      <c r="M435">
        <v>0.1</v>
      </c>
      <c r="N435">
        <v>0.154</v>
      </c>
      <c r="O435" t="s">
        <v>269</v>
      </c>
      <c r="P435" t="s">
        <v>270</v>
      </c>
      <c r="Q435" s="1">
        <v>-3.9278540148356102E-5</v>
      </c>
      <c r="R435" s="1">
        <v>3.2793798656021099E-8</v>
      </c>
      <c r="S435">
        <v>1.1931151010242101E-4</v>
      </c>
      <c r="T435">
        <v>-1.9200739689255401E-4</v>
      </c>
      <c r="U435">
        <v>2.02154594818558</v>
      </c>
      <c r="V435" s="1">
        <v>3.5742920993644404E-15</v>
      </c>
      <c r="W435" s="1">
        <v>9.3959340190444201E-5</v>
      </c>
      <c r="X435">
        <v>2.13506337064055</v>
      </c>
      <c r="Y435">
        <v>3.2493429265384199E-3</v>
      </c>
      <c r="Z435">
        <v>5.7265407354887103E-2</v>
      </c>
      <c r="AA435">
        <v>3.6995606174674801E-3</v>
      </c>
      <c r="AB435" s="9">
        <f t="shared" si="62"/>
        <v>-0.40232370860055416</v>
      </c>
      <c r="AC435" s="9">
        <f t="shared" si="63"/>
        <v>-0.4046147319338752</v>
      </c>
      <c r="AD435" s="2">
        <f t="shared" si="64"/>
        <v>5.6944775670570991E-3</v>
      </c>
      <c r="AE435" s="8">
        <f t="shared" si="65"/>
        <v>2.3538092364166385E-2</v>
      </c>
      <c r="AF435" s="2">
        <f t="shared" si="66"/>
        <v>-8.0067427817364159E-4</v>
      </c>
      <c r="AG435" s="8">
        <f t="shared" si="67"/>
        <v>2.4338766642340026E-2</v>
      </c>
      <c r="AH435" s="7">
        <f t="shared" si="68"/>
        <v>-3.2897076911891601E-2</v>
      </c>
      <c r="AI435">
        <f t="shared" si="69"/>
        <v>2</v>
      </c>
      <c r="AJ435" s="10">
        <f t="shared" si="70"/>
        <v>9.7355066569360105E-2</v>
      </c>
    </row>
    <row r="436" spans="1:36" hidden="1" x14ac:dyDescent="0.25">
      <c r="A436" t="b">
        <v>0</v>
      </c>
      <c r="B436">
        <v>1000</v>
      </c>
      <c r="C436">
        <v>9.7355066569360105E-2</v>
      </c>
      <c r="D436" t="s">
        <v>52</v>
      </c>
      <c r="E436" t="b">
        <v>1</v>
      </c>
      <c r="F436" t="s">
        <v>53</v>
      </c>
      <c r="G436">
        <v>7.4999999999999997E-2</v>
      </c>
      <c r="H436">
        <v>0.5</v>
      </c>
      <c r="I436">
        <v>1E-4</v>
      </c>
      <c r="J436" t="b">
        <v>1</v>
      </c>
      <c r="K436">
        <v>2</v>
      </c>
      <c r="L436">
        <v>1500</v>
      </c>
      <c r="M436">
        <v>0.1</v>
      </c>
      <c r="N436">
        <v>0.154</v>
      </c>
      <c r="O436" t="s">
        <v>269</v>
      </c>
      <c r="P436" t="s">
        <v>272</v>
      </c>
      <c r="Q436" s="1">
        <v>-5.6844914269419197E-6</v>
      </c>
      <c r="R436" s="1">
        <v>8.5349292249874699E-7</v>
      </c>
      <c r="S436" s="1">
        <v>1.70530355355765E-5</v>
      </c>
      <c r="T436" s="1">
        <v>-2.7448236833815399E-5</v>
      </c>
      <c r="U436">
        <v>2.0216070004460902</v>
      </c>
      <c r="V436">
        <v>0</v>
      </c>
      <c r="W436">
        <v>1.05584022118578E-2</v>
      </c>
      <c r="X436">
        <v>2</v>
      </c>
      <c r="Y436">
        <v>0.68186587223560402</v>
      </c>
      <c r="Z436">
        <v>2.5000000000000001E-4</v>
      </c>
      <c r="AA436">
        <v>0.60139298614047398</v>
      </c>
      <c r="AB436" s="9">
        <f t="shared" si="62"/>
        <v>-0.4023951744038789</v>
      </c>
      <c r="AC436" s="9">
        <f t="shared" si="63"/>
        <v>-0.4046147319338752</v>
      </c>
      <c r="AD436" s="2">
        <f t="shared" si="64"/>
        <v>5.5158651772710954E-3</v>
      </c>
      <c r="AE436" s="8">
        <f t="shared" si="65"/>
        <v>2.3563049551264113E-2</v>
      </c>
      <c r="AF436" s="2">
        <f t="shared" si="66"/>
        <v>-7.7571709107591286E-4</v>
      </c>
      <c r="AG436" s="8">
        <f t="shared" si="67"/>
        <v>2.4338766642340026E-2</v>
      </c>
      <c r="AH436" s="7">
        <f t="shared" si="68"/>
        <v>-3.1871668046090124E-2</v>
      </c>
      <c r="AI436">
        <f t="shared" si="69"/>
        <v>2</v>
      </c>
      <c r="AJ436" s="10">
        <f t="shared" si="70"/>
        <v>9.7355066569360105E-2</v>
      </c>
    </row>
    <row r="437" spans="1:36" hidden="1" x14ac:dyDescent="0.25">
      <c r="A437" t="b">
        <v>0</v>
      </c>
      <c r="B437">
        <v>1000</v>
      </c>
      <c r="C437">
        <v>9.7355066569360105E-2</v>
      </c>
      <c r="D437" t="s">
        <v>52</v>
      </c>
      <c r="E437" t="b">
        <v>1</v>
      </c>
      <c r="F437" t="s">
        <v>53</v>
      </c>
      <c r="G437">
        <v>7.4999999999999997E-2</v>
      </c>
      <c r="H437">
        <v>0.5</v>
      </c>
      <c r="I437">
        <v>1E-4</v>
      </c>
      <c r="J437" t="b">
        <v>1</v>
      </c>
      <c r="K437">
        <v>2</v>
      </c>
      <c r="L437">
        <v>1500</v>
      </c>
      <c r="M437">
        <v>0.1</v>
      </c>
      <c r="N437">
        <v>0.154</v>
      </c>
      <c r="O437" t="s">
        <v>269</v>
      </c>
      <c r="P437" t="s">
        <v>273</v>
      </c>
      <c r="Q437" s="1">
        <v>-4.4892464834152401E-5</v>
      </c>
      <c r="R437" s="1">
        <v>3.4656861142869798E-8</v>
      </c>
      <c r="S437">
        <v>1.3636435340539201E-4</v>
      </c>
      <c r="T437">
        <v>-2.1945443921605901E-4</v>
      </c>
      <c r="U437">
        <v>2.0215357648379002</v>
      </c>
      <c r="V437" s="1">
        <v>3.56465809528544E-15</v>
      </c>
      <c r="W437" s="1">
        <v>7.5965855084486096E-5</v>
      </c>
      <c r="X437">
        <v>2.1350784462239698</v>
      </c>
      <c r="Y437">
        <v>3.2044591930525E-3</v>
      </c>
      <c r="Z437">
        <v>5.7270471819255202E-2</v>
      </c>
      <c r="AA437">
        <v>3.40829915208756E-3</v>
      </c>
      <c r="AB437" s="9">
        <f t="shared" si="62"/>
        <v>-0.40233102298305901</v>
      </c>
      <c r="AC437" s="9">
        <f t="shared" si="63"/>
        <v>-0.4046147319338752</v>
      </c>
      <c r="AD437" s="2">
        <f t="shared" si="64"/>
        <v>5.6761940301888192E-3</v>
      </c>
      <c r="AE437" s="8">
        <f t="shared" si="65"/>
        <v>2.35406466266074E-2</v>
      </c>
      <c r="AF437" s="2">
        <f t="shared" si="66"/>
        <v>-7.9812001573262639E-4</v>
      </c>
      <c r="AG437" s="8">
        <f t="shared" si="67"/>
        <v>2.4338766642340026E-2</v>
      </c>
      <c r="AH437" s="7">
        <f t="shared" si="68"/>
        <v>-3.2792130655635063E-2</v>
      </c>
      <c r="AI437">
        <f t="shared" si="69"/>
        <v>2</v>
      </c>
      <c r="AJ437" s="10">
        <f t="shared" si="70"/>
        <v>9.7355066569360105E-2</v>
      </c>
    </row>
    <row r="438" spans="1:36" hidden="1" x14ac:dyDescent="0.25">
      <c r="A438" t="b">
        <v>0</v>
      </c>
      <c r="B438">
        <v>1000</v>
      </c>
      <c r="C438">
        <v>9.7355066569360105E-2</v>
      </c>
      <c r="D438" t="s">
        <v>52</v>
      </c>
      <c r="E438" t="b">
        <v>1</v>
      </c>
      <c r="F438" t="s">
        <v>53</v>
      </c>
      <c r="G438">
        <v>7.4999999999999997E-2</v>
      </c>
      <c r="H438">
        <v>0.5</v>
      </c>
      <c r="I438">
        <v>1E-4</v>
      </c>
      <c r="J438" t="b">
        <v>1</v>
      </c>
      <c r="K438">
        <v>2</v>
      </c>
      <c r="L438">
        <v>1500</v>
      </c>
      <c r="M438">
        <v>0.1</v>
      </c>
      <c r="N438">
        <v>0.154</v>
      </c>
      <c r="O438" t="s">
        <v>269</v>
      </c>
      <c r="P438" t="s">
        <v>274</v>
      </c>
      <c r="Q438" s="1">
        <v>-3.9278539240575999E-5</v>
      </c>
      <c r="R438" s="1">
        <v>3.2883994491274302E-8</v>
      </c>
      <c r="S438">
        <v>1.19311510102413E-4</v>
      </c>
      <c r="T438">
        <v>-1.9200739689197299E-4</v>
      </c>
      <c r="U438">
        <v>2.0215459481839999</v>
      </c>
      <c r="V438" s="1">
        <v>3.5595691265388599E-15</v>
      </c>
      <c r="W438" s="1">
        <v>9.1371595838554402E-5</v>
      </c>
      <c r="X438">
        <v>2.1350632594215999</v>
      </c>
      <c r="Y438">
        <v>3.26519881735366E-3</v>
      </c>
      <c r="Z438">
        <v>5.7265509454102297E-2</v>
      </c>
      <c r="AA438">
        <v>3.7083163554484798E-3</v>
      </c>
      <c r="AB438" s="9">
        <f t="shared" si="62"/>
        <v>-0.40232370859936373</v>
      </c>
      <c r="AC438" s="9">
        <f t="shared" si="63"/>
        <v>-0.4046147319338752</v>
      </c>
      <c r="AD438" s="2">
        <f t="shared" si="64"/>
        <v>5.6944775700327188E-3</v>
      </c>
      <c r="AE438" s="8">
        <f t="shared" si="65"/>
        <v>2.3538092363750693E-2</v>
      </c>
      <c r="AF438" s="2">
        <f t="shared" si="66"/>
        <v>-8.0067427858933338E-4</v>
      </c>
      <c r="AG438" s="8">
        <f t="shared" si="67"/>
        <v>2.4338766642340026E-2</v>
      </c>
      <c r="AH438" s="7">
        <f t="shared" si="68"/>
        <v>-3.2897076928971015E-2</v>
      </c>
      <c r="AI438">
        <f t="shared" si="69"/>
        <v>2</v>
      </c>
      <c r="AJ438" s="10">
        <f t="shared" si="70"/>
        <v>9.7355066569360105E-2</v>
      </c>
    </row>
    <row r="439" spans="1:36" hidden="1" x14ac:dyDescent="0.25">
      <c r="A439" t="b">
        <v>0</v>
      </c>
      <c r="B439">
        <v>1000</v>
      </c>
      <c r="C439">
        <v>9.7355066569360105E-2</v>
      </c>
      <c r="D439" t="s">
        <v>52</v>
      </c>
      <c r="E439" t="b">
        <v>1</v>
      </c>
      <c r="F439" t="s">
        <v>53</v>
      </c>
      <c r="G439">
        <v>7.4999999999999997E-2</v>
      </c>
      <c r="H439">
        <v>0.5</v>
      </c>
      <c r="I439">
        <v>1E-4</v>
      </c>
      <c r="J439" t="b">
        <v>1</v>
      </c>
      <c r="K439">
        <v>2</v>
      </c>
      <c r="L439">
        <v>1500</v>
      </c>
      <c r="M439">
        <v>0.1</v>
      </c>
      <c r="N439">
        <v>0.154</v>
      </c>
      <c r="O439" t="s">
        <v>269</v>
      </c>
      <c r="P439" t="s">
        <v>275</v>
      </c>
      <c r="Q439" s="1">
        <v>-4.4892467656160802E-5</v>
      </c>
      <c r="R439" s="1">
        <v>3.52611378351208E-8</v>
      </c>
      <c r="S439">
        <v>1.3636435340539101E-4</v>
      </c>
      <c r="T439">
        <v>-2.19454439215897E-4</v>
      </c>
      <c r="U439">
        <v>2.0215357648472598</v>
      </c>
      <c r="V439" s="1">
        <v>3.5447388047966998E-15</v>
      </c>
      <c r="W439" s="1">
        <v>7.6430799397553901E-5</v>
      </c>
      <c r="X439">
        <v>2.1350787481510101</v>
      </c>
      <c r="Y439">
        <v>3.2263333460796901E-3</v>
      </c>
      <c r="Z439">
        <v>5.7270194228923897E-2</v>
      </c>
      <c r="AA439">
        <v>3.4690231577106899E-3</v>
      </c>
      <c r="AB439" s="9">
        <f t="shared" si="62"/>
        <v>-0.40233102298276496</v>
      </c>
      <c r="AC439" s="9">
        <f t="shared" si="63"/>
        <v>-0.4046147319338752</v>
      </c>
      <c r="AD439" s="2">
        <f t="shared" si="64"/>
        <v>5.6761940309237868E-3</v>
      </c>
      <c r="AE439" s="8">
        <f t="shared" si="65"/>
        <v>2.3540646626504708E-2</v>
      </c>
      <c r="AF439" s="2">
        <f t="shared" si="66"/>
        <v>-7.9812001583531855E-4</v>
      </c>
      <c r="AG439" s="8">
        <f t="shared" si="67"/>
        <v>2.4338766642340026E-2</v>
      </c>
      <c r="AH439" s="7">
        <f t="shared" si="68"/>
        <v>-3.2792130659854347E-2</v>
      </c>
      <c r="AI439">
        <f t="shared" si="69"/>
        <v>2</v>
      </c>
      <c r="AJ439" s="10">
        <f t="shared" si="70"/>
        <v>9.7355066569360105E-2</v>
      </c>
    </row>
    <row r="440" spans="1:36" hidden="1" x14ac:dyDescent="0.25">
      <c r="A440" t="b">
        <v>0</v>
      </c>
      <c r="B440">
        <v>1000</v>
      </c>
      <c r="C440">
        <v>9.7355066569360105E-2</v>
      </c>
      <c r="D440" t="s">
        <v>52</v>
      </c>
      <c r="E440" t="b">
        <v>1</v>
      </c>
      <c r="F440" t="s">
        <v>53</v>
      </c>
      <c r="G440">
        <v>7.4999999999999997E-2</v>
      </c>
      <c r="H440">
        <v>0.5</v>
      </c>
      <c r="I440">
        <v>1E-4</v>
      </c>
      <c r="J440" t="b">
        <v>1</v>
      </c>
      <c r="K440">
        <v>2</v>
      </c>
      <c r="L440">
        <v>1500</v>
      </c>
      <c r="M440">
        <v>0.1</v>
      </c>
      <c r="N440">
        <v>0.154</v>
      </c>
      <c r="O440" t="s">
        <v>269</v>
      </c>
      <c r="P440" t="s">
        <v>276</v>
      </c>
      <c r="Q440" s="1">
        <v>-8.4170532659924498E-5</v>
      </c>
      <c r="R440" s="1">
        <v>6.5781163683343295E-8</v>
      </c>
      <c r="S440">
        <v>2.5567432651466102E-4</v>
      </c>
      <c r="T440">
        <v>-4.1145228624987502E-4</v>
      </c>
      <c r="U440">
        <v>2.0214645272937299</v>
      </c>
      <c r="V440" s="1">
        <v>3.54115479264259E-15</v>
      </c>
      <c r="W440" s="1">
        <v>7.7239933638593896E-5</v>
      </c>
      <c r="X440">
        <v>2.1350548632453399</v>
      </c>
      <c r="Y440">
        <v>3.2166674090566101E-3</v>
      </c>
      <c r="Z440">
        <v>5.7265417462994003E-2</v>
      </c>
      <c r="AA440">
        <v>3.45175423916581E-3</v>
      </c>
      <c r="AB440" s="9">
        <f t="shared" si="62"/>
        <v>-0.40232069040600493</v>
      </c>
      <c r="AC440" s="9">
        <f t="shared" si="63"/>
        <v>-0.4046147319338752</v>
      </c>
      <c r="AD440" s="2">
        <f t="shared" si="64"/>
        <v>5.7020222488564087E-3</v>
      </c>
      <c r="AE440" s="8">
        <f t="shared" si="65"/>
        <v>2.353703838130531E-2</v>
      </c>
      <c r="AF440" s="2">
        <f t="shared" si="66"/>
        <v>-8.0172826103471623E-4</v>
      </c>
      <c r="AG440" s="8">
        <f t="shared" si="67"/>
        <v>2.4338766642340026E-2</v>
      </c>
      <c r="AH440" s="7">
        <f t="shared" si="68"/>
        <v>-3.2940381606684194E-2</v>
      </c>
      <c r="AI440">
        <f t="shared" si="69"/>
        <v>2</v>
      </c>
      <c r="AJ440" s="10">
        <f t="shared" si="70"/>
        <v>9.7355066569360105E-2</v>
      </c>
    </row>
    <row r="441" spans="1:36" hidden="1" x14ac:dyDescent="0.25">
      <c r="A441" t="b">
        <v>0</v>
      </c>
      <c r="B441">
        <v>1000</v>
      </c>
      <c r="C441">
        <v>9.7355066569360105E-2</v>
      </c>
      <c r="D441" t="s">
        <v>52</v>
      </c>
      <c r="E441" t="b">
        <v>1</v>
      </c>
      <c r="F441" t="s">
        <v>53</v>
      </c>
      <c r="G441">
        <v>7.4999999999999997E-2</v>
      </c>
      <c r="H441">
        <v>0.5</v>
      </c>
      <c r="I441">
        <v>1E-4</v>
      </c>
      <c r="J441" t="b">
        <v>1</v>
      </c>
      <c r="K441">
        <v>2</v>
      </c>
      <c r="L441">
        <v>1500</v>
      </c>
      <c r="M441">
        <v>0.1</v>
      </c>
      <c r="N441">
        <v>0.154</v>
      </c>
      <c r="O441" t="s">
        <v>270</v>
      </c>
      <c r="P441" t="s">
        <v>273</v>
      </c>
      <c r="Q441" s="1">
        <v>-5.6844274427738903E-6</v>
      </c>
      <c r="R441" s="1">
        <v>8.4978917851398004E-7</v>
      </c>
      <c r="S441" s="1">
        <v>1.70528433029643E-5</v>
      </c>
      <c r="T441" s="1">
        <v>-2.74470423231146E-5</v>
      </c>
      <c r="U441">
        <v>2.0214645294838598</v>
      </c>
      <c r="V441">
        <v>0</v>
      </c>
      <c r="W441">
        <v>1.04825745534166E-2</v>
      </c>
      <c r="X441">
        <v>2</v>
      </c>
      <c r="Y441">
        <v>0.68109529981458805</v>
      </c>
      <c r="Z441">
        <v>2.5000000000000001E-4</v>
      </c>
      <c r="AA441">
        <v>0.59879533580082001</v>
      </c>
      <c r="AB441" s="9">
        <f t="shared" si="62"/>
        <v>-0.40238219860883073</v>
      </c>
      <c r="AC441" s="9">
        <f t="shared" si="63"/>
        <v>-0.4046147319338752</v>
      </c>
      <c r="AD441" s="2">
        <f t="shared" si="64"/>
        <v>5.5482904879069483E-3</v>
      </c>
      <c r="AE441" s="8">
        <f t="shared" si="65"/>
        <v>2.3558518071979971E-2</v>
      </c>
      <c r="AF441" s="2">
        <f t="shared" si="66"/>
        <v>-7.8024857036005507E-4</v>
      </c>
      <c r="AG441" s="8">
        <f t="shared" si="67"/>
        <v>2.4338766642340026E-2</v>
      </c>
      <c r="AH441" s="7">
        <f t="shared" si="68"/>
        <v>-3.2057851649833595E-2</v>
      </c>
      <c r="AI441">
        <f t="shared" si="69"/>
        <v>2</v>
      </c>
      <c r="AJ441" s="10">
        <f t="shared" si="70"/>
        <v>9.7355066569360105E-2</v>
      </c>
    </row>
    <row r="442" spans="1:36" hidden="1" x14ac:dyDescent="0.25">
      <c r="A442" t="b">
        <v>0</v>
      </c>
      <c r="B442">
        <v>1000</v>
      </c>
      <c r="C442">
        <v>9.7355066569360105E-2</v>
      </c>
      <c r="D442" t="s">
        <v>52</v>
      </c>
      <c r="E442" t="b">
        <v>1</v>
      </c>
      <c r="F442" t="s">
        <v>53</v>
      </c>
      <c r="G442">
        <v>7.4999999999999997E-2</v>
      </c>
      <c r="H442">
        <v>0.5</v>
      </c>
      <c r="I442">
        <v>1E-4</v>
      </c>
      <c r="J442" t="b">
        <v>1</v>
      </c>
      <c r="K442">
        <v>2</v>
      </c>
      <c r="L442">
        <v>1500</v>
      </c>
      <c r="M442">
        <v>0.1</v>
      </c>
      <c r="N442">
        <v>0.154</v>
      </c>
      <c r="O442" t="s">
        <v>270</v>
      </c>
      <c r="P442" t="s">
        <v>275</v>
      </c>
      <c r="Q442" s="1">
        <v>-5.68442744269988E-6</v>
      </c>
      <c r="R442" s="1">
        <v>8.5182918006418997E-7</v>
      </c>
      <c r="S442" s="1">
        <v>1.7052843302958801E-5</v>
      </c>
      <c r="T442" s="1">
        <v>-2.7447042322883299E-5</v>
      </c>
      <c r="U442">
        <v>2.0214645294932301</v>
      </c>
      <c r="V442">
        <v>0</v>
      </c>
      <c r="W442">
        <v>1.07045942554154E-2</v>
      </c>
      <c r="X442">
        <v>2</v>
      </c>
      <c r="Y442">
        <v>0.68120320825727498</v>
      </c>
      <c r="Z442">
        <v>2.5000000000000001E-4</v>
      </c>
      <c r="AA442">
        <v>0.60023229733051697</v>
      </c>
      <c r="AB442" s="9">
        <f t="shared" si="62"/>
        <v>-0.40238219860556956</v>
      </c>
      <c r="AC442" s="9">
        <f t="shared" si="63"/>
        <v>-0.4046147319338752</v>
      </c>
      <c r="AD442" s="2">
        <f t="shared" si="64"/>
        <v>5.5482904960566515E-3</v>
      </c>
      <c r="AE442" s="8">
        <f t="shared" si="65"/>
        <v>2.3558518070841094E-2</v>
      </c>
      <c r="AF442" s="2">
        <f t="shared" si="66"/>
        <v>-7.8024857149893226E-4</v>
      </c>
      <c r="AG442" s="8">
        <f t="shared" si="67"/>
        <v>2.4338766642340026E-2</v>
      </c>
      <c r="AH442" s="7">
        <f t="shared" si="68"/>
        <v>-3.2057851696626317E-2</v>
      </c>
      <c r="AI442">
        <f t="shared" si="69"/>
        <v>2</v>
      </c>
      <c r="AJ442" s="10">
        <f t="shared" si="70"/>
        <v>9.7355066569360105E-2</v>
      </c>
    </row>
    <row r="443" spans="1:36" hidden="1" x14ac:dyDescent="0.25">
      <c r="A443" t="b">
        <v>0</v>
      </c>
      <c r="B443">
        <v>1000</v>
      </c>
      <c r="C443">
        <v>9.7355066569360105E-2</v>
      </c>
      <c r="D443" t="s">
        <v>52</v>
      </c>
      <c r="E443" t="b">
        <v>1</v>
      </c>
      <c r="F443" t="s">
        <v>53</v>
      </c>
      <c r="G443">
        <v>7.4999999999999997E-2</v>
      </c>
      <c r="H443">
        <v>0.5</v>
      </c>
      <c r="I443">
        <v>1E-4</v>
      </c>
      <c r="J443" t="b">
        <v>1</v>
      </c>
      <c r="K443">
        <v>2</v>
      </c>
      <c r="L443">
        <v>1500</v>
      </c>
      <c r="M443">
        <v>0.1</v>
      </c>
      <c r="N443">
        <v>0.154</v>
      </c>
      <c r="O443" t="s">
        <v>270</v>
      </c>
      <c r="P443" t="s">
        <v>276</v>
      </c>
      <c r="Q443" s="1">
        <v>-4.4891993822345397E-5</v>
      </c>
      <c r="R443" s="1">
        <v>3.5677761575600303E-8</v>
      </c>
      <c r="S443">
        <v>1.3636281641223101E-4</v>
      </c>
      <c r="T443">
        <v>-2.1944488935698699E-4</v>
      </c>
      <c r="U443">
        <v>2.0213932919397002</v>
      </c>
      <c r="V443" s="1">
        <v>3.5663885476916599E-15</v>
      </c>
      <c r="W443" s="1">
        <v>7.6513276602325006E-5</v>
      </c>
      <c r="X443">
        <v>2.13504755969704</v>
      </c>
      <c r="Y443">
        <v>3.2446551663983898E-3</v>
      </c>
      <c r="Z443">
        <v>5.7265297327915403E-2</v>
      </c>
      <c r="AA443">
        <v>3.51061011253701E-3</v>
      </c>
      <c r="AB443" s="9">
        <f t="shared" si="62"/>
        <v>-0.40231804961697748</v>
      </c>
      <c r="AC443" s="9">
        <f t="shared" si="63"/>
        <v>-0.4046147319338752</v>
      </c>
      <c r="AD443" s="2">
        <f t="shared" si="64"/>
        <v>5.7086236103109922E-3</v>
      </c>
      <c r="AE443" s="8">
        <f t="shared" si="65"/>
        <v>2.353611619389975E-2</v>
      </c>
      <c r="AF443" s="2">
        <f t="shared" si="66"/>
        <v>-8.0265044844027647E-4</v>
      </c>
      <c r="AG443" s="8">
        <f t="shared" si="67"/>
        <v>2.4338766642340026E-2</v>
      </c>
      <c r="AH443" s="7">
        <f t="shared" si="68"/>
        <v>-3.297827125898712E-2</v>
      </c>
      <c r="AI443">
        <f t="shared" si="69"/>
        <v>2</v>
      </c>
      <c r="AJ443" s="10">
        <f t="shared" si="70"/>
        <v>9.7355066569360105E-2</v>
      </c>
    </row>
    <row r="444" spans="1:36" hidden="1" x14ac:dyDescent="0.25">
      <c r="A444" t="b">
        <v>0</v>
      </c>
      <c r="B444">
        <v>1000</v>
      </c>
      <c r="C444">
        <v>9.7355066569360105E-2</v>
      </c>
      <c r="D444" t="s">
        <v>52</v>
      </c>
      <c r="E444" t="b">
        <v>1</v>
      </c>
      <c r="F444" t="s">
        <v>53</v>
      </c>
      <c r="G444">
        <v>7.4999999999999997E-2</v>
      </c>
      <c r="H444">
        <v>0.5</v>
      </c>
      <c r="I444">
        <v>1E-4</v>
      </c>
      <c r="J444" t="b">
        <v>1</v>
      </c>
      <c r="K444">
        <v>2</v>
      </c>
      <c r="L444">
        <v>1500</v>
      </c>
      <c r="M444">
        <v>0.1</v>
      </c>
      <c r="N444">
        <v>0.154</v>
      </c>
      <c r="O444" t="s">
        <v>271</v>
      </c>
      <c r="P444" t="s">
        <v>272</v>
      </c>
      <c r="Q444" s="1">
        <v>-5.6844914269419197E-6</v>
      </c>
      <c r="R444" s="1">
        <v>8.5349292252957803E-7</v>
      </c>
      <c r="S444" s="1">
        <v>1.70530355355718E-5</v>
      </c>
      <c r="T444" s="1">
        <v>-2.7448236833808199E-5</v>
      </c>
      <c r="U444">
        <v>2.02160700045299</v>
      </c>
      <c r="V444">
        <v>0</v>
      </c>
      <c r="W444">
        <v>1.05584022122392E-2</v>
      </c>
      <c r="X444">
        <v>2</v>
      </c>
      <c r="Y444">
        <v>0.68186587226023498</v>
      </c>
      <c r="Z444">
        <v>2.5000000000000001E-4</v>
      </c>
      <c r="AA444">
        <v>0.60139298616219805</v>
      </c>
      <c r="AB444" s="9">
        <f t="shared" si="62"/>
        <v>-0.40239517440388423</v>
      </c>
      <c r="AC444" s="9">
        <f t="shared" si="63"/>
        <v>-0.4046147319338752</v>
      </c>
      <c r="AD444" s="2">
        <f t="shared" si="64"/>
        <v>5.5158651772577727E-3</v>
      </c>
      <c r="AE444" s="8">
        <f t="shared" si="65"/>
        <v>2.3563049551265973E-2</v>
      </c>
      <c r="AF444" s="2">
        <f t="shared" si="66"/>
        <v>-7.7571709107405323E-4</v>
      </c>
      <c r="AG444" s="8">
        <f t="shared" si="67"/>
        <v>2.4338766642340026E-2</v>
      </c>
      <c r="AH444" s="7">
        <f t="shared" si="68"/>
        <v>-3.1871668046013719E-2</v>
      </c>
      <c r="AI444">
        <f t="shared" si="69"/>
        <v>2</v>
      </c>
      <c r="AJ444" s="10">
        <f t="shared" si="70"/>
        <v>9.7355066569360105E-2</v>
      </c>
    </row>
    <row r="445" spans="1:36" hidden="1" x14ac:dyDescent="0.25">
      <c r="A445" t="b">
        <v>0</v>
      </c>
      <c r="B445">
        <v>1000</v>
      </c>
      <c r="C445">
        <v>9.7355066569360105E-2</v>
      </c>
      <c r="D445" t="s">
        <v>52</v>
      </c>
      <c r="E445" t="b">
        <v>1</v>
      </c>
      <c r="F445" t="s">
        <v>53</v>
      </c>
      <c r="G445">
        <v>7.4999999999999997E-2</v>
      </c>
      <c r="H445">
        <v>0.5</v>
      </c>
      <c r="I445">
        <v>1E-4</v>
      </c>
      <c r="J445" t="b">
        <v>1</v>
      </c>
      <c r="K445">
        <v>2</v>
      </c>
      <c r="L445">
        <v>1500</v>
      </c>
      <c r="M445">
        <v>0.1</v>
      </c>
      <c r="N445">
        <v>0.154</v>
      </c>
      <c r="O445" t="s">
        <v>271</v>
      </c>
      <c r="P445" t="s">
        <v>273</v>
      </c>
      <c r="Q445" s="1">
        <v>-4.4892464942472099E-5</v>
      </c>
      <c r="R445" s="1">
        <v>3.4930875123014403E-8</v>
      </c>
      <c r="S445">
        <v>1.3636435340538399E-4</v>
      </c>
      <c r="T445">
        <v>-2.1945443921586699E-4</v>
      </c>
      <c r="U445">
        <v>2.0215357648448</v>
      </c>
      <c r="V445" s="1">
        <v>3.5441613178157701E-15</v>
      </c>
      <c r="W445" s="1">
        <v>7.5179948420583503E-5</v>
      </c>
      <c r="X445">
        <v>2.1350784578191799</v>
      </c>
      <c r="Y445">
        <v>3.2172279898981899E-3</v>
      </c>
      <c r="Z445">
        <v>5.7270461167878699E-2</v>
      </c>
      <c r="AA445">
        <v>3.4355002405494599E-3</v>
      </c>
      <c r="AB445" s="9">
        <f t="shared" si="62"/>
        <v>-0.40233102298273066</v>
      </c>
      <c r="AC445" s="9">
        <f t="shared" si="63"/>
        <v>-0.4046147319338752</v>
      </c>
      <c r="AD445" s="2">
        <f t="shared" si="64"/>
        <v>5.676194031009496E-3</v>
      </c>
      <c r="AE445" s="8">
        <f t="shared" si="65"/>
        <v>2.3540646626492738E-2</v>
      </c>
      <c r="AF445" s="2">
        <f t="shared" si="66"/>
        <v>-7.9812001584728814E-4</v>
      </c>
      <c r="AG445" s="8">
        <f t="shared" si="67"/>
        <v>2.4338766642340026E-2</v>
      </c>
      <c r="AH445" s="7">
        <f t="shared" si="68"/>
        <v>-3.2792130660346135E-2</v>
      </c>
      <c r="AI445">
        <f t="shared" si="69"/>
        <v>2</v>
      </c>
      <c r="AJ445" s="10">
        <f t="shared" si="70"/>
        <v>9.7355066569360105E-2</v>
      </c>
    </row>
    <row r="446" spans="1:36" hidden="1" x14ac:dyDescent="0.25">
      <c r="A446" t="b">
        <v>0</v>
      </c>
      <c r="B446">
        <v>1000</v>
      </c>
      <c r="C446">
        <v>9.7355066569360105E-2</v>
      </c>
      <c r="D446" t="s">
        <v>52</v>
      </c>
      <c r="E446" t="b">
        <v>1</v>
      </c>
      <c r="F446" t="s">
        <v>53</v>
      </c>
      <c r="G446">
        <v>7.4999999999999997E-2</v>
      </c>
      <c r="H446">
        <v>0.5</v>
      </c>
      <c r="I446">
        <v>1E-4</v>
      </c>
      <c r="J446" t="b">
        <v>1</v>
      </c>
      <c r="K446">
        <v>2</v>
      </c>
      <c r="L446">
        <v>1500</v>
      </c>
      <c r="M446">
        <v>0.1</v>
      </c>
      <c r="N446">
        <v>0.154</v>
      </c>
      <c r="O446" t="s">
        <v>271</v>
      </c>
      <c r="P446" t="s">
        <v>274</v>
      </c>
      <c r="Q446" s="1">
        <v>-3.9278540040592498E-5</v>
      </c>
      <c r="R446" s="1">
        <v>3.2805035058685397E-8</v>
      </c>
      <c r="S446">
        <v>1.19311510102411E-4</v>
      </c>
      <c r="T446">
        <v>-1.92007396891882E-4</v>
      </c>
      <c r="U446">
        <v>2.0215459481909099</v>
      </c>
      <c r="V446" s="1">
        <v>3.5594610535687399E-15</v>
      </c>
      <c r="W446" s="1">
        <v>9.3453314068561307E-5</v>
      </c>
      <c r="X446">
        <v>2.13506335743102</v>
      </c>
      <c r="Y446">
        <v>3.25194785071602E-3</v>
      </c>
      <c r="Z446">
        <v>5.7265419467686901E-2</v>
      </c>
      <c r="AA446">
        <v>3.7005772708478299E-3</v>
      </c>
      <c r="AB446" s="9">
        <f t="shared" si="62"/>
        <v>-0.40232370859917976</v>
      </c>
      <c r="AC446" s="9">
        <f t="shared" si="63"/>
        <v>-0.4046147319338752</v>
      </c>
      <c r="AD446" s="2">
        <f t="shared" si="64"/>
        <v>5.6944775704925732E-3</v>
      </c>
      <c r="AE446" s="8">
        <f t="shared" si="65"/>
        <v>2.3538092363686435E-2</v>
      </c>
      <c r="AF446" s="2">
        <f t="shared" si="66"/>
        <v>-8.00674278653591E-4</v>
      </c>
      <c r="AG446" s="8">
        <f t="shared" si="67"/>
        <v>2.4338766642340026E-2</v>
      </c>
      <c r="AH446" s="7">
        <f t="shared" si="68"/>
        <v>-3.2897076931611147E-2</v>
      </c>
      <c r="AI446">
        <f t="shared" si="69"/>
        <v>2</v>
      </c>
      <c r="AJ446" s="10">
        <f t="shared" si="70"/>
        <v>9.7355066569360105E-2</v>
      </c>
    </row>
    <row r="447" spans="1:36" hidden="1" x14ac:dyDescent="0.25">
      <c r="A447" t="b">
        <v>0</v>
      </c>
      <c r="B447">
        <v>1000</v>
      </c>
      <c r="C447">
        <v>9.7355066569360105E-2</v>
      </c>
      <c r="D447" t="s">
        <v>52</v>
      </c>
      <c r="E447" t="b">
        <v>1</v>
      </c>
      <c r="F447" t="s">
        <v>53</v>
      </c>
      <c r="G447">
        <v>7.4999999999999997E-2</v>
      </c>
      <c r="H447">
        <v>0.5</v>
      </c>
      <c r="I447">
        <v>1E-4</v>
      </c>
      <c r="J447" t="b">
        <v>1</v>
      </c>
      <c r="K447">
        <v>2</v>
      </c>
      <c r="L447">
        <v>1500</v>
      </c>
      <c r="M447">
        <v>0.1</v>
      </c>
      <c r="N447">
        <v>0.154</v>
      </c>
      <c r="O447" t="s">
        <v>271</v>
      </c>
      <c r="P447" t="s">
        <v>275</v>
      </c>
      <c r="Q447" s="1">
        <v>-4.4892465912287297E-5</v>
      </c>
      <c r="R447" s="1">
        <v>3.4925222686070702E-8</v>
      </c>
      <c r="S447">
        <v>1.3636435340538399E-4</v>
      </c>
      <c r="T447">
        <v>-2.19454439215784E-4</v>
      </c>
      <c r="U447">
        <v>2.0215357648541699</v>
      </c>
      <c r="V447" s="1">
        <v>3.5715403885052801E-15</v>
      </c>
      <c r="W447" s="1">
        <v>7.68292104017555E-5</v>
      </c>
      <c r="X447">
        <v>2.13507856125339</v>
      </c>
      <c r="Y447">
        <v>3.2115659214086E-3</v>
      </c>
      <c r="Z447">
        <v>5.72703658384505E-2</v>
      </c>
      <c r="AA447">
        <v>3.4356053093686899E-3</v>
      </c>
      <c r="AB447" s="9">
        <f t="shared" si="62"/>
        <v>-0.4023310229825785</v>
      </c>
      <c r="AC447" s="9">
        <f t="shared" si="63"/>
        <v>-0.4046147319338752</v>
      </c>
      <c r="AD447" s="2">
        <f t="shared" si="64"/>
        <v>5.6761940313898585E-3</v>
      </c>
      <c r="AE447" s="8">
        <f t="shared" si="65"/>
        <v>2.35406466264396E-2</v>
      </c>
      <c r="AF447" s="2">
        <f t="shared" si="66"/>
        <v>-7.9812001590042619E-4</v>
      </c>
      <c r="AG447" s="8">
        <f t="shared" si="67"/>
        <v>2.4338766642340026E-2</v>
      </c>
      <c r="AH447" s="7">
        <f t="shared" si="68"/>
        <v>-3.2792130662529402E-2</v>
      </c>
      <c r="AI447">
        <f t="shared" si="69"/>
        <v>2</v>
      </c>
      <c r="AJ447" s="10">
        <f t="shared" si="70"/>
        <v>9.7355066569360105E-2</v>
      </c>
    </row>
    <row r="448" spans="1:36" hidden="1" x14ac:dyDescent="0.25">
      <c r="A448" t="b">
        <v>0</v>
      </c>
      <c r="B448">
        <v>1000</v>
      </c>
      <c r="C448">
        <v>9.7355066569360105E-2</v>
      </c>
      <c r="D448" t="s">
        <v>52</v>
      </c>
      <c r="E448" t="b">
        <v>1</v>
      </c>
      <c r="F448" t="s">
        <v>53</v>
      </c>
      <c r="G448">
        <v>7.4999999999999997E-2</v>
      </c>
      <c r="H448">
        <v>0.5</v>
      </c>
      <c r="I448">
        <v>1E-4</v>
      </c>
      <c r="J448" t="b">
        <v>1</v>
      </c>
      <c r="K448">
        <v>2</v>
      </c>
      <c r="L448">
        <v>1500</v>
      </c>
      <c r="M448">
        <v>0.1</v>
      </c>
      <c r="N448">
        <v>0.154</v>
      </c>
      <c r="O448" t="s">
        <v>271</v>
      </c>
      <c r="P448" t="s">
        <v>276</v>
      </c>
      <c r="Q448" s="1">
        <v>-8.4170537979098798E-5</v>
      </c>
      <c r="R448" s="1">
        <v>6.6610527326484804E-8</v>
      </c>
      <c r="S448">
        <v>2.5567432651465999E-4</v>
      </c>
      <c r="T448">
        <v>-4.1145228624991199E-4</v>
      </c>
      <c r="U448">
        <v>2.02146452730064</v>
      </c>
      <c r="V448" s="1">
        <v>3.60724907092927E-15</v>
      </c>
      <c r="W448" s="1">
        <v>7.8311934958176204E-5</v>
      </c>
      <c r="X448">
        <v>2.1350551672671898</v>
      </c>
      <c r="Y448">
        <v>3.2309550909106499E-3</v>
      </c>
      <c r="Z448">
        <v>5.7265137931009902E-2</v>
      </c>
      <c r="AA448">
        <v>3.4963044715916099E-3</v>
      </c>
      <c r="AB448" s="9">
        <f t="shared" si="62"/>
        <v>-0.40232069040604268</v>
      </c>
      <c r="AC448" s="9">
        <f t="shared" si="63"/>
        <v>-0.4046147319338752</v>
      </c>
      <c r="AD448" s="2">
        <f t="shared" si="64"/>
        <v>5.7020222487620398E-3</v>
      </c>
      <c r="AE448" s="8">
        <f t="shared" si="65"/>
        <v>2.353703838131849E-2</v>
      </c>
      <c r="AF448" s="2">
        <f t="shared" si="66"/>
        <v>-8.017282610215358E-4</v>
      </c>
      <c r="AG448" s="8">
        <f t="shared" si="67"/>
        <v>2.4338766642340026E-2</v>
      </c>
      <c r="AH448" s="7">
        <f t="shared" si="68"/>
        <v>-3.2940381606142655E-2</v>
      </c>
      <c r="AI448">
        <f t="shared" si="69"/>
        <v>2</v>
      </c>
      <c r="AJ448" s="10">
        <f t="shared" si="70"/>
        <v>9.7355066569360105E-2</v>
      </c>
    </row>
    <row r="449" spans="1:36" hidden="1" x14ac:dyDescent="0.25">
      <c r="A449" t="b">
        <v>0</v>
      </c>
      <c r="B449">
        <v>1000</v>
      </c>
      <c r="C449">
        <v>9.7355066569360105E-2</v>
      </c>
      <c r="D449" t="s">
        <v>52</v>
      </c>
      <c r="E449" t="b">
        <v>1</v>
      </c>
      <c r="F449" t="s">
        <v>53</v>
      </c>
      <c r="G449">
        <v>7.4999999999999997E-2</v>
      </c>
      <c r="H449">
        <v>0.5</v>
      </c>
      <c r="I449">
        <v>1E-4</v>
      </c>
      <c r="J449" t="b">
        <v>1</v>
      </c>
      <c r="K449">
        <v>2</v>
      </c>
      <c r="L449">
        <v>1500</v>
      </c>
      <c r="M449">
        <v>0.1</v>
      </c>
      <c r="N449">
        <v>0.154</v>
      </c>
      <c r="O449" t="s">
        <v>272</v>
      </c>
      <c r="P449" t="s">
        <v>273</v>
      </c>
      <c r="Q449" s="1">
        <v>-3.9278481036968497E-5</v>
      </c>
      <c r="R449" s="1">
        <v>3.2956238866999198E-8</v>
      </c>
      <c r="S449">
        <v>1.19311317869813E-4</v>
      </c>
      <c r="T449">
        <v>-1.92006202382145E-4</v>
      </c>
      <c r="U449">
        <v>2.02152558174437</v>
      </c>
      <c r="V449" s="1">
        <v>3.54115232350968E-15</v>
      </c>
      <c r="W449" s="1">
        <v>9.2777485743457402E-5</v>
      </c>
      <c r="X449">
        <v>2.1350589300648601</v>
      </c>
      <c r="Y449">
        <v>3.2630475260242799E-3</v>
      </c>
      <c r="Z449">
        <v>5.7264690448941002E-2</v>
      </c>
      <c r="AA449">
        <v>3.7171333381406601E-3</v>
      </c>
      <c r="AB449" s="9">
        <f t="shared" si="62"/>
        <v>-0.40232185389078784</v>
      </c>
      <c r="AC449" s="9">
        <f t="shared" si="63"/>
        <v>-0.4046147319338752</v>
      </c>
      <c r="AD449" s="2">
        <f t="shared" si="64"/>
        <v>5.6991138336466296E-3</v>
      </c>
      <c r="AE449" s="8">
        <f t="shared" si="65"/>
        <v>2.3537444681238705E-2</v>
      </c>
      <c r="AF449" s="2">
        <f t="shared" si="66"/>
        <v>-8.0132196110132073E-4</v>
      </c>
      <c r="AG449" s="8">
        <f t="shared" si="67"/>
        <v>2.4338766642340026E-2</v>
      </c>
      <c r="AH449" s="7">
        <f t="shared" si="68"/>
        <v>-3.2923688076590164E-2</v>
      </c>
      <c r="AI449">
        <f t="shared" si="69"/>
        <v>2</v>
      </c>
      <c r="AJ449" s="10">
        <f t="shared" si="70"/>
        <v>9.7355066569360105E-2</v>
      </c>
    </row>
    <row r="450" spans="1:36" hidden="1" x14ac:dyDescent="0.25">
      <c r="A450" t="b">
        <v>0</v>
      </c>
      <c r="B450">
        <v>1000</v>
      </c>
      <c r="C450">
        <v>9.7355066569360105E-2</v>
      </c>
      <c r="D450" t="s">
        <v>52</v>
      </c>
      <c r="E450" t="b">
        <v>1</v>
      </c>
      <c r="F450" t="s">
        <v>53</v>
      </c>
      <c r="G450">
        <v>7.4999999999999997E-2</v>
      </c>
      <c r="H450">
        <v>0.5</v>
      </c>
      <c r="I450">
        <v>1E-4</v>
      </c>
      <c r="J450" t="b">
        <v>1</v>
      </c>
      <c r="K450">
        <v>2</v>
      </c>
      <c r="L450">
        <v>1500</v>
      </c>
      <c r="M450">
        <v>0.1</v>
      </c>
      <c r="N450">
        <v>0.154</v>
      </c>
      <c r="O450" t="s">
        <v>272</v>
      </c>
      <c r="P450" t="s">
        <v>274</v>
      </c>
      <c r="Q450" s="1">
        <v>-3.3664553892269698E-5</v>
      </c>
      <c r="R450" s="1">
        <v>2.7134728349313599E-8</v>
      </c>
      <c r="S450">
        <v>1.02258474566845E-4</v>
      </c>
      <c r="T450">
        <v>-1.64559160058405E-4</v>
      </c>
      <c r="U450">
        <v>2.0215357650904799</v>
      </c>
      <c r="V450" s="1">
        <v>3.5678414372670401E-15</v>
      </c>
      <c r="W450" s="1">
        <v>8.8446226455413896E-5</v>
      </c>
      <c r="X450">
        <v>2.13503773519701</v>
      </c>
      <c r="Y450">
        <v>3.2195181040819598E-3</v>
      </c>
      <c r="Z450">
        <v>5.7258139606482898E-2</v>
      </c>
      <c r="AA450">
        <v>3.5671402232520101E-3</v>
      </c>
      <c r="AB450" s="9">
        <f t="shared" si="62"/>
        <v>-0.40231179067421663</v>
      </c>
      <c r="AC450" s="9">
        <f t="shared" si="63"/>
        <v>-0.4046147319338752</v>
      </c>
      <c r="AD450" s="2">
        <f t="shared" si="64"/>
        <v>5.7242698649204726E-3</v>
      </c>
      <c r="AE450" s="8">
        <f t="shared" si="65"/>
        <v>2.3533930521132857E-2</v>
      </c>
      <c r="AF450" s="2">
        <f t="shared" si="66"/>
        <v>-8.0483612120716905E-4</v>
      </c>
      <c r="AG450" s="8">
        <f t="shared" si="67"/>
        <v>2.4338766642340026E-2</v>
      </c>
      <c r="AH450" s="7">
        <f t="shared" si="68"/>
        <v>-3.306807337587378E-2</v>
      </c>
      <c r="AI450">
        <f t="shared" si="69"/>
        <v>2</v>
      </c>
      <c r="AJ450" s="10">
        <f t="shared" si="70"/>
        <v>9.7355066569360105E-2</v>
      </c>
    </row>
    <row r="451" spans="1:36" hidden="1" x14ac:dyDescent="0.25">
      <c r="A451" t="b">
        <v>0</v>
      </c>
      <c r="B451">
        <v>1000</v>
      </c>
      <c r="C451">
        <v>9.7355066569360105E-2</v>
      </c>
      <c r="D451" t="s">
        <v>52</v>
      </c>
      <c r="E451" t="b">
        <v>1</v>
      </c>
      <c r="F451" t="s">
        <v>53</v>
      </c>
      <c r="G451">
        <v>7.4999999999999997E-2</v>
      </c>
      <c r="H451">
        <v>0.5</v>
      </c>
      <c r="I451">
        <v>1E-4</v>
      </c>
      <c r="J451" t="b">
        <v>1</v>
      </c>
      <c r="K451">
        <v>2</v>
      </c>
      <c r="L451">
        <v>1500</v>
      </c>
      <c r="M451">
        <v>0.1</v>
      </c>
      <c r="N451">
        <v>0.154</v>
      </c>
      <c r="O451" t="s">
        <v>272</v>
      </c>
      <c r="P451" t="s">
        <v>275</v>
      </c>
      <c r="Q451" s="1">
        <v>-3.9278480034549097E-5</v>
      </c>
      <c r="R451" s="1">
        <v>3.2621962733803701E-8</v>
      </c>
      <c r="S451">
        <v>1.1931131786981001E-4</v>
      </c>
      <c r="T451">
        <v>-1.92006202381976E-4</v>
      </c>
      <c r="U451">
        <v>2.0215255817537301</v>
      </c>
      <c r="V451" s="1">
        <v>3.54622155118421E-15</v>
      </c>
      <c r="W451" s="1">
        <v>9.2549402559321094E-5</v>
      </c>
      <c r="X451">
        <v>2.1350588078004602</v>
      </c>
      <c r="Y451">
        <v>3.2477366336533201E-3</v>
      </c>
      <c r="Z451">
        <v>5.7264802910268503E-2</v>
      </c>
      <c r="AA451">
        <v>3.6789972182667001E-3</v>
      </c>
      <c r="AB451" s="9">
        <f t="shared" si="62"/>
        <v>-0.40232185389044384</v>
      </c>
      <c r="AC451" s="9">
        <f t="shared" si="63"/>
        <v>-0.4046147319338752</v>
      </c>
      <c r="AD451" s="2">
        <f t="shared" si="64"/>
        <v>5.6991138345066084E-3</v>
      </c>
      <c r="AE451" s="8">
        <f t="shared" si="65"/>
        <v>2.3537444681118569E-2</v>
      </c>
      <c r="AF451" s="2">
        <f t="shared" si="66"/>
        <v>-8.0132196122145727E-4</v>
      </c>
      <c r="AG451" s="8">
        <f t="shared" si="67"/>
        <v>2.4338766642340026E-2</v>
      </c>
      <c r="AH451" s="7">
        <f t="shared" si="68"/>
        <v>-3.2923688081526181E-2</v>
      </c>
      <c r="AI451">
        <f t="shared" si="69"/>
        <v>2</v>
      </c>
      <c r="AJ451" s="10">
        <f t="shared" si="70"/>
        <v>9.7355066569360105E-2</v>
      </c>
    </row>
    <row r="452" spans="1:36" hidden="1" x14ac:dyDescent="0.25">
      <c r="A452" t="b">
        <v>0</v>
      </c>
      <c r="B452">
        <v>1000</v>
      </c>
      <c r="C452">
        <v>9.7355066569360105E-2</v>
      </c>
      <c r="D452" t="s">
        <v>52</v>
      </c>
      <c r="E452" t="b">
        <v>1</v>
      </c>
      <c r="F452" t="s">
        <v>53</v>
      </c>
      <c r="G452">
        <v>7.4999999999999997E-2</v>
      </c>
      <c r="H452">
        <v>0.5</v>
      </c>
      <c r="I452">
        <v>1E-4</v>
      </c>
      <c r="J452" t="b">
        <v>1</v>
      </c>
      <c r="K452">
        <v>2</v>
      </c>
      <c r="L452">
        <v>1500</v>
      </c>
      <c r="M452">
        <v>0.1</v>
      </c>
      <c r="N452">
        <v>0.154</v>
      </c>
      <c r="O452" t="s">
        <v>272</v>
      </c>
      <c r="P452" t="s">
        <v>276</v>
      </c>
      <c r="Q452" s="1">
        <v>-7.8556548788232601E-5</v>
      </c>
      <c r="R452" s="1">
        <v>6.4586963196520094E-8</v>
      </c>
      <c r="S452">
        <v>2.38621290979081E-4</v>
      </c>
      <c r="T452">
        <v>-3.8400404941580502E-4</v>
      </c>
      <c r="U452">
        <v>2.0214543442002002</v>
      </c>
      <c r="V452" s="1">
        <v>3.5372260225462501E-15</v>
      </c>
      <c r="W452" s="1">
        <v>9.3357686997449198E-5</v>
      </c>
      <c r="X452">
        <v>2.1350434149471398</v>
      </c>
      <c r="Y452">
        <v>3.22953876398431E-3</v>
      </c>
      <c r="Z452">
        <v>5.7262169889020699E-2</v>
      </c>
      <c r="AA452">
        <v>3.6420400673080199E-3</v>
      </c>
      <c r="AB452" s="9">
        <f t="shared" si="62"/>
        <v>-0.40231536741776863</v>
      </c>
      <c r="AC452" s="9">
        <f t="shared" si="63"/>
        <v>-0.4046147319338752</v>
      </c>
      <c r="AD452" s="2">
        <f t="shared" si="64"/>
        <v>5.7153285763476003E-3</v>
      </c>
      <c r="AE452" s="8">
        <f t="shared" si="65"/>
        <v>2.3535179547385449E-2</v>
      </c>
      <c r="AF452" s="2">
        <f t="shared" si="66"/>
        <v>-8.0358709495457689E-4</v>
      </c>
      <c r="AG452" s="8">
        <f t="shared" si="67"/>
        <v>2.4338766642340026E-2</v>
      </c>
      <c r="AH452" s="7">
        <f t="shared" si="68"/>
        <v>-3.3016754988588727E-2</v>
      </c>
      <c r="AI452">
        <f t="shared" si="69"/>
        <v>2</v>
      </c>
      <c r="AJ452" s="10">
        <f t="shared" si="70"/>
        <v>9.7355066569360105E-2</v>
      </c>
    </row>
    <row r="453" spans="1:36" hidden="1" x14ac:dyDescent="0.25">
      <c r="A453" t="b">
        <v>0</v>
      </c>
      <c r="B453">
        <v>1000</v>
      </c>
      <c r="C453">
        <v>9.7355066569360105E-2</v>
      </c>
      <c r="D453" t="s">
        <v>52</v>
      </c>
      <c r="E453" t="b">
        <v>1</v>
      </c>
      <c r="F453" t="s">
        <v>53</v>
      </c>
      <c r="G453">
        <v>7.4999999999999997E-2</v>
      </c>
      <c r="H453">
        <v>0.5</v>
      </c>
      <c r="I453">
        <v>1E-4</v>
      </c>
      <c r="J453" t="b">
        <v>1</v>
      </c>
      <c r="K453">
        <v>2</v>
      </c>
      <c r="L453">
        <v>1500</v>
      </c>
      <c r="M453">
        <v>0.1</v>
      </c>
      <c r="N453">
        <v>0.154</v>
      </c>
      <c r="O453" t="s">
        <v>273</v>
      </c>
      <c r="P453" t="s">
        <v>276</v>
      </c>
      <c r="Q453" s="1">
        <v>-3.9278066446393701E-5</v>
      </c>
      <c r="R453" s="1">
        <v>3.2506157644933897E-8</v>
      </c>
      <c r="S453">
        <v>1.1930997310926901E-4</v>
      </c>
      <c r="T453">
        <v>-1.9199784703393901E-4</v>
      </c>
      <c r="U453">
        <v>2.0213831085920102</v>
      </c>
      <c r="V453" s="1">
        <v>3.5388998832417099E-15</v>
      </c>
      <c r="W453" s="1">
        <v>9.4315520545551997E-5</v>
      </c>
      <c r="X453">
        <v>2.13502774053164</v>
      </c>
      <c r="Y453">
        <v>3.2362548328498399E-3</v>
      </c>
      <c r="Z453">
        <v>5.7259795445464397E-2</v>
      </c>
      <c r="AA453">
        <v>3.6666696310219599E-3</v>
      </c>
      <c r="AB453" s="9">
        <f t="shared" si="62"/>
        <v>-0.40230888087222066</v>
      </c>
      <c r="AC453" s="9">
        <f t="shared" si="63"/>
        <v>-0.4046147319338752</v>
      </c>
      <c r="AD453" s="2">
        <f t="shared" si="64"/>
        <v>5.7315440232275083E-3</v>
      </c>
      <c r="AE453" s="8">
        <f t="shared" si="65"/>
        <v>2.353291439823035E-2</v>
      </c>
      <c r="AF453" s="2">
        <f t="shared" si="66"/>
        <v>-8.0585224410967618E-4</v>
      </c>
      <c r="AG453" s="8">
        <f t="shared" si="67"/>
        <v>2.4338766642340026E-2</v>
      </c>
      <c r="AH453" s="7">
        <f t="shared" si="68"/>
        <v>-3.3109822529289769E-2</v>
      </c>
      <c r="AI453">
        <f t="shared" si="69"/>
        <v>2</v>
      </c>
      <c r="AJ453" s="10">
        <f t="shared" si="70"/>
        <v>9.7355066569360105E-2</v>
      </c>
    </row>
    <row r="454" spans="1:36" hidden="1" x14ac:dyDescent="0.25">
      <c r="A454" t="b">
        <v>0</v>
      </c>
      <c r="B454">
        <v>1000</v>
      </c>
      <c r="C454">
        <v>9.7355066569360105E-2</v>
      </c>
      <c r="D454" t="s">
        <v>52</v>
      </c>
      <c r="E454" t="b">
        <v>1</v>
      </c>
      <c r="F454" t="s">
        <v>53</v>
      </c>
      <c r="G454">
        <v>7.4999999999999997E-2</v>
      </c>
      <c r="H454">
        <v>0.5</v>
      </c>
      <c r="I454">
        <v>1E-4</v>
      </c>
      <c r="J454" t="b">
        <v>1</v>
      </c>
      <c r="K454">
        <v>2</v>
      </c>
      <c r="L454">
        <v>1500</v>
      </c>
      <c r="M454">
        <v>0.1</v>
      </c>
      <c r="N454">
        <v>0.154</v>
      </c>
      <c r="O454" t="s">
        <v>274</v>
      </c>
      <c r="P454" t="s">
        <v>275</v>
      </c>
      <c r="Q454" s="1">
        <v>-5.6844274427738903E-6</v>
      </c>
      <c r="R454" s="1">
        <v>8.4978917855429298E-7</v>
      </c>
      <c r="S454" s="1">
        <v>1.7052843302964899E-5</v>
      </c>
      <c r="T454" s="1">
        <v>-2.7447042323363001E-5</v>
      </c>
      <c r="U454">
        <v>2.02146452949165</v>
      </c>
      <c r="V454">
        <v>0</v>
      </c>
      <c r="W454">
        <v>1.0482574553913901E-2</v>
      </c>
      <c r="X454">
        <v>2</v>
      </c>
      <c r="Y454">
        <v>0.68109529984689798</v>
      </c>
      <c r="Z454">
        <v>2.5000000000000001E-4</v>
      </c>
      <c r="AA454">
        <v>0.59879533582922695</v>
      </c>
      <c r="AB454" s="9">
        <f t="shared" si="62"/>
        <v>-0.40238219861245822</v>
      </c>
      <c r="AC454" s="9">
        <f t="shared" si="63"/>
        <v>-0.4046147319338752</v>
      </c>
      <c r="AD454" s="2">
        <f t="shared" si="64"/>
        <v>5.5482904788419773E-3</v>
      </c>
      <c r="AE454" s="8">
        <f t="shared" si="65"/>
        <v>2.355851807324677E-2</v>
      </c>
      <c r="AF454" s="2">
        <f t="shared" si="66"/>
        <v>-7.8024856909325591E-4</v>
      </c>
      <c r="AG454" s="8">
        <f t="shared" si="67"/>
        <v>2.4338766642340026E-2</v>
      </c>
      <c r="AH454" s="7">
        <f t="shared" si="68"/>
        <v>-3.205785159778498E-2</v>
      </c>
      <c r="AI454">
        <f t="shared" si="69"/>
        <v>2</v>
      </c>
      <c r="AJ454" s="10">
        <f t="shared" si="70"/>
        <v>9.7355066569360105E-2</v>
      </c>
    </row>
    <row r="455" spans="1:36" hidden="1" x14ac:dyDescent="0.25">
      <c r="A455" t="b">
        <v>0</v>
      </c>
      <c r="B455">
        <v>1000</v>
      </c>
      <c r="C455">
        <v>9.7355066569360105E-2</v>
      </c>
      <c r="D455" t="s">
        <v>52</v>
      </c>
      <c r="E455" t="b">
        <v>1</v>
      </c>
      <c r="F455" t="s">
        <v>53</v>
      </c>
      <c r="G455">
        <v>7.4999999999999997E-2</v>
      </c>
      <c r="H455">
        <v>0.5</v>
      </c>
      <c r="I455">
        <v>1E-4</v>
      </c>
      <c r="J455" t="b">
        <v>1</v>
      </c>
      <c r="K455">
        <v>2</v>
      </c>
      <c r="L455">
        <v>1500</v>
      </c>
      <c r="M455">
        <v>0.1</v>
      </c>
      <c r="N455">
        <v>0.154</v>
      </c>
      <c r="O455" t="s">
        <v>274</v>
      </c>
      <c r="P455" t="s">
        <v>276</v>
      </c>
      <c r="Q455" s="1">
        <v>-4.4891992868768898E-5</v>
      </c>
      <c r="R455" s="1">
        <v>3.56227446487945E-8</v>
      </c>
      <c r="S455">
        <v>1.36362816412235E-4</v>
      </c>
      <c r="T455">
        <v>-2.19444889357374E-4</v>
      </c>
      <c r="U455">
        <v>2.0213932919381201</v>
      </c>
      <c r="V455" s="1">
        <v>3.53611304150975E-15</v>
      </c>
      <c r="W455" s="1">
        <v>7.7436389014726595E-5</v>
      </c>
      <c r="X455">
        <v>2.1350474573135498</v>
      </c>
      <c r="Y455">
        <v>3.23844176307884E-3</v>
      </c>
      <c r="Z455">
        <v>5.7265391335076903E-2</v>
      </c>
      <c r="AA455">
        <v>3.5055888636093399E-3</v>
      </c>
      <c r="AB455" s="9">
        <f t="shared" si="62"/>
        <v>-0.40231804961767526</v>
      </c>
      <c r="AC455" s="9">
        <f t="shared" si="63"/>
        <v>-0.4046147319338752</v>
      </c>
      <c r="AD455" s="2">
        <f t="shared" si="64"/>
        <v>5.7086236085666098E-3</v>
      </c>
      <c r="AE455" s="8">
        <f t="shared" si="65"/>
        <v>2.3536116194143402E-2</v>
      </c>
      <c r="AF455" s="2">
        <f t="shared" si="66"/>
        <v>-8.0265044819662415E-4</v>
      </c>
      <c r="AG455" s="8">
        <f t="shared" si="67"/>
        <v>2.4338766642340026E-2</v>
      </c>
      <c r="AH455" s="7">
        <f t="shared" si="68"/>
        <v>-3.2978271248976246E-2</v>
      </c>
      <c r="AI455">
        <f t="shared" si="69"/>
        <v>2</v>
      </c>
      <c r="AJ455" s="10">
        <f t="shared" si="70"/>
        <v>9.7355066569360105E-2</v>
      </c>
    </row>
    <row r="456" spans="1:36" hidden="1" x14ac:dyDescent="0.25">
      <c r="A456" t="b">
        <v>0</v>
      </c>
      <c r="B456">
        <v>1000</v>
      </c>
      <c r="C456">
        <v>9.7355066569360105E-2</v>
      </c>
      <c r="D456" t="s">
        <v>52</v>
      </c>
      <c r="E456" t="b">
        <v>1</v>
      </c>
      <c r="F456" t="s">
        <v>53</v>
      </c>
      <c r="G456">
        <v>7.4999999999999997E-2</v>
      </c>
      <c r="H456">
        <v>0.5</v>
      </c>
      <c r="I456">
        <v>1E-4</v>
      </c>
      <c r="J456" t="b">
        <v>1</v>
      </c>
      <c r="K456">
        <v>2</v>
      </c>
      <c r="L456">
        <v>1500</v>
      </c>
      <c r="M456">
        <v>0.1</v>
      </c>
      <c r="N456">
        <v>0.154</v>
      </c>
      <c r="O456" t="s">
        <v>275</v>
      </c>
      <c r="P456" t="s">
        <v>276</v>
      </c>
      <c r="Q456" s="1">
        <v>-3.9278066245310099E-5</v>
      </c>
      <c r="R456" s="1">
        <v>3.3016963007900397E-8</v>
      </c>
      <c r="S456">
        <v>1.1930997310927399E-4</v>
      </c>
      <c r="T456">
        <v>-1.9199784703420299E-4</v>
      </c>
      <c r="U456">
        <v>2.02138310860138</v>
      </c>
      <c r="V456" s="1">
        <v>3.5620654246806604E-15</v>
      </c>
      <c r="W456" s="1">
        <v>9.4679637142998103E-5</v>
      </c>
      <c r="X456">
        <v>2.1350277152569301</v>
      </c>
      <c r="Y456">
        <v>3.2587587181545398E-3</v>
      </c>
      <c r="Z456">
        <v>5.7259818504940101E-2</v>
      </c>
      <c r="AA456">
        <v>3.7250424654636598E-3</v>
      </c>
      <c r="AB456" s="9">
        <f t="shared" si="62"/>
        <v>-0.40230888087275696</v>
      </c>
      <c r="AC456" s="9">
        <f t="shared" si="63"/>
        <v>-0.4046147319338752</v>
      </c>
      <c r="AD456" s="2">
        <f t="shared" si="64"/>
        <v>5.731544021886803E-3</v>
      </c>
      <c r="AE456" s="8">
        <f t="shared" si="65"/>
        <v>2.353291439841761E-2</v>
      </c>
      <c r="AF456" s="2">
        <f t="shared" si="66"/>
        <v>-8.0585224392241625E-4</v>
      </c>
      <c r="AG456" s="8">
        <f t="shared" si="67"/>
        <v>2.4338766642340026E-2</v>
      </c>
      <c r="AH456" s="7">
        <f t="shared" si="68"/>
        <v>-3.3109822521595875E-2</v>
      </c>
      <c r="AI456">
        <f t="shared" si="69"/>
        <v>2</v>
      </c>
      <c r="AJ456" s="10">
        <f t="shared" si="70"/>
        <v>9.7355066569360105E-2</v>
      </c>
    </row>
    <row r="457" spans="1:36" hidden="1" x14ac:dyDescent="0.25">
      <c r="A457" t="b">
        <v>0</v>
      </c>
      <c r="B457">
        <v>1000</v>
      </c>
      <c r="C457">
        <v>9.7355066569360896E-2</v>
      </c>
      <c r="D457" t="s">
        <v>52</v>
      </c>
      <c r="E457" t="b">
        <v>1</v>
      </c>
      <c r="F457" t="s">
        <v>53</v>
      </c>
      <c r="G457">
        <v>7.4999999999999997E-2</v>
      </c>
      <c r="H457">
        <v>0.5</v>
      </c>
      <c r="I457">
        <v>1E-4</v>
      </c>
      <c r="J457" t="b">
        <v>1</v>
      </c>
      <c r="K457">
        <v>1</v>
      </c>
      <c r="L457">
        <v>1500</v>
      </c>
      <c r="M457">
        <v>0.1</v>
      </c>
      <c r="N457">
        <v>0.154</v>
      </c>
      <c r="O457" t="s">
        <v>277</v>
      </c>
      <c r="P457" t="s">
        <v>278</v>
      </c>
      <c r="Q457" s="1">
        <v>-1.5374955965512499E-6</v>
      </c>
      <c r="R457" s="1">
        <v>3.34893946760043E-7</v>
      </c>
      <c r="S457" s="1">
        <v>4.5757807930161897E-6</v>
      </c>
      <c r="T457" s="1">
        <v>-2.7920306442707099E-6</v>
      </c>
      <c r="U457">
        <v>1.04627427366773</v>
      </c>
      <c r="V457" s="1">
        <v>-1.0478296479665201E-15</v>
      </c>
      <c r="W457">
        <v>1.2477719745165801E-2</v>
      </c>
      <c r="X457">
        <v>1.84117756755127</v>
      </c>
      <c r="Y457">
        <v>0.911972686292566</v>
      </c>
      <c r="Z457">
        <v>1.1025014087211399E-2</v>
      </c>
      <c r="AA457">
        <v>0.73093751418534403</v>
      </c>
      <c r="AB457" s="9">
        <f t="shared" si="62"/>
        <v>-0.61017578650884274</v>
      </c>
      <c r="AC457" s="9">
        <f t="shared" si="63"/>
        <v>-0.59948711400631127</v>
      </c>
      <c r="AD457" s="2">
        <f t="shared" si="64"/>
        <v>-1.751736587858943E-2</v>
      </c>
      <c r="AE457" s="8">
        <f t="shared" si="65"/>
        <v>0.10166229768760127</v>
      </c>
      <c r="AF457" s="2">
        <f t="shared" si="66"/>
        <v>4.3072311182403705E-3</v>
      </c>
      <c r="AG457" s="8">
        <f t="shared" si="67"/>
        <v>9.7355066569360896E-2</v>
      </c>
      <c r="AH457" s="7">
        <f t="shared" si="68"/>
        <v>4.4242495742855575E-2</v>
      </c>
      <c r="AI457">
        <f t="shared" si="69"/>
        <v>1</v>
      </c>
      <c r="AJ457" s="10">
        <f t="shared" si="70"/>
        <v>9.7355066569360896E-2</v>
      </c>
    </row>
    <row r="458" spans="1:36" hidden="1" x14ac:dyDescent="0.25">
      <c r="A458" t="b">
        <v>0</v>
      </c>
      <c r="B458">
        <v>1000</v>
      </c>
      <c r="C458">
        <v>9.7355066569360896E-2</v>
      </c>
      <c r="D458" t="s">
        <v>52</v>
      </c>
      <c r="E458" t="b">
        <v>1</v>
      </c>
      <c r="F458" t="s">
        <v>53</v>
      </c>
      <c r="G458">
        <v>7.4999999999999997E-2</v>
      </c>
      <c r="H458">
        <v>0.5</v>
      </c>
      <c r="I458">
        <v>1E-4</v>
      </c>
      <c r="J458" t="b">
        <v>1</v>
      </c>
      <c r="K458">
        <v>1</v>
      </c>
      <c r="L458">
        <v>1500</v>
      </c>
      <c r="M458">
        <v>0.1</v>
      </c>
      <c r="N458">
        <v>0.154</v>
      </c>
      <c r="O458" t="s">
        <v>277</v>
      </c>
      <c r="P458" t="s">
        <v>279</v>
      </c>
      <c r="Q458" s="1">
        <v>-1.22956429398544E-5</v>
      </c>
      <c r="R458" s="1">
        <v>2.6389293420309902E-6</v>
      </c>
      <c r="S458" s="1">
        <v>3.6593363151346898E-5</v>
      </c>
      <c r="T458" s="1">
        <v>-2.23268830089944E-5</v>
      </c>
      <c r="U458">
        <v>1.0462602702469399</v>
      </c>
      <c r="V458" s="1">
        <v>-1.0463435105205899E-15</v>
      </c>
      <c r="W458">
        <v>1.25439021788124E-2</v>
      </c>
      <c r="X458">
        <v>1.8411717898406501</v>
      </c>
      <c r="Y458">
        <v>0.90851986235386395</v>
      </c>
      <c r="Z458">
        <v>1.10253698267513E-2</v>
      </c>
      <c r="AA458">
        <v>0.72011642496632999</v>
      </c>
      <c r="AB458" s="9">
        <f t="shared" si="62"/>
        <v>-0.61013476451050419</v>
      </c>
      <c r="AC458" s="9">
        <f t="shared" si="63"/>
        <v>-0.59948711400631127</v>
      </c>
      <c r="AD458" s="2">
        <f t="shared" si="64"/>
        <v>-1.7451309323007091E-2</v>
      </c>
      <c r="AE458" s="8">
        <f t="shared" si="65"/>
        <v>0.10164570235391435</v>
      </c>
      <c r="AF458" s="2">
        <f t="shared" si="66"/>
        <v>4.290635784553451E-3</v>
      </c>
      <c r="AG458" s="8">
        <f t="shared" si="67"/>
        <v>9.7355066569360896E-2</v>
      </c>
      <c r="AH458" s="7">
        <f t="shared" si="68"/>
        <v>4.4072033801102431E-2</v>
      </c>
      <c r="AI458">
        <f t="shared" si="69"/>
        <v>1</v>
      </c>
      <c r="AJ458" s="10">
        <f t="shared" si="70"/>
        <v>9.7355066569360896E-2</v>
      </c>
    </row>
    <row r="459" spans="1:36" hidden="1" x14ac:dyDescent="0.25">
      <c r="A459" t="b">
        <v>0</v>
      </c>
      <c r="B459">
        <v>1000</v>
      </c>
      <c r="C459">
        <v>9.7355066569360896E-2</v>
      </c>
      <c r="D459" t="s">
        <v>52</v>
      </c>
      <c r="E459" t="b">
        <v>1</v>
      </c>
      <c r="F459" t="s">
        <v>53</v>
      </c>
      <c r="G459">
        <v>7.4999999999999997E-2</v>
      </c>
      <c r="H459">
        <v>0.5</v>
      </c>
      <c r="I459">
        <v>1E-4</v>
      </c>
      <c r="J459" t="b">
        <v>1</v>
      </c>
      <c r="K459">
        <v>1</v>
      </c>
      <c r="L459">
        <v>1500</v>
      </c>
      <c r="M459">
        <v>0.1</v>
      </c>
      <c r="N459">
        <v>0.154</v>
      </c>
      <c r="O459" t="s">
        <v>277</v>
      </c>
      <c r="P459" t="s">
        <v>280</v>
      </c>
      <c r="Q459" s="1">
        <v>-1.5374955965519599E-6</v>
      </c>
      <c r="R459" s="1">
        <v>3.3170711127797303E-7</v>
      </c>
      <c r="S459" s="1">
        <v>4.5757807930218403E-6</v>
      </c>
      <c r="T459" s="1">
        <v>-2.7920306445077102E-6</v>
      </c>
      <c r="U459">
        <v>1.0462742736337201</v>
      </c>
      <c r="V459" s="1">
        <v>-1.04782964888029E-15</v>
      </c>
      <c r="W459">
        <v>1.2669312167527799E-2</v>
      </c>
      <c r="X459">
        <v>1.8411775675564599</v>
      </c>
      <c r="Y459">
        <v>0.90928981507912199</v>
      </c>
      <c r="Z459">
        <v>1.1025014086501099E-2</v>
      </c>
      <c r="AA459">
        <v>0.72392921568582402</v>
      </c>
      <c r="AB459" s="9">
        <f t="shared" si="62"/>
        <v>-0.6101757865598838</v>
      </c>
      <c r="AC459" s="9">
        <f t="shared" si="63"/>
        <v>-0.59948711400631127</v>
      </c>
      <c r="AD459" s="2">
        <f t="shared" si="64"/>
        <v>-1.7517365960773912E-2</v>
      </c>
      <c r="AE459" s="8">
        <f t="shared" si="65"/>
        <v>0.10166229770825012</v>
      </c>
      <c r="AF459" s="2">
        <f t="shared" si="66"/>
        <v>4.3072311388892282E-3</v>
      </c>
      <c r="AG459" s="8">
        <f t="shared" si="67"/>
        <v>9.7355066569360896E-2</v>
      </c>
      <c r="AH459" s="7">
        <f t="shared" si="68"/>
        <v>4.4242495954954011E-2</v>
      </c>
      <c r="AI459">
        <f t="shared" si="69"/>
        <v>1</v>
      </c>
      <c r="AJ459" s="10">
        <f t="shared" si="70"/>
        <v>9.7355066569360896E-2</v>
      </c>
    </row>
    <row r="460" spans="1:36" hidden="1" x14ac:dyDescent="0.25">
      <c r="A460" t="b">
        <v>0</v>
      </c>
      <c r="B460">
        <v>1000</v>
      </c>
      <c r="C460">
        <v>9.7355066569360896E-2</v>
      </c>
      <c r="D460" t="s">
        <v>52</v>
      </c>
      <c r="E460" t="b">
        <v>1</v>
      </c>
      <c r="F460" t="s">
        <v>53</v>
      </c>
      <c r="G460">
        <v>7.4999999999999997E-2</v>
      </c>
      <c r="H460">
        <v>0.5</v>
      </c>
      <c r="I460">
        <v>1E-4</v>
      </c>
      <c r="J460" t="b">
        <v>1</v>
      </c>
      <c r="K460">
        <v>1</v>
      </c>
      <c r="L460">
        <v>1500</v>
      </c>
      <c r="M460">
        <v>0.1</v>
      </c>
      <c r="N460">
        <v>0.154</v>
      </c>
      <c r="O460" t="s">
        <v>277</v>
      </c>
      <c r="P460" t="s">
        <v>281</v>
      </c>
      <c r="Q460" s="1">
        <v>-3.0749888556807402E-6</v>
      </c>
      <c r="R460" s="1">
        <v>6.6350306983218297E-7</v>
      </c>
      <c r="S460" s="1">
        <v>9.1515544975330194E-6</v>
      </c>
      <c r="T460" s="1">
        <v>-5.5840473112067104E-6</v>
      </c>
      <c r="U460">
        <v>1.0462722722125599</v>
      </c>
      <c r="V460" s="1">
        <v>-1.04791537607306E-15</v>
      </c>
      <c r="W460">
        <v>1.24262102583633E-2</v>
      </c>
      <c r="X460">
        <v>1.84117738381477</v>
      </c>
      <c r="Y460">
        <v>0.90954372186047705</v>
      </c>
      <c r="Z460">
        <v>1.10250196120283E-2</v>
      </c>
      <c r="AA460">
        <v>0.72401466927705904</v>
      </c>
      <c r="AB460" s="9">
        <f t="shared" si="62"/>
        <v>-0.61017473181326731</v>
      </c>
      <c r="AC460" s="9">
        <f t="shared" si="63"/>
        <v>-0.59948711400631127</v>
      </c>
      <c r="AD460" s="2">
        <f t="shared" si="64"/>
        <v>-1.751566764358703E-2</v>
      </c>
      <c r="AE460" s="8">
        <f t="shared" si="65"/>
        <v>0.10166187100721978</v>
      </c>
      <c r="AF460" s="2">
        <f t="shared" si="66"/>
        <v>4.3068044378588854E-3</v>
      </c>
      <c r="AG460" s="8">
        <f t="shared" si="67"/>
        <v>9.7355066569360896E-2</v>
      </c>
      <c r="AH460" s="7">
        <f t="shared" si="68"/>
        <v>4.4238113018909911E-2</v>
      </c>
      <c r="AI460">
        <f t="shared" si="69"/>
        <v>1</v>
      </c>
      <c r="AJ460" s="10">
        <f t="shared" si="70"/>
        <v>9.7355066569360896E-2</v>
      </c>
    </row>
    <row r="461" spans="1:36" hidden="1" x14ac:dyDescent="0.25">
      <c r="A461" t="b">
        <v>0</v>
      </c>
      <c r="B461">
        <v>1000</v>
      </c>
      <c r="C461">
        <v>9.7355066569360896E-2</v>
      </c>
      <c r="D461" t="s">
        <v>52</v>
      </c>
      <c r="E461" t="b">
        <v>1</v>
      </c>
      <c r="F461" t="s">
        <v>53</v>
      </c>
      <c r="G461">
        <v>7.4999999999999997E-2</v>
      </c>
      <c r="H461">
        <v>0.5</v>
      </c>
      <c r="I461">
        <v>1E-4</v>
      </c>
      <c r="J461" t="b">
        <v>1</v>
      </c>
      <c r="K461">
        <v>1</v>
      </c>
      <c r="L461">
        <v>1500</v>
      </c>
      <c r="M461">
        <v>0.1</v>
      </c>
      <c r="N461">
        <v>0.154</v>
      </c>
      <c r="O461" t="s">
        <v>277</v>
      </c>
      <c r="P461" t="s">
        <v>282</v>
      </c>
      <c r="Q461" s="1">
        <v>-1.38331198443488E-5</v>
      </c>
      <c r="R461" s="1">
        <v>3.02988806618927E-6</v>
      </c>
      <c r="S461" s="1">
        <v>4.1169087258415898E-5</v>
      </c>
      <c r="T461" s="1">
        <v>-2.5118801879931399E-5</v>
      </c>
      <c r="U461">
        <v>1.0462582688834701</v>
      </c>
      <c r="V461" s="1">
        <v>-1.0474631525785E-15</v>
      </c>
      <c r="W461">
        <v>1.2941501260192801E-2</v>
      </c>
      <c r="X461">
        <v>1.8411721056514601</v>
      </c>
      <c r="Y461">
        <v>0.91301879716251699</v>
      </c>
      <c r="Z461">
        <v>1.1025340122825999E-2</v>
      </c>
      <c r="AA461">
        <v>0.73505924098929198</v>
      </c>
      <c r="AB461" s="9">
        <f t="shared" si="62"/>
        <v>-0.61013744905885769</v>
      </c>
      <c r="AC461" s="9">
        <f t="shared" si="63"/>
        <v>-0.59948711400631127</v>
      </c>
      <c r="AD461" s="2">
        <f t="shared" si="64"/>
        <v>-1.7455632446385039E-2</v>
      </c>
      <c r="AE461" s="8">
        <f t="shared" si="65"/>
        <v>0.1016467883650873</v>
      </c>
      <c r="AF461" s="2">
        <f t="shared" si="66"/>
        <v>4.2917217957263998E-3</v>
      </c>
      <c r="AG461" s="8">
        <f t="shared" si="67"/>
        <v>9.7355066569360896E-2</v>
      </c>
      <c r="AH461" s="7">
        <f t="shared" si="68"/>
        <v>4.4083188959341428E-2</v>
      </c>
      <c r="AI461">
        <f t="shared" si="69"/>
        <v>1</v>
      </c>
      <c r="AJ461" s="10">
        <f t="shared" si="70"/>
        <v>9.7355066569360896E-2</v>
      </c>
    </row>
    <row r="462" spans="1:36" hidden="1" x14ac:dyDescent="0.25">
      <c r="A462" t="b">
        <v>0</v>
      </c>
      <c r="B462">
        <v>1000</v>
      </c>
      <c r="C462">
        <v>9.7355066569360896E-2</v>
      </c>
      <c r="D462" t="s">
        <v>52</v>
      </c>
      <c r="E462" t="b">
        <v>1</v>
      </c>
      <c r="F462" t="s">
        <v>53</v>
      </c>
      <c r="G462">
        <v>7.4999999999999997E-2</v>
      </c>
      <c r="H462">
        <v>0.5</v>
      </c>
      <c r="I462">
        <v>1E-4</v>
      </c>
      <c r="J462" t="b">
        <v>1</v>
      </c>
      <c r="K462">
        <v>1</v>
      </c>
      <c r="L462">
        <v>1500</v>
      </c>
      <c r="M462">
        <v>0.1</v>
      </c>
      <c r="N462">
        <v>0.154</v>
      </c>
      <c r="O462" t="s">
        <v>277</v>
      </c>
      <c r="P462" t="s">
        <v>283</v>
      </c>
      <c r="Q462" s="1">
        <v>-1.2295642939852899E-5</v>
      </c>
      <c r="R462" s="1">
        <v>2.6640047177112098E-6</v>
      </c>
      <c r="S462" s="1">
        <v>3.6593363151339302E-5</v>
      </c>
      <c r="T462" s="1">
        <v>-2.2326883008793701E-5</v>
      </c>
      <c r="U462">
        <v>1.04626027026096</v>
      </c>
      <c r="V462" s="1">
        <v>-1.04634351207627E-15</v>
      </c>
      <c r="W462">
        <v>1.2303962053593199E-2</v>
      </c>
      <c r="X462">
        <v>1.84117178984022</v>
      </c>
      <c r="Y462">
        <v>0.91074230236361697</v>
      </c>
      <c r="Z462">
        <v>1.10253698268412E-2</v>
      </c>
      <c r="AA462">
        <v>0.72701125360570096</v>
      </c>
      <c r="AB462" s="9">
        <f t="shared" si="62"/>
        <v>-0.61013476450514625</v>
      </c>
      <c r="AC462" s="9">
        <f t="shared" si="63"/>
        <v>-0.59948711400631127</v>
      </c>
      <c r="AD462" s="2">
        <f t="shared" si="64"/>
        <v>-1.7451309314378771E-2</v>
      </c>
      <c r="AE462" s="8">
        <f t="shared" si="65"/>
        <v>0.10164570235174686</v>
      </c>
      <c r="AF462" s="2">
        <f t="shared" si="66"/>
        <v>4.2906357823859625E-3</v>
      </c>
      <c r="AG462" s="8">
        <f t="shared" si="67"/>
        <v>9.7355066569360896E-2</v>
      </c>
      <c r="AH462" s="7">
        <f t="shared" si="68"/>
        <v>4.4072033778838691E-2</v>
      </c>
      <c r="AI462">
        <f t="shared" si="69"/>
        <v>1</v>
      </c>
      <c r="AJ462" s="10">
        <f t="shared" si="70"/>
        <v>9.7355066569360896E-2</v>
      </c>
    </row>
    <row r="463" spans="1:36" hidden="1" x14ac:dyDescent="0.25">
      <c r="A463" t="b">
        <v>0</v>
      </c>
      <c r="B463">
        <v>1000</v>
      </c>
      <c r="C463">
        <v>9.7355066569360896E-2</v>
      </c>
      <c r="D463" t="s">
        <v>52</v>
      </c>
      <c r="E463" t="b">
        <v>1</v>
      </c>
      <c r="F463" t="s">
        <v>53</v>
      </c>
      <c r="G463">
        <v>7.4999999999999997E-2</v>
      </c>
      <c r="H463">
        <v>0.5</v>
      </c>
      <c r="I463">
        <v>1E-4</v>
      </c>
      <c r="J463" t="b">
        <v>1</v>
      </c>
      <c r="K463">
        <v>1</v>
      </c>
      <c r="L463">
        <v>1500</v>
      </c>
      <c r="M463">
        <v>0.1</v>
      </c>
      <c r="N463">
        <v>0.154</v>
      </c>
      <c r="O463" t="s">
        <v>277</v>
      </c>
      <c r="P463" t="s">
        <v>284</v>
      </c>
      <c r="Q463" s="1">
        <v>-1.38331198443483E-5</v>
      </c>
      <c r="R463" s="1">
        <v>3.0009834994020401E-6</v>
      </c>
      <c r="S463" s="1">
        <v>4.1169087258415498E-5</v>
      </c>
      <c r="T463" s="1">
        <v>-2.51188018800069E-5</v>
      </c>
      <c r="U463">
        <v>1.0462582688911</v>
      </c>
      <c r="V463" s="1">
        <v>-1.0474631532876801E-15</v>
      </c>
      <c r="W463">
        <v>1.29052347941691E-2</v>
      </c>
      <c r="X463">
        <v>1.8411721056517101</v>
      </c>
      <c r="Y463">
        <v>0.91033429341425498</v>
      </c>
      <c r="Z463">
        <v>1.1025340122810499E-2</v>
      </c>
      <c r="AA463">
        <v>0.72799242934808395</v>
      </c>
      <c r="AB463" s="9">
        <f t="shared" si="62"/>
        <v>-0.61013744906069756</v>
      </c>
      <c r="AC463" s="9">
        <f t="shared" si="63"/>
        <v>-0.59948711400631127</v>
      </c>
      <c r="AD463" s="2">
        <f t="shared" si="64"/>
        <v>-1.7455632449347891E-2</v>
      </c>
      <c r="AE463" s="8">
        <f t="shared" si="65"/>
        <v>0.10164678836583162</v>
      </c>
      <c r="AF463" s="2">
        <f t="shared" si="66"/>
        <v>4.2917217964707211E-3</v>
      </c>
      <c r="AG463" s="8">
        <f t="shared" si="67"/>
        <v>9.7355066569360896E-2</v>
      </c>
      <c r="AH463" s="7">
        <f t="shared" si="68"/>
        <v>4.4083188966986854E-2</v>
      </c>
      <c r="AI463">
        <f t="shared" si="69"/>
        <v>1</v>
      </c>
      <c r="AJ463" s="10">
        <f t="shared" si="70"/>
        <v>9.7355066569360896E-2</v>
      </c>
    </row>
    <row r="464" spans="1:36" hidden="1" x14ac:dyDescent="0.25">
      <c r="A464" t="b">
        <v>0</v>
      </c>
      <c r="B464">
        <v>1000</v>
      </c>
      <c r="C464">
        <v>9.7355066569360896E-2</v>
      </c>
      <c r="D464" t="s">
        <v>52</v>
      </c>
      <c r="E464" t="b">
        <v>1</v>
      </c>
      <c r="F464" t="s">
        <v>53</v>
      </c>
      <c r="G464">
        <v>7.4999999999999997E-2</v>
      </c>
      <c r="H464">
        <v>0.5</v>
      </c>
      <c r="I464">
        <v>1E-4</v>
      </c>
      <c r="J464" t="b">
        <v>1</v>
      </c>
      <c r="K464">
        <v>1</v>
      </c>
      <c r="L464">
        <v>1500</v>
      </c>
      <c r="M464">
        <v>0.1</v>
      </c>
      <c r="N464">
        <v>0.154</v>
      </c>
      <c r="O464" t="s">
        <v>277</v>
      </c>
      <c r="P464" t="s">
        <v>285</v>
      </c>
      <c r="Q464" s="1">
        <v>-2.4422031955092798E-5</v>
      </c>
      <c r="R464" s="1">
        <v>1.66172754441251E-6</v>
      </c>
      <c r="S464" s="1">
        <v>7.3186272992285394E-5</v>
      </c>
      <c r="T464" s="1">
        <v>-4.4652872224721301E-5</v>
      </c>
      <c r="U464">
        <v>1.0462442656761499</v>
      </c>
      <c r="V464" s="1">
        <v>-3.8290380653583897E-15</v>
      </c>
      <c r="W464">
        <v>1.9067168250357499E-3</v>
      </c>
      <c r="X464">
        <v>1.4212922753108299</v>
      </c>
      <c r="Y464">
        <v>0.234565245196452</v>
      </c>
      <c r="Z464">
        <v>4.6297070173666503E-4</v>
      </c>
      <c r="AA464">
        <v>0.137390228818738</v>
      </c>
      <c r="AB464" s="9">
        <f t="shared" si="62"/>
        <v>-0.61012633105976288</v>
      </c>
      <c r="AC464" s="9">
        <f t="shared" si="63"/>
        <v>-0.59948711400631127</v>
      </c>
      <c r="AD464" s="2">
        <f t="shared" si="64"/>
        <v>-1.7437728076694747E-2</v>
      </c>
      <c r="AE464" s="8">
        <f t="shared" si="65"/>
        <v>0.1016422906871709</v>
      </c>
      <c r="AF464" s="2">
        <f t="shared" si="66"/>
        <v>4.287224117810004E-3</v>
      </c>
      <c r="AG464" s="8">
        <f t="shared" si="67"/>
        <v>9.7355066569360896E-2</v>
      </c>
      <c r="AH464" s="7">
        <f t="shared" si="68"/>
        <v>4.4036990255207305E-2</v>
      </c>
      <c r="AI464">
        <f t="shared" si="69"/>
        <v>1</v>
      </c>
      <c r="AJ464" s="10">
        <f t="shared" si="70"/>
        <v>9.7355066569360896E-2</v>
      </c>
    </row>
    <row r="465" spans="1:36" hidden="1" x14ac:dyDescent="0.25">
      <c r="A465" t="b">
        <v>0</v>
      </c>
      <c r="B465">
        <v>1000</v>
      </c>
      <c r="C465">
        <v>9.7355066569360896E-2</v>
      </c>
      <c r="D465" t="s">
        <v>52</v>
      </c>
      <c r="E465" t="b">
        <v>1</v>
      </c>
      <c r="F465" t="s">
        <v>53</v>
      </c>
      <c r="G465">
        <v>7.4999999999999997E-2</v>
      </c>
      <c r="H465">
        <v>0.5</v>
      </c>
      <c r="I465">
        <v>1E-4</v>
      </c>
      <c r="J465" t="b">
        <v>1</v>
      </c>
      <c r="K465">
        <v>1</v>
      </c>
      <c r="L465">
        <v>1500</v>
      </c>
      <c r="M465">
        <v>0.1</v>
      </c>
      <c r="N465">
        <v>0.154</v>
      </c>
      <c r="O465" t="s">
        <v>278</v>
      </c>
      <c r="P465" t="s">
        <v>279</v>
      </c>
      <c r="Q465" s="1">
        <v>-1.0758147349816399E-5</v>
      </c>
      <c r="R465" s="1">
        <v>2.3166852418074701E-6</v>
      </c>
      <c r="S465" s="1">
        <v>3.2017582358324401E-5</v>
      </c>
      <c r="T465" s="1">
        <v>-1.9534852364452799E-5</v>
      </c>
      <c r="U465">
        <v>1.0462582688183999</v>
      </c>
      <c r="V465" s="1">
        <v>-1.0474705431561001E-15</v>
      </c>
      <c r="W465">
        <v>1.1829300825852301E-2</v>
      </c>
      <c r="X465">
        <v>1.8411710497618099</v>
      </c>
      <c r="Y465">
        <v>0.90976025095151503</v>
      </c>
      <c r="Z465">
        <v>1.1025429517494001E-2</v>
      </c>
      <c r="AA465">
        <v>0.72251660428780096</v>
      </c>
      <c r="AB465" s="9">
        <f t="shared" si="62"/>
        <v>-0.61012890185863278</v>
      </c>
      <c r="AC465" s="9">
        <f t="shared" si="63"/>
        <v>-0.59948711400631127</v>
      </c>
      <c r="AD465" s="2">
        <f t="shared" si="64"/>
        <v>-1.744186813623072E-2</v>
      </c>
      <c r="AE465" s="8">
        <f t="shared" si="65"/>
        <v>0.10164333067547413</v>
      </c>
      <c r="AF465" s="2">
        <f t="shared" si="66"/>
        <v>4.2882641061132293E-3</v>
      </c>
      <c r="AG465" s="8">
        <f t="shared" si="67"/>
        <v>9.7355066569360896E-2</v>
      </c>
      <c r="AH465" s="7">
        <f t="shared" si="68"/>
        <v>4.4047672681298444E-2</v>
      </c>
      <c r="AI465">
        <f t="shared" si="69"/>
        <v>1</v>
      </c>
      <c r="AJ465" s="10">
        <f t="shared" si="70"/>
        <v>9.7355066569360896E-2</v>
      </c>
    </row>
    <row r="466" spans="1:36" hidden="1" x14ac:dyDescent="0.25">
      <c r="A466" t="b">
        <v>0</v>
      </c>
      <c r="B466">
        <v>1000</v>
      </c>
      <c r="C466">
        <v>9.7355066569360896E-2</v>
      </c>
      <c r="D466" t="s">
        <v>52</v>
      </c>
      <c r="E466" t="b">
        <v>1</v>
      </c>
      <c r="F466" t="s">
        <v>53</v>
      </c>
      <c r="G466">
        <v>7.4999999999999997E-2</v>
      </c>
      <c r="H466">
        <v>0.5</v>
      </c>
      <c r="I466">
        <v>1E-4</v>
      </c>
      <c r="J466" t="b">
        <v>1</v>
      </c>
      <c r="K466">
        <v>1</v>
      </c>
      <c r="L466">
        <v>1500</v>
      </c>
      <c r="M466">
        <v>0.1</v>
      </c>
      <c r="N466">
        <v>0.154</v>
      </c>
      <c r="O466" t="s">
        <v>278</v>
      </c>
      <c r="P466" t="s">
        <v>280</v>
      </c>
      <c r="Q466" s="1">
        <v>-1E-10</v>
      </c>
      <c r="R466" s="1">
        <v>3.58578582634148E-12</v>
      </c>
      <c r="S466" s="1">
        <v>1.78985348216684E-17</v>
      </c>
      <c r="T466" s="1">
        <v>-1.2656469508433699E-16</v>
      </c>
      <c r="U466">
        <v>1.04627227220518</v>
      </c>
      <c r="V466">
        <v>0</v>
      </c>
      <c r="W466">
        <v>6.8474546241852605E-2</v>
      </c>
      <c r="X466">
        <v>2</v>
      </c>
      <c r="Y466">
        <v>4.0005662961165901E-3</v>
      </c>
      <c r="Z466">
        <v>2.5000000000000001E-4</v>
      </c>
      <c r="AA466">
        <v>4.7933528400543697E-3</v>
      </c>
      <c r="AB466" s="9">
        <f t="shared" si="62"/>
        <v>-7.0712321620379059</v>
      </c>
      <c r="AC466" s="9">
        <f t="shared" si="63"/>
        <v>-0.59948711400631127</v>
      </c>
      <c r="AD466" s="2">
        <f t="shared" si="64"/>
        <v>-0.91522168976084917</v>
      </c>
      <c r="AE466" s="8">
        <f t="shared" si="65"/>
        <v>-1.8025899408946007</v>
      </c>
      <c r="AF466" s="2">
        <f t="shared" si="66"/>
        <v>-1.8999450074639617</v>
      </c>
      <c r="AG466" s="8">
        <f t="shared" si="67"/>
        <v>9.7355066569360896E-2</v>
      </c>
      <c r="AH466" s="7">
        <f t="shared" si="68"/>
        <v>-19.515625374364472</v>
      </c>
      <c r="AI466">
        <f t="shared" si="69"/>
        <v>1</v>
      </c>
      <c r="AJ466" s="10">
        <f t="shared" si="70"/>
        <v>9.7355066569360896E-2</v>
      </c>
    </row>
    <row r="467" spans="1:36" hidden="1" x14ac:dyDescent="0.25">
      <c r="A467" t="b">
        <v>0</v>
      </c>
      <c r="B467">
        <v>1000</v>
      </c>
      <c r="C467">
        <v>9.7355066569360896E-2</v>
      </c>
      <c r="D467" t="s">
        <v>52</v>
      </c>
      <c r="E467" t="b">
        <v>1</v>
      </c>
      <c r="F467" t="s">
        <v>53</v>
      </c>
      <c r="G467">
        <v>7.4999999999999997E-2</v>
      </c>
      <c r="H467">
        <v>0.5</v>
      </c>
      <c r="I467">
        <v>1E-4</v>
      </c>
      <c r="J467" t="b">
        <v>1</v>
      </c>
      <c r="K467">
        <v>1</v>
      </c>
      <c r="L467">
        <v>1500</v>
      </c>
      <c r="M467">
        <v>0.1</v>
      </c>
      <c r="N467">
        <v>0.154</v>
      </c>
      <c r="O467" t="s">
        <v>278</v>
      </c>
      <c r="P467" t="s">
        <v>281</v>
      </c>
      <c r="Q467" s="1">
        <v>-1.5374932600565299E-6</v>
      </c>
      <c r="R467" s="1">
        <v>3.3248366877476398E-7</v>
      </c>
      <c r="S467" s="1">
        <v>4.5757737045146299E-6</v>
      </c>
      <c r="T467" s="1">
        <v>-2.7920166668490398E-6</v>
      </c>
      <c r="U467">
        <v>1.0462702707840099</v>
      </c>
      <c r="V467" s="1">
        <v>-1.04697951898396E-15</v>
      </c>
      <c r="W467">
        <v>1.24109072666786E-2</v>
      </c>
      <c r="X467">
        <v>1.84117728548737</v>
      </c>
      <c r="Y467">
        <v>0.91007846740479004</v>
      </c>
      <c r="Z467">
        <v>1.1025033974323599E-2</v>
      </c>
      <c r="AA467">
        <v>0.72562638837898497</v>
      </c>
      <c r="AB467" s="9">
        <f t="shared" si="62"/>
        <v>-0.61017367709734671</v>
      </c>
      <c r="AC467" s="9">
        <f t="shared" si="63"/>
        <v>-0.59948711400631127</v>
      </c>
      <c r="AD467" s="2">
        <f t="shared" si="64"/>
        <v>-1.751396936995453E-2</v>
      </c>
      <c r="AE467" s="8">
        <f t="shared" si="65"/>
        <v>0.1016614443189381</v>
      </c>
      <c r="AF467" s="2">
        <f t="shared" si="66"/>
        <v>4.306377749577206E-3</v>
      </c>
      <c r="AG467" s="8">
        <f t="shared" si="67"/>
        <v>9.7355066569360896E-2</v>
      </c>
      <c r="AH467" s="7">
        <f t="shared" si="68"/>
        <v>4.4233730213815992E-2</v>
      </c>
      <c r="AI467">
        <f t="shared" si="69"/>
        <v>1</v>
      </c>
      <c r="AJ467" s="10">
        <f t="shared" si="70"/>
        <v>9.7355066569360896E-2</v>
      </c>
    </row>
    <row r="468" spans="1:36" hidden="1" x14ac:dyDescent="0.25">
      <c r="A468" t="b">
        <v>0</v>
      </c>
      <c r="B468">
        <v>1000</v>
      </c>
      <c r="C468">
        <v>9.7355066569360896E-2</v>
      </c>
      <c r="D468" t="s">
        <v>52</v>
      </c>
      <c r="E468" t="b">
        <v>1</v>
      </c>
      <c r="F468" t="s">
        <v>53</v>
      </c>
      <c r="G468">
        <v>7.4999999999999997E-2</v>
      </c>
      <c r="H468">
        <v>0.5</v>
      </c>
      <c r="I468">
        <v>1E-4</v>
      </c>
      <c r="J468" t="b">
        <v>1</v>
      </c>
      <c r="K468">
        <v>1</v>
      </c>
      <c r="L468">
        <v>1500</v>
      </c>
      <c r="M468">
        <v>0.1</v>
      </c>
      <c r="N468">
        <v>0.154</v>
      </c>
      <c r="O468" t="s">
        <v>278</v>
      </c>
      <c r="P468" t="s">
        <v>282</v>
      </c>
      <c r="Q468" s="1">
        <v>-1.22956242550499E-5</v>
      </c>
      <c r="R468" s="1">
        <v>2.6535899511395601E-6</v>
      </c>
      <c r="S468" s="1">
        <v>3.6593306465403402E-5</v>
      </c>
      <c r="T468" s="1">
        <v>-2.2326771235864E-5</v>
      </c>
      <c r="U468">
        <v>1.0462562674549301</v>
      </c>
      <c r="V468" s="1">
        <v>-1.0471721067651E-15</v>
      </c>
      <c r="W468">
        <v>1.23145994518163E-2</v>
      </c>
      <c r="X468">
        <v>1.8411715086795699</v>
      </c>
      <c r="Y468">
        <v>0.90975864329427203</v>
      </c>
      <c r="Z468">
        <v>1.1025389765943401E-2</v>
      </c>
      <c r="AA468">
        <v>0.72414327599162098</v>
      </c>
      <c r="AB468" s="9">
        <f t="shared" si="62"/>
        <v>-0.61013265518852511</v>
      </c>
      <c r="AC468" s="9">
        <f t="shared" si="63"/>
        <v>-0.59948711400631127</v>
      </c>
      <c r="AD468" s="2">
        <f t="shared" si="64"/>
        <v>-1.7447912501789453E-2</v>
      </c>
      <c r="AE468" s="8">
        <f t="shared" si="65"/>
        <v>0.10164484904717433</v>
      </c>
      <c r="AF468" s="2">
        <f t="shared" si="66"/>
        <v>4.2897824778134336E-3</v>
      </c>
      <c r="AG468" s="8">
        <f t="shared" si="67"/>
        <v>9.7355066569360896E-2</v>
      </c>
      <c r="AH468" s="7">
        <f t="shared" si="68"/>
        <v>4.4063268908117542E-2</v>
      </c>
      <c r="AI468">
        <f t="shared" si="69"/>
        <v>1</v>
      </c>
      <c r="AJ468" s="10">
        <f t="shared" si="70"/>
        <v>9.7355066569360896E-2</v>
      </c>
    </row>
    <row r="469" spans="1:36" hidden="1" x14ac:dyDescent="0.25">
      <c r="A469" t="b">
        <v>0</v>
      </c>
      <c r="B469">
        <v>1000</v>
      </c>
      <c r="C469">
        <v>9.7355066569360896E-2</v>
      </c>
      <c r="D469" t="s">
        <v>52</v>
      </c>
      <c r="E469" t="b">
        <v>1</v>
      </c>
      <c r="F469" t="s">
        <v>53</v>
      </c>
      <c r="G469">
        <v>7.4999999999999997E-2</v>
      </c>
      <c r="H469">
        <v>0.5</v>
      </c>
      <c r="I469">
        <v>1E-4</v>
      </c>
      <c r="J469" t="b">
        <v>1</v>
      </c>
      <c r="K469">
        <v>1</v>
      </c>
      <c r="L469">
        <v>1500</v>
      </c>
      <c r="M469">
        <v>0.1</v>
      </c>
      <c r="N469">
        <v>0.154</v>
      </c>
      <c r="O469" t="s">
        <v>278</v>
      </c>
      <c r="P469" t="s">
        <v>283</v>
      </c>
      <c r="Q469" s="1">
        <v>-1.07581473498143E-5</v>
      </c>
      <c r="R469" s="1">
        <v>2.3276017022960198E-6</v>
      </c>
      <c r="S469" s="1">
        <v>3.2017582358315097E-5</v>
      </c>
      <c r="T469" s="1">
        <v>-1.95348523642534E-5</v>
      </c>
      <c r="U469">
        <v>1.04625826883242</v>
      </c>
      <c r="V469" s="1">
        <v>-1.04747054283241E-15</v>
      </c>
      <c r="W469">
        <v>1.1522697902160499E-2</v>
      </c>
      <c r="X469">
        <v>1.8411710497614</v>
      </c>
      <c r="Y469">
        <v>0.91135802840728597</v>
      </c>
      <c r="Z469">
        <v>1.10254295176064E-2</v>
      </c>
      <c r="AA469">
        <v>0.72594691182372595</v>
      </c>
      <c r="AB469" s="9">
        <f t="shared" si="62"/>
        <v>-0.61012890185258228</v>
      </c>
      <c r="AC469" s="9">
        <f t="shared" si="63"/>
        <v>-0.59948711400631127</v>
      </c>
      <c r="AD469" s="2">
        <f t="shared" si="64"/>
        <v>-1.7441868126486959E-2</v>
      </c>
      <c r="AE469" s="8">
        <f t="shared" si="65"/>
        <v>0.10164333067302642</v>
      </c>
      <c r="AF469" s="2">
        <f t="shared" si="66"/>
        <v>4.2882641036655206E-3</v>
      </c>
      <c r="AG469" s="8">
        <f t="shared" si="67"/>
        <v>9.7355066569360896E-2</v>
      </c>
      <c r="AH469" s="7">
        <f t="shared" si="68"/>
        <v>4.4047672656156368E-2</v>
      </c>
      <c r="AI469">
        <f t="shared" si="69"/>
        <v>1</v>
      </c>
      <c r="AJ469" s="10">
        <f t="shared" si="70"/>
        <v>9.7355066569360896E-2</v>
      </c>
    </row>
    <row r="470" spans="1:36" hidden="1" x14ac:dyDescent="0.25">
      <c r="A470" t="b">
        <v>0</v>
      </c>
      <c r="B470">
        <v>1000</v>
      </c>
      <c r="C470">
        <v>9.7355066569360896E-2</v>
      </c>
      <c r="D470" t="s">
        <v>52</v>
      </c>
      <c r="E470" t="b">
        <v>1</v>
      </c>
      <c r="F470" t="s">
        <v>53</v>
      </c>
      <c r="G470">
        <v>7.4999999999999997E-2</v>
      </c>
      <c r="H470">
        <v>0.5</v>
      </c>
      <c r="I470">
        <v>1E-4</v>
      </c>
      <c r="J470" t="b">
        <v>1</v>
      </c>
      <c r="K470">
        <v>1</v>
      </c>
      <c r="L470">
        <v>1500</v>
      </c>
      <c r="M470">
        <v>0.1</v>
      </c>
      <c r="N470">
        <v>0.154</v>
      </c>
      <c r="O470" t="s">
        <v>278</v>
      </c>
      <c r="P470" t="s">
        <v>284</v>
      </c>
      <c r="Q470" s="1">
        <v>-1.22956242550498E-5</v>
      </c>
      <c r="R470" s="1">
        <v>2.66129538475941E-6</v>
      </c>
      <c r="S470" s="1">
        <v>3.6593306465402501E-5</v>
      </c>
      <c r="T470" s="1">
        <v>-2.2326771235816902E-5</v>
      </c>
      <c r="U470">
        <v>1.04625626746256</v>
      </c>
      <c r="V470" s="1">
        <v>-1.04717210615498E-15</v>
      </c>
      <c r="W470">
        <v>1.24749355937197E-2</v>
      </c>
      <c r="X470">
        <v>1.84117150867942</v>
      </c>
      <c r="Y470">
        <v>0.91026200191378104</v>
      </c>
      <c r="Z470">
        <v>1.1025389765959201E-2</v>
      </c>
      <c r="AA470">
        <v>0.72627588194174697</v>
      </c>
      <c r="AB470" s="9">
        <f t="shared" si="62"/>
        <v>-0.61013265518725301</v>
      </c>
      <c r="AC470" s="9">
        <f t="shared" si="63"/>
        <v>-0.59948711400631127</v>
      </c>
      <c r="AD470" s="2">
        <f t="shared" si="64"/>
        <v>-1.744791249974087E-2</v>
      </c>
      <c r="AE470" s="8">
        <f t="shared" si="65"/>
        <v>0.1016448490466597</v>
      </c>
      <c r="AF470" s="2">
        <f t="shared" si="66"/>
        <v>4.2897824772988036E-3</v>
      </c>
      <c r="AG470" s="8">
        <f t="shared" si="67"/>
        <v>9.7355066569360896E-2</v>
      </c>
      <c r="AH470" s="7">
        <f t="shared" si="68"/>
        <v>4.406326890283143E-2</v>
      </c>
      <c r="AI470">
        <f t="shared" si="69"/>
        <v>1</v>
      </c>
      <c r="AJ470" s="10">
        <f t="shared" si="70"/>
        <v>9.7355066569360896E-2</v>
      </c>
    </row>
    <row r="471" spans="1:36" hidden="1" x14ac:dyDescent="0.25">
      <c r="A471" t="b">
        <v>0</v>
      </c>
      <c r="B471">
        <v>1000</v>
      </c>
      <c r="C471">
        <v>9.7355066569360896E-2</v>
      </c>
      <c r="D471" t="s">
        <v>52</v>
      </c>
      <c r="E471" t="b">
        <v>1</v>
      </c>
      <c r="F471" t="s">
        <v>53</v>
      </c>
      <c r="G471">
        <v>7.4999999999999997E-2</v>
      </c>
      <c r="H471">
        <v>0.5</v>
      </c>
      <c r="I471">
        <v>1E-4</v>
      </c>
      <c r="J471" t="b">
        <v>1</v>
      </c>
      <c r="K471">
        <v>1</v>
      </c>
      <c r="L471">
        <v>1500</v>
      </c>
      <c r="M471">
        <v>0.1</v>
      </c>
      <c r="N471">
        <v>0.154</v>
      </c>
      <c r="O471" t="s">
        <v>278</v>
      </c>
      <c r="P471" t="s">
        <v>285</v>
      </c>
      <c r="Q471" s="1">
        <v>-2.3053640817666899E-5</v>
      </c>
      <c r="R471" s="1">
        <v>4.9856764831655999E-6</v>
      </c>
      <c r="S471" s="1">
        <v>6.8610492199269401E-5</v>
      </c>
      <c r="T471" s="1">
        <v>-4.1860841580544703E-5</v>
      </c>
      <c r="U471">
        <v>1.0462422642476099</v>
      </c>
      <c r="V471" s="1">
        <v>-1.0468786319814699E-15</v>
      </c>
      <c r="W471">
        <v>1.2355595191625201E-2</v>
      </c>
      <c r="X471">
        <v>1.8411699242928301</v>
      </c>
      <c r="Y471">
        <v>0.91023490808559804</v>
      </c>
      <c r="Z471">
        <v>1.1025449528102801E-2</v>
      </c>
      <c r="AA471">
        <v>0.72565627937739097</v>
      </c>
      <c r="AB471" s="9">
        <f t="shared" si="62"/>
        <v>-0.6101230327712247</v>
      </c>
      <c r="AC471" s="9">
        <f t="shared" si="63"/>
        <v>-0.59948711400631127</v>
      </c>
      <c r="AD471" s="2">
        <f t="shared" si="64"/>
        <v>-1.743241640395754E-2</v>
      </c>
      <c r="AE471" s="8">
        <f t="shared" si="65"/>
        <v>0.10164095640382903</v>
      </c>
      <c r="AF471" s="2">
        <f t="shared" si="66"/>
        <v>4.2858898344681345E-3</v>
      </c>
      <c r="AG471" s="8">
        <f t="shared" si="67"/>
        <v>9.7355066569360896E-2</v>
      </c>
      <c r="AH471" s="7">
        <f t="shared" si="68"/>
        <v>4.4023284924926222E-2</v>
      </c>
      <c r="AI471">
        <f t="shared" si="69"/>
        <v>1</v>
      </c>
      <c r="AJ471" s="10">
        <f t="shared" si="70"/>
        <v>9.7355066569360896E-2</v>
      </c>
    </row>
    <row r="472" spans="1:36" hidden="1" x14ac:dyDescent="0.25">
      <c r="A472" t="b">
        <v>0</v>
      </c>
      <c r="B472">
        <v>1000</v>
      </c>
      <c r="C472">
        <v>9.7355066569360896E-2</v>
      </c>
      <c r="D472" t="s">
        <v>52</v>
      </c>
      <c r="E472" t="b">
        <v>1</v>
      </c>
      <c r="F472" t="s">
        <v>53</v>
      </c>
      <c r="G472">
        <v>7.4999999999999997E-2</v>
      </c>
      <c r="H472">
        <v>0.5</v>
      </c>
      <c r="I472">
        <v>1E-4</v>
      </c>
      <c r="J472" t="b">
        <v>1</v>
      </c>
      <c r="K472">
        <v>1</v>
      </c>
      <c r="L472">
        <v>1500</v>
      </c>
      <c r="M472">
        <v>0.1</v>
      </c>
      <c r="N472">
        <v>0.154</v>
      </c>
      <c r="O472" t="s">
        <v>279</v>
      </c>
      <c r="P472" t="s">
        <v>282</v>
      </c>
      <c r="Q472" s="1">
        <v>-1.5374769116976501E-6</v>
      </c>
      <c r="R472" s="1">
        <v>3.3204038239658099E-7</v>
      </c>
      <c r="S472" s="1">
        <v>4.5757241070767399E-6</v>
      </c>
      <c r="T472" s="1">
        <v>-2.7919188713656602E-6</v>
      </c>
      <c r="U472">
        <v>1.04624226403414</v>
      </c>
      <c r="V472" s="1">
        <v>-1.0477140459244301E-15</v>
      </c>
      <c r="W472">
        <v>1.2342609157046901E-2</v>
      </c>
      <c r="X472">
        <v>1.841175315791</v>
      </c>
      <c r="Y472">
        <v>0.90985669969745897</v>
      </c>
      <c r="Z472">
        <v>1.10251732520709E-2</v>
      </c>
      <c r="AA472">
        <v>0.72466560107316202</v>
      </c>
      <c r="AB472" s="9">
        <f t="shared" si="62"/>
        <v>-0.61015891824590651</v>
      </c>
      <c r="AC472" s="9">
        <f t="shared" si="63"/>
        <v>-0.59948711400631127</v>
      </c>
      <c r="AD472" s="2">
        <f t="shared" si="64"/>
        <v>-1.7490204470459458E-2</v>
      </c>
      <c r="AE472" s="8">
        <f t="shared" si="65"/>
        <v>0.10165547361889626</v>
      </c>
      <c r="AF472" s="2">
        <f t="shared" si="66"/>
        <v>4.300407049535368E-3</v>
      </c>
      <c r="AG472" s="8">
        <f t="shared" si="67"/>
        <v>9.7355066569360896E-2</v>
      </c>
      <c r="AH472" s="7">
        <f t="shared" si="68"/>
        <v>4.4172401099140848E-2</v>
      </c>
      <c r="AI472">
        <f t="shared" si="69"/>
        <v>1</v>
      </c>
      <c r="AJ472" s="10">
        <f t="shared" si="70"/>
        <v>9.7355066569360896E-2</v>
      </c>
    </row>
    <row r="473" spans="1:36" hidden="1" x14ac:dyDescent="0.25">
      <c r="A473" t="b">
        <v>0</v>
      </c>
      <c r="B473">
        <v>1000</v>
      </c>
      <c r="C473">
        <v>9.7355066569360896E-2</v>
      </c>
      <c r="D473" t="s">
        <v>52</v>
      </c>
      <c r="E473" t="b">
        <v>1</v>
      </c>
      <c r="F473" t="s">
        <v>53</v>
      </c>
      <c r="G473">
        <v>7.4999999999999997E-2</v>
      </c>
      <c r="H473">
        <v>0.5</v>
      </c>
      <c r="I473">
        <v>1E-4</v>
      </c>
      <c r="J473" t="b">
        <v>1</v>
      </c>
      <c r="K473">
        <v>1</v>
      </c>
      <c r="L473">
        <v>1500</v>
      </c>
      <c r="M473">
        <v>0.1</v>
      </c>
      <c r="N473">
        <v>0.154</v>
      </c>
      <c r="O473" t="s">
        <v>279</v>
      </c>
      <c r="P473" t="s">
        <v>283</v>
      </c>
      <c r="Q473" s="1">
        <v>-1E-10</v>
      </c>
      <c r="R473" s="1">
        <v>3.5857858847026701E-12</v>
      </c>
      <c r="S473" s="1">
        <v>6.4000192157342998E-18</v>
      </c>
      <c r="T473" s="1">
        <v>2.2659626732911198E-16</v>
      </c>
      <c r="U473">
        <v>1.04624426541163</v>
      </c>
      <c r="V473">
        <v>0</v>
      </c>
      <c r="W473">
        <v>6.8474547356323995E-2</v>
      </c>
      <c r="X473">
        <v>2</v>
      </c>
      <c r="Y473">
        <v>4.0005663612286196E-3</v>
      </c>
      <c r="Z473">
        <v>2.5000000000000001E-4</v>
      </c>
      <c r="AA473">
        <v>4.7933529180695603E-3</v>
      </c>
      <c r="AB473" s="9">
        <f t="shared" si="62"/>
        <v>35.405560466448328</v>
      </c>
      <c r="AC473" s="9">
        <f t="shared" si="63"/>
        <v>-0.59948711400631127</v>
      </c>
      <c r="AD473" s="2">
        <f t="shared" si="64"/>
        <v>-1.0169320046373622</v>
      </c>
      <c r="AE473" s="8">
        <f t="shared" si="65"/>
        <v>-0.92255844951316324</v>
      </c>
      <c r="AF473" s="2">
        <f t="shared" si="66"/>
        <v>-1.0199135160825241</v>
      </c>
      <c r="AG473" s="8">
        <f t="shared" si="67"/>
        <v>9.7355066569360896E-2</v>
      </c>
      <c r="AH473" s="7">
        <f t="shared" si="68"/>
        <v>-10.476224320137296</v>
      </c>
      <c r="AI473">
        <f t="shared" si="69"/>
        <v>1</v>
      </c>
      <c r="AJ473" s="10">
        <f t="shared" si="70"/>
        <v>9.7355066569360896E-2</v>
      </c>
    </row>
    <row r="474" spans="1:36" hidden="1" x14ac:dyDescent="0.25">
      <c r="A474" t="b">
        <v>0</v>
      </c>
      <c r="B474">
        <v>1000</v>
      </c>
      <c r="C474">
        <v>9.7355066569360896E-2</v>
      </c>
      <c r="D474" t="s">
        <v>52</v>
      </c>
      <c r="E474" t="b">
        <v>1</v>
      </c>
      <c r="F474" t="s">
        <v>53</v>
      </c>
      <c r="G474">
        <v>7.4999999999999997E-2</v>
      </c>
      <c r="H474">
        <v>0.5</v>
      </c>
      <c r="I474">
        <v>1E-4</v>
      </c>
      <c r="J474" t="b">
        <v>1</v>
      </c>
      <c r="K474">
        <v>1</v>
      </c>
      <c r="L474">
        <v>1500</v>
      </c>
      <c r="M474">
        <v>0.1</v>
      </c>
      <c r="N474">
        <v>0.154</v>
      </c>
      <c r="O474" t="s">
        <v>279</v>
      </c>
      <c r="P474" t="s">
        <v>284</v>
      </c>
      <c r="Q474" s="1">
        <v>-1.53747691169686E-6</v>
      </c>
      <c r="R474" s="1">
        <v>3.31799896862216E-7</v>
      </c>
      <c r="S474" s="1">
        <v>4.5757241070748103E-6</v>
      </c>
      <c r="T474" s="1">
        <v>-2.7919188714006202E-6</v>
      </c>
      <c r="U474">
        <v>1.0462422640417699</v>
      </c>
      <c r="V474" s="1">
        <v>-1.04771404614978E-15</v>
      </c>
      <c r="W474">
        <v>1.2507762115459699E-2</v>
      </c>
      <c r="X474">
        <v>1.8411753157925701</v>
      </c>
      <c r="Y474">
        <v>0.90954499622178298</v>
      </c>
      <c r="Z474">
        <v>1.1025173252069901E-2</v>
      </c>
      <c r="AA474">
        <v>0.72413073590348598</v>
      </c>
      <c r="AB474" s="9">
        <f t="shared" si="62"/>
        <v>-0.61015891825380419</v>
      </c>
      <c r="AC474" s="9">
        <f t="shared" si="63"/>
        <v>-0.59948711400631127</v>
      </c>
      <c r="AD474" s="2">
        <f t="shared" si="64"/>
        <v>-1.749020448317673E-2</v>
      </c>
      <c r="AE474" s="8">
        <f t="shared" si="65"/>
        <v>0.10165547362209125</v>
      </c>
      <c r="AF474" s="2">
        <f t="shared" si="66"/>
        <v>4.300407052730354E-3</v>
      </c>
      <c r="AG474" s="8">
        <f t="shared" si="67"/>
        <v>9.7355066569360896E-2</v>
      </c>
      <c r="AH474" s="7">
        <f t="shared" si="68"/>
        <v>4.4172401131958722E-2</v>
      </c>
      <c r="AI474">
        <f t="shared" si="69"/>
        <v>1</v>
      </c>
      <c r="AJ474" s="10">
        <f t="shared" si="70"/>
        <v>9.7355066569360896E-2</v>
      </c>
    </row>
    <row r="475" spans="1:36" hidden="1" x14ac:dyDescent="0.25">
      <c r="A475" t="b">
        <v>0</v>
      </c>
      <c r="B475">
        <v>1000</v>
      </c>
      <c r="C475">
        <v>9.7355066569360896E-2</v>
      </c>
      <c r="D475" t="s">
        <v>52</v>
      </c>
      <c r="E475" t="b">
        <v>1</v>
      </c>
      <c r="F475" t="s">
        <v>53</v>
      </c>
      <c r="G475">
        <v>7.4999999999999997E-2</v>
      </c>
      <c r="H475">
        <v>0.5</v>
      </c>
      <c r="I475">
        <v>1E-4</v>
      </c>
      <c r="J475" t="b">
        <v>1</v>
      </c>
      <c r="K475">
        <v>1</v>
      </c>
      <c r="L475">
        <v>1500</v>
      </c>
      <c r="M475">
        <v>0.1</v>
      </c>
      <c r="N475">
        <v>0.154</v>
      </c>
      <c r="O475" t="s">
        <v>279</v>
      </c>
      <c r="P475" t="s">
        <v>285</v>
      </c>
      <c r="Q475" s="1">
        <v>-1.2295493519310699E-5</v>
      </c>
      <c r="R475" s="1">
        <v>2.67036042985209E-6</v>
      </c>
      <c r="S475" s="1">
        <v>3.6592909840942602E-5</v>
      </c>
      <c r="T475" s="1">
        <v>-2.2325989215945201E-5</v>
      </c>
      <c r="U475">
        <v>1.0462282608268201</v>
      </c>
      <c r="V475" s="1">
        <v>-1.0475924784511399E-15</v>
      </c>
      <c r="W475">
        <v>1.2589282025421301E-2</v>
      </c>
      <c r="X475">
        <v>1.8411695384874001</v>
      </c>
      <c r="Y475">
        <v>0.91102902567192401</v>
      </c>
      <c r="Z475">
        <v>1.10255289633827E-2</v>
      </c>
      <c r="AA475">
        <v>0.72878280553995101</v>
      </c>
      <c r="AB475" s="9">
        <f t="shared" si="62"/>
        <v>-0.61011789751044576</v>
      </c>
      <c r="AC475" s="9">
        <f t="shared" si="63"/>
        <v>-0.59948711400631127</v>
      </c>
      <c r="AD475" s="2">
        <f t="shared" si="64"/>
        <v>-1.7424146296171394E-2</v>
      </c>
      <c r="AE475" s="8">
        <f t="shared" si="65"/>
        <v>0.10163887900168099</v>
      </c>
      <c r="AF475" s="2">
        <f t="shared" si="66"/>
        <v>4.2838124323200943E-3</v>
      </c>
      <c r="AG475" s="8">
        <f t="shared" si="67"/>
        <v>9.7355066569360896E-2</v>
      </c>
      <c r="AH475" s="7">
        <f t="shared" si="68"/>
        <v>4.4001946516754521E-2</v>
      </c>
      <c r="AI475">
        <f t="shared" si="69"/>
        <v>1</v>
      </c>
      <c r="AJ475" s="10">
        <f t="shared" si="70"/>
        <v>9.7355066569360896E-2</v>
      </c>
    </row>
    <row r="476" spans="1:36" hidden="1" x14ac:dyDescent="0.25">
      <c r="A476" t="b">
        <v>0</v>
      </c>
      <c r="B476">
        <v>1000</v>
      </c>
      <c r="C476">
        <v>9.7355066569360896E-2</v>
      </c>
      <c r="D476" t="s">
        <v>52</v>
      </c>
      <c r="E476" t="b">
        <v>1</v>
      </c>
      <c r="F476" t="s">
        <v>53</v>
      </c>
      <c r="G476">
        <v>7.4999999999999997E-2</v>
      </c>
      <c r="H476">
        <v>0.5</v>
      </c>
      <c r="I476">
        <v>1E-4</v>
      </c>
      <c r="J476" t="b">
        <v>1</v>
      </c>
      <c r="K476">
        <v>1</v>
      </c>
      <c r="L476">
        <v>1500</v>
      </c>
      <c r="M476">
        <v>0.1</v>
      </c>
      <c r="N476">
        <v>0.154</v>
      </c>
      <c r="O476" t="s">
        <v>280</v>
      </c>
      <c r="P476" t="s">
        <v>281</v>
      </c>
      <c r="Q476" s="1">
        <v>-1.53749326004418E-6</v>
      </c>
      <c r="R476" s="1">
        <v>3.3291834616972298E-7</v>
      </c>
      <c r="S476" s="1">
        <v>4.5757737045113603E-6</v>
      </c>
      <c r="T476" s="1">
        <v>-2.7920166666749902E-6</v>
      </c>
      <c r="U476">
        <v>1.04627027075001</v>
      </c>
      <c r="V476" s="1">
        <v>-1.0473760608477099E-15</v>
      </c>
      <c r="W476">
        <v>1.2491310175248601E-2</v>
      </c>
      <c r="X476">
        <v>1.84117728574658</v>
      </c>
      <c r="Y476">
        <v>0.91032734364621903</v>
      </c>
      <c r="Z476">
        <v>1.1025033989960501E-2</v>
      </c>
      <c r="AA476">
        <v>0.72658749286518598</v>
      </c>
      <c r="AB476" s="9">
        <f t="shared" si="62"/>
        <v>-0.61017367705974557</v>
      </c>
      <c r="AC476" s="9">
        <f t="shared" si="63"/>
        <v>-0.59948711400631127</v>
      </c>
      <c r="AD476" s="2">
        <f t="shared" si="64"/>
        <v>-1.7513969309410071E-2</v>
      </c>
      <c r="AE476" s="8">
        <f t="shared" si="65"/>
        <v>0.10166144430372644</v>
      </c>
      <c r="AF476" s="2">
        <f t="shared" si="66"/>
        <v>4.3063777343655407E-3</v>
      </c>
      <c r="AG476" s="8">
        <f t="shared" si="67"/>
        <v>9.7355066569360896E-2</v>
      </c>
      <c r="AH476" s="7">
        <f t="shared" si="68"/>
        <v>4.4233730057566645E-2</v>
      </c>
      <c r="AI476">
        <f t="shared" si="69"/>
        <v>1</v>
      </c>
      <c r="AJ476" s="10">
        <f t="shared" si="70"/>
        <v>9.7355066569360896E-2</v>
      </c>
    </row>
    <row r="477" spans="1:36" hidden="1" x14ac:dyDescent="0.25">
      <c r="A477" t="b">
        <v>0</v>
      </c>
      <c r="B477">
        <v>1000</v>
      </c>
      <c r="C477">
        <v>9.7355066569360896E-2</v>
      </c>
      <c r="D477" t="s">
        <v>52</v>
      </c>
      <c r="E477" t="b">
        <v>1</v>
      </c>
      <c r="F477" t="s">
        <v>53</v>
      </c>
      <c r="G477">
        <v>7.4999999999999997E-2</v>
      </c>
      <c r="H477">
        <v>0.5</v>
      </c>
      <c r="I477">
        <v>1E-4</v>
      </c>
      <c r="J477" t="b">
        <v>1</v>
      </c>
      <c r="K477">
        <v>1</v>
      </c>
      <c r="L477">
        <v>1500</v>
      </c>
      <c r="M477">
        <v>0.1</v>
      </c>
      <c r="N477">
        <v>0.154</v>
      </c>
      <c r="O477" t="s">
        <v>280</v>
      </c>
      <c r="P477" t="s">
        <v>282</v>
      </c>
      <c r="Q477" s="1">
        <v>-1.2295624255169701E-5</v>
      </c>
      <c r="R477" s="1">
        <v>2.63628338286655E-6</v>
      </c>
      <c r="S477" s="1">
        <v>3.65933064654008E-5</v>
      </c>
      <c r="T477" s="1">
        <v>-2.2326771235703199E-5</v>
      </c>
      <c r="U477">
        <v>1.0462562674209199</v>
      </c>
      <c r="V477" s="1">
        <v>-1.0474548268845901E-15</v>
      </c>
      <c r="W477">
        <v>1.2573644874247E-2</v>
      </c>
      <c r="X477">
        <v>1.84117150849829</v>
      </c>
      <c r="Y477">
        <v>0.90836363599066505</v>
      </c>
      <c r="Z477">
        <v>1.10253897692976E-2</v>
      </c>
      <c r="AA477">
        <v>0.71938903485272898</v>
      </c>
      <c r="AB477" s="9">
        <f t="shared" si="62"/>
        <v>-0.61013265518417426</v>
      </c>
      <c r="AC477" s="9">
        <f t="shared" si="63"/>
        <v>-0.59948711400631127</v>
      </c>
      <c r="AD477" s="2">
        <f t="shared" si="64"/>
        <v>-1.7447912494782836E-2</v>
      </c>
      <c r="AE477" s="8">
        <f t="shared" si="65"/>
        <v>0.10164484904541424</v>
      </c>
      <c r="AF477" s="2">
        <f t="shared" si="66"/>
        <v>4.2897824760533415E-3</v>
      </c>
      <c r="AG477" s="8">
        <f t="shared" si="67"/>
        <v>9.7355066569360896E-2</v>
      </c>
      <c r="AH477" s="7">
        <f t="shared" si="68"/>
        <v>4.4063268890038441E-2</v>
      </c>
      <c r="AI477">
        <f t="shared" si="69"/>
        <v>1</v>
      </c>
      <c r="AJ477" s="10">
        <f t="shared" si="70"/>
        <v>9.7355066569360896E-2</v>
      </c>
    </row>
    <row r="478" spans="1:36" hidden="1" x14ac:dyDescent="0.25">
      <c r="A478" t="b">
        <v>0</v>
      </c>
      <c r="B478">
        <v>1000</v>
      </c>
      <c r="C478">
        <v>9.7355066569360896E-2</v>
      </c>
      <c r="D478" t="s">
        <v>52</v>
      </c>
      <c r="E478" t="b">
        <v>1</v>
      </c>
      <c r="F478" t="s">
        <v>53</v>
      </c>
      <c r="G478">
        <v>7.4999999999999997E-2</v>
      </c>
      <c r="H478">
        <v>0.5</v>
      </c>
      <c r="I478">
        <v>1E-4</v>
      </c>
      <c r="J478" t="b">
        <v>1</v>
      </c>
      <c r="K478">
        <v>1</v>
      </c>
      <c r="L478">
        <v>1500</v>
      </c>
      <c r="M478">
        <v>0.1</v>
      </c>
      <c r="N478">
        <v>0.154</v>
      </c>
      <c r="O478" t="s">
        <v>280</v>
      </c>
      <c r="P478" t="s">
        <v>283</v>
      </c>
      <c r="Q478" s="1">
        <v>-1.0758147349813701E-5</v>
      </c>
      <c r="R478" s="1">
        <v>2.3241712844944001E-6</v>
      </c>
      <c r="S478" s="1">
        <v>3.2017582358310597E-5</v>
      </c>
      <c r="T478" s="1">
        <v>-1.9534852364071902E-5</v>
      </c>
      <c r="U478">
        <v>1.0462582687984101</v>
      </c>
      <c r="V478" s="1">
        <v>-1.0474705434385099E-15</v>
      </c>
      <c r="W478">
        <v>1.17168275787731E-2</v>
      </c>
      <c r="X478">
        <v>1.84117104976083</v>
      </c>
      <c r="Y478">
        <v>0.91067746596296295</v>
      </c>
      <c r="Z478">
        <v>1.10254295176843E-2</v>
      </c>
      <c r="AA478">
        <v>0.72487877445147797</v>
      </c>
      <c r="AB478" s="9">
        <f t="shared" si="62"/>
        <v>-0.61012890184699931</v>
      </c>
      <c r="AC478" s="9">
        <f t="shared" si="63"/>
        <v>-0.59948711400631127</v>
      </c>
      <c r="AD478" s="2">
        <f t="shared" si="64"/>
        <v>-1.744186811749604E-2</v>
      </c>
      <c r="AE478" s="8">
        <f t="shared" si="65"/>
        <v>0.10164333067076792</v>
      </c>
      <c r="AF478" s="2">
        <f t="shared" si="66"/>
        <v>4.2882641014070216E-3</v>
      </c>
      <c r="AG478" s="8">
        <f t="shared" si="67"/>
        <v>9.7355066569360896E-2</v>
      </c>
      <c r="AH478" s="7">
        <f t="shared" si="68"/>
        <v>4.4047672632957786E-2</v>
      </c>
      <c r="AI478">
        <f t="shared" si="69"/>
        <v>1</v>
      </c>
      <c r="AJ478" s="10">
        <f t="shared" si="70"/>
        <v>9.7355066569360896E-2</v>
      </c>
    </row>
    <row r="479" spans="1:36" hidden="1" x14ac:dyDescent="0.25">
      <c r="A479" t="b">
        <v>0</v>
      </c>
      <c r="B479">
        <v>1000</v>
      </c>
      <c r="C479">
        <v>9.7355066569360896E-2</v>
      </c>
      <c r="D479" t="s">
        <v>52</v>
      </c>
      <c r="E479" t="b">
        <v>1</v>
      </c>
      <c r="F479" t="s">
        <v>53</v>
      </c>
      <c r="G479">
        <v>7.4999999999999997E-2</v>
      </c>
      <c r="H479">
        <v>0.5</v>
      </c>
      <c r="I479">
        <v>1E-4</v>
      </c>
      <c r="J479" t="b">
        <v>1</v>
      </c>
      <c r="K479">
        <v>1</v>
      </c>
      <c r="L479">
        <v>1500</v>
      </c>
      <c r="M479">
        <v>0.1</v>
      </c>
      <c r="N479">
        <v>0.154</v>
      </c>
      <c r="O479" t="s">
        <v>280</v>
      </c>
      <c r="P479" t="s">
        <v>284</v>
      </c>
      <c r="Q479" s="1">
        <v>-1.22956242550494E-5</v>
      </c>
      <c r="R479" s="1">
        <v>2.64030949410035E-6</v>
      </c>
      <c r="S479" s="1">
        <v>3.6593306465398401E-5</v>
      </c>
      <c r="T479" s="1">
        <v>-2.23267712356181E-5</v>
      </c>
      <c r="U479">
        <v>1.04625626742855</v>
      </c>
      <c r="V479" s="1">
        <v>-1.04717210625102E-15</v>
      </c>
      <c r="W479">
        <v>1.2089271756279199E-2</v>
      </c>
      <c r="X479">
        <v>1.84117150867885</v>
      </c>
      <c r="Y479">
        <v>0.90893204449098797</v>
      </c>
      <c r="Z479">
        <v>1.102538976603E-2</v>
      </c>
      <c r="AA479">
        <v>0.72047666473991101</v>
      </c>
      <c r="AB479" s="9">
        <f t="shared" si="62"/>
        <v>-0.61013265518188864</v>
      </c>
      <c r="AC479" s="9">
        <f t="shared" si="63"/>
        <v>-0.59948711400631127</v>
      </c>
      <c r="AD479" s="2">
        <f t="shared" si="64"/>
        <v>-1.7447912491102113E-2</v>
      </c>
      <c r="AE479" s="8">
        <f t="shared" si="65"/>
        <v>0.1016448490444896</v>
      </c>
      <c r="AF479" s="2">
        <f t="shared" si="66"/>
        <v>4.2897824751287061E-3</v>
      </c>
      <c r="AG479" s="8">
        <f t="shared" si="67"/>
        <v>9.7355066569360896E-2</v>
      </c>
      <c r="AH479" s="7">
        <f t="shared" si="68"/>
        <v>4.4063268880540886E-2</v>
      </c>
      <c r="AI479">
        <f t="shared" si="69"/>
        <v>1</v>
      </c>
      <c r="AJ479" s="10">
        <f t="shared" si="70"/>
        <v>9.7355066569360896E-2</v>
      </c>
    </row>
    <row r="480" spans="1:36" hidden="1" x14ac:dyDescent="0.25">
      <c r="A480" t="b">
        <v>0</v>
      </c>
      <c r="B480">
        <v>1000</v>
      </c>
      <c r="C480">
        <v>9.7355066569360896E-2</v>
      </c>
      <c r="D480" t="s">
        <v>52</v>
      </c>
      <c r="E480" t="b">
        <v>1</v>
      </c>
      <c r="F480" t="s">
        <v>53</v>
      </c>
      <c r="G480">
        <v>7.4999999999999997E-2</v>
      </c>
      <c r="H480">
        <v>0.5</v>
      </c>
      <c r="I480">
        <v>1E-4</v>
      </c>
      <c r="J480" t="b">
        <v>1</v>
      </c>
      <c r="K480">
        <v>1</v>
      </c>
      <c r="L480">
        <v>1500</v>
      </c>
      <c r="M480">
        <v>0.1</v>
      </c>
      <c r="N480">
        <v>0.154</v>
      </c>
      <c r="O480" t="s">
        <v>280</v>
      </c>
      <c r="P480" t="s">
        <v>285</v>
      </c>
      <c r="Q480" s="1">
        <v>-2.30536408178322E-5</v>
      </c>
      <c r="R480" s="1">
        <v>4.9286921859424002E-6</v>
      </c>
      <c r="S480" s="1">
        <v>6.8610492199266894E-5</v>
      </c>
      <c r="T480" s="1">
        <v>-4.1860841580413602E-5</v>
      </c>
      <c r="U480">
        <v>1.0462422642136</v>
      </c>
      <c r="V480" s="1">
        <v>-1.04811290330607E-15</v>
      </c>
      <c r="W480">
        <v>1.1765490348184001E-2</v>
      </c>
      <c r="X480">
        <v>1.8411699247862701</v>
      </c>
      <c r="Y480">
        <v>0.90844120366855796</v>
      </c>
      <c r="Z480">
        <v>1.1025449596535499E-2</v>
      </c>
      <c r="AA480">
        <v>0.71726534507758</v>
      </c>
      <c r="AB480" s="9">
        <f t="shared" si="62"/>
        <v>-0.61012303276933622</v>
      </c>
      <c r="AC480" s="9">
        <f t="shared" si="63"/>
        <v>-0.59948711400631127</v>
      </c>
      <c r="AD480" s="2">
        <f t="shared" si="64"/>
        <v>-1.7432416400916306E-2</v>
      </c>
      <c r="AE480" s="8">
        <f t="shared" si="65"/>
        <v>0.10164095640306502</v>
      </c>
      <c r="AF480" s="2">
        <f t="shared" si="66"/>
        <v>4.2858898337041207E-3</v>
      </c>
      <c r="AG480" s="8">
        <f t="shared" si="67"/>
        <v>9.7355066569360896E-2</v>
      </c>
      <c r="AH480" s="7">
        <f t="shared" si="68"/>
        <v>4.402328491707852E-2</v>
      </c>
      <c r="AI480">
        <f t="shared" si="69"/>
        <v>1</v>
      </c>
      <c r="AJ480" s="10">
        <f t="shared" si="70"/>
        <v>9.7355066569360896E-2</v>
      </c>
    </row>
    <row r="481" spans="1:36" hidden="1" x14ac:dyDescent="0.25">
      <c r="A481" t="b">
        <v>0</v>
      </c>
      <c r="B481">
        <v>1000</v>
      </c>
      <c r="C481">
        <v>9.7355066569360896E-2</v>
      </c>
      <c r="D481" t="s">
        <v>52</v>
      </c>
      <c r="E481" t="b">
        <v>1</v>
      </c>
      <c r="F481" t="s">
        <v>53</v>
      </c>
      <c r="G481">
        <v>7.4999999999999997E-2</v>
      </c>
      <c r="H481">
        <v>0.5</v>
      </c>
      <c r="I481">
        <v>1E-4</v>
      </c>
      <c r="J481" t="b">
        <v>1</v>
      </c>
      <c r="K481">
        <v>1</v>
      </c>
      <c r="L481">
        <v>1500</v>
      </c>
      <c r="M481">
        <v>0.1</v>
      </c>
      <c r="N481">
        <v>0.154</v>
      </c>
      <c r="O481" t="s">
        <v>281</v>
      </c>
      <c r="P481" t="s">
        <v>282</v>
      </c>
      <c r="Q481" s="1">
        <v>-1.0758131001591E-5</v>
      </c>
      <c r="R481" s="1">
        <v>2.3092534449889099E-6</v>
      </c>
      <c r="S481" s="1">
        <v>3.2017532760885797E-5</v>
      </c>
      <c r="T481" s="1">
        <v>-1.9534754568832201E-5</v>
      </c>
      <c r="U481">
        <v>1.04625426599976</v>
      </c>
      <c r="V481" s="1">
        <v>-1.04635128033185E-15</v>
      </c>
      <c r="W481">
        <v>1.19192669378835E-2</v>
      </c>
      <c r="X481">
        <v>1.84117076757103</v>
      </c>
      <c r="Y481">
        <v>0.90900145778778696</v>
      </c>
      <c r="Z481">
        <v>1.10254493749837E-2</v>
      </c>
      <c r="AA481">
        <v>0.72018412545074495</v>
      </c>
      <c r="AB481" s="9">
        <f t="shared" si="62"/>
        <v>-0.61012679255213642</v>
      </c>
      <c r="AC481" s="9">
        <f t="shared" si="63"/>
        <v>-0.59948711400631127</v>
      </c>
      <c r="AD481" s="2">
        <f t="shared" si="64"/>
        <v>-1.7438471274667022E-2</v>
      </c>
      <c r="AE481" s="8">
        <f t="shared" si="65"/>
        <v>0.10164247737867149</v>
      </c>
      <c r="AF481" s="2">
        <f t="shared" si="66"/>
        <v>4.2874108093105961E-3</v>
      </c>
      <c r="AG481" s="8">
        <f t="shared" si="67"/>
        <v>9.7355066569360896E-2</v>
      </c>
      <c r="AH481" s="7">
        <f t="shared" si="68"/>
        <v>4.4038907890387176E-2</v>
      </c>
      <c r="AI481">
        <f t="shared" si="69"/>
        <v>1</v>
      </c>
      <c r="AJ481" s="10">
        <f t="shared" si="70"/>
        <v>9.7355066569360896E-2</v>
      </c>
    </row>
    <row r="482" spans="1:36" hidden="1" x14ac:dyDescent="0.25">
      <c r="A482" t="b">
        <v>0</v>
      </c>
      <c r="B482">
        <v>1000</v>
      </c>
      <c r="C482">
        <v>9.7355066569360896E-2</v>
      </c>
      <c r="D482" t="s">
        <v>52</v>
      </c>
      <c r="E482" t="b">
        <v>1</v>
      </c>
      <c r="F482" t="s">
        <v>53</v>
      </c>
      <c r="G482">
        <v>7.4999999999999997E-2</v>
      </c>
      <c r="H482">
        <v>0.5</v>
      </c>
      <c r="I482">
        <v>1E-4</v>
      </c>
      <c r="J482" t="b">
        <v>1</v>
      </c>
      <c r="K482">
        <v>1</v>
      </c>
      <c r="L482">
        <v>1500</v>
      </c>
      <c r="M482">
        <v>0.1</v>
      </c>
      <c r="N482">
        <v>0.154</v>
      </c>
      <c r="O482" t="s">
        <v>281</v>
      </c>
      <c r="P482" t="s">
        <v>283</v>
      </c>
      <c r="Q482" s="1">
        <v>-9.2206540953580092E-6</v>
      </c>
      <c r="R482" s="1">
        <v>2.0080919725446401E-6</v>
      </c>
      <c r="S482" s="1">
        <v>2.74418086538013E-5</v>
      </c>
      <c r="T482" s="1">
        <v>-1.6742835697346898E-5</v>
      </c>
      <c r="U482">
        <v>1.04625626737724</v>
      </c>
      <c r="V482" s="1">
        <v>-1.04717866135892E-15</v>
      </c>
      <c r="W482">
        <v>1.41675061079178E-2</v>
      </c>
      <c r="X482">
        <v>1.84117009559042</v>
      </c>
      <c r="Y482">
        <v>0.90985577765702297</v>
      </c>
      <c r="Z482">
        <v>1.10255043349195E-2</v>
      </c>
      <c r="AA482">
        <v>0.73089081550747104</v>
      </c>
      <c r="AB482" s="9">
        <f t="shared" si="62"/>
        <v>-0.61012143581970657</v>
      </c>
      <c r="AC482" s="9">
        <f t="shared" si="63"/>
        <v>-0.59948711400631127</v>
      </c>
      <c r="AD482" s="2">
        <f t="shared" si="64"/>
        <v>-1.7429844599883504E-2</v>
      </c>
      <c r="AE482" s="8">
        <f t="shared" si="65"/>
        <v>0.10164031037727511</v>
      </c>
      <c r="AF482" s="2">
        <f t="shared" si="66"/>
        <v>4.2852438079142158E-3</v>
      </c>
      <c r="AG482" s="8">
        <f t="shared" si="67"/>
        <v>9.7355066569360896E-2</v>
      </c>
      <c r="AH482" s="7">
        <f t="shared" si="68"/>
        <v>4.4016649147491274E-2</v>
      </c>
      <c r="AI482">
        <f t="shared" si="69"/>
        <v>1</v>
      </c>
      <c r="AJ482" s="10">
        <f t="shared" si="70"/>
        <v>9.7355066569360896E-2</v>
      </c>
    </row>
    <row r="483" spans="1:36" hidden="1" x14ac:dyDescent="0.25">
      <c r="A483" t="b">
        <v>0</v>
      </c>
      <c r="B483">
        <v>1000</v>
      </c>
      <c r="C483">
        <v>9.7355066569360896E-2</v>
      </c>
      <c r="D483" t="s">
        <v>52</v>
      </c>
      <c r="E483" t="b">
        <v>1</v>
      </c>
      <c r="F483" t="s">
        <v>53</v>
      </c>
      <c r="G483">
        <v>7.4999999999999997E-2</v>
      </c>
      <c r="H483">
        <v>0.5</v>
      </c>
      <c r="I483">
        <v>1E-4</v>
      </c>
      <c r="J483" t="b">
        <v>1</v>
      </c>
      <c r="K483">
        <v>1</v>
      </c>
      <c r="L483">
        <v>1500</v>
      </c>
      <c r="M483">
        <v>0.1</v>
      </c>
      <c r="N483">
        <v>0.154</v>
      </c>
      <c r="O483" t="s">
        <v>281</v>
      </c>
      <c r="P483" t="s">
        <v>284</v>
      </c>
      <c r="Q483" s="1">
        <v>-1.0758131001616401E-5</v>
      </c>
      <c r="R483" s="1">
        <v>2.3154015812409601E-6</v>
      </c>
      <c r="S483" s="1">
        <v>3.2017532760886699E-5</v>
      </c>
      <c r="T483" s="1">
        <v>-1.9534754568998999E-5</v>
      </c>
      <c r="U483">
        <v>1.0462542660073899</v>
      </c>
      <c r="V483" s="1">
        <v>-1.04758203475876E-15</v>
      </c>
      <c r="W483">
        <v>1.15804691591926E-2</v>
      </c>
      <c r="X483">
        <v>1.8411707677547899</v>
      </c>
      <c r="Y483">
        <v>0.90989934487728596</v>
      </c>
      <c r="Z483">
        <v>1.10254494039645E-2</v>
      </c>
      <c r="AA483">
        <v>0.72209916117571005</v>
      </c>
      <c r="AB483" s="9">
        <f t="shared" si="62"/>
        <v>-0.61012679255732882</v>
      </c>
      <c r="AC483" s="9">
        <f t="shared" si="63"/>
        <v>-0.59948711400631127</v>
      </c>
      <c r="AD483" s="2">
        <f t="shared" si="64"/>
        <v>-1.7438471283029E-2</v>
      </c>
      <c r="AE483" s="8">
        <f t="shared" si="65"/>
        <v>0.10164247738077202</v>
      </c>
      <c r="AF483" s="2">
        <f t="shared" si="66"/>
        <v>4.2874108114111242E-3</v>
      </c>
      <c r="AG483" s="8">
        <f t="shared" si="67"/>
        <v>9.7355066569360896E-2</v>
      </c>
      <c r="AH483" s="7">
        <f t="shared" si="68"/>
        <v>4.4038907911963125E-2</v>
      </c>
      <c r="AI483">
        <f t="shared" si="69"/>
        <v>1</v>
      </c>
      <c r="AJ483" s="10">
        <f t="shared" si="70"/>
        <v>9.7355066569360896E-2</v>
      </c>
    </row>
    <row r="484" spans="1:36" hidden="1" x14ac:dyDescent="0.25">
      <c r="A484" t="b">
        <v>0</v>
      </c>
      <c r="B484">
        <v>1000</v>
      </c>
      <c r="C484">
        <v>9.7355066569360896E-2</v>
      </c>
      <c r="D484" t="s">
        <v>52</v>
      </c>
      <c r="E484" t="b">
        <v>1</v>
      </c>
      <c r="F484" t="s">
        <v>53</v>
      </c>
      <c r="G484">
        <v>7.4999999999999997E-2</v>
      </c>
      <c r="H484">
        <v>0.5</v>
      </c>
      <c r="I484">
        <v>1E-4</v>
      </c>
      <c r="J484" t="b">
        <v>1</v>
      </c>
      <c r="K484">
        <v>1</v>
      </c>
      <c r="L484">
        <v>1500</v>
      </c>
      <c r="M484">
        <v>0.1</v>
      </c>
      <c r="N484">
        <v>0.154</v>
      </c>
      <c r="O484" t="s">
        <v>281</v>
      </c>
      <c r="P484" t="s">
        <v>285</v>
      </c>
      <c r="Q484" s="1">
        <v>-2.1516147570582201E-5</v>
      </c>
      <c r="R484" s="1">
        <v>4.6365511669329703E-6</v>
      </c>
      <c r="S484" s="1">
        <v>6.4034718494750801E-5</v>
      </c>
      <c r="T484" s="1">
        <v>-3.9068824913434103E-5</v>
      </c>
      <c r="U484">
        <v>1.0462402627924301</v>
      </c>
      <c r="V484" s="1">
        <v>-1.04735649929329E-15</v>
      </c>
      <c r="W484">
        <v>1.1852431501912401E-2</v>
      </c>
      <c r="X484">
        <v>1.8411694840864801</v>
      </c>
      <c r="Y484">
        <v>0.909914683430182</v>
      </c>
      <c r="Z484">
        <v>1.1025488110168499E-2</v>
      </c>
      <c r="AA484">
        <v>0.72302098413926597</v>
      </c>
      <c r="AB484" s="9">
        <f t="shared" ref="AB484:AB547" si="71">T484/S484/K484^2</f>
        <v>-0.61011941384011459</v>
      </c>
      <c r="AC484" s="9">
        <f t="shared" ref="AC484:AC547" si="72">(1+10*C484/K484^2)/(-3-3*C484/K484^2)</f>
        <v>-0.59948711400631127</v>
      </c>
      <c r="AD484" s="2">
        <f t="shared" ref="AD484:AD547" si="73">(AC484/AB484-1)</f>
        <v>-1.7426588291762801E-2</v>
      </c>
      <c r="AE484" s="8">
        <f t="shared" ref="AE484:AE547" si="74">-(1+3*AB484)/(10+3*AB484)</f>
        <v>0.1016394924120725</v>
      </c>
      <c r="AF484" s="2">
        <f t="shared" ref="AF484:AF547" si="75">(AE484-C484/K484^2)</f>
        <v>4.2844258427116033E-3</v>
      </c>
      <c r="AG484" s="8">
        <f t="shared" ref="AG484:AG547" si="76">C484/K484^2</f>
        <v>9.7355066569360896E-2</v>
      </c>
      <c r="AH484" s="7">
        <f t="shared" ref="AH484:AH547" si="77">AF484/AG484</f>
        <v>4.4008247271436582E-2</v>
      </c>
      <c r="AI484">
        <f t="shared" ref="AI484:AI547" si="78">K484</f>
        <v>1</v>
      </c>
      <c r="AJ484" s="10">
        <f t="shared" ref="AJ484:AJ547" si="79">C484</f>
        <v>9.7355066569360896E-2</v>
      </c>
    </row>
    <row r="485" spans="1:36" hidden="1" x14ac:dyDescent="0.25">
      <c r="A485" t="b">
        <v>0</v>
      </c>
      <c r="B485">
        <v>1000</v>
      </c>
      <c r="C485">
        <v>9.7355066569360896E-2</v>
      </c>
      <c r="D485" t="s">
        <v>52</v>
      </c>
      <c r="E485" t="b">
        <v>1</v>
      </c>
      <c r="F485" t="s">
        <v>53</v>
      </c>
      <c r="G485">
        <v>7.4999999999999997E-2</v>
      </c>
      <c r="H485">
        <v>0.5</v>
      </c>
      <c r="I485">
        <v>1E-4</v>
      </c>
      <c r="J485" t="b">
        <v>1</v>
      </c>
      <c r="K485">
        <v>1</v>
      </c>
      <c r="L485">
        <v>1500</v>
      </c>
      <c r="M485">
        <v>0.1</v>
      </c>
      <c r="N485">
        <v>0.154</v>
      </c>
      <c r="O485" t="s">
        <v>282</v>
      </c>
      <c r="P485" t="s">
        <v>284</v>
      </c>
      <c r="Q485" s="1">
        <v>-1E-10</v>
      </c>
      <c r="R485" s="1">
        <v>3.5857858429948799E-12</v>
      </c>
      <c r="S485" s="1">
        <v>1.47909493003611E-17</v>
      </c>
      <c r="T485" s="1">
        <v>-3.4882253515890501E-17</v>
      </c>
      <c r="U485">
        <v>1.0462402626783001</v>
      </c>
      <c r="V485">
        <v>0</v>
      </c>
      <c r="W485">
        <v>6.8474546559867594E-2</v>
      </c>
      <c r="X485">
        <v>2</v>
      </c>
      <c r="Y485">
        <v>4.0005663146963398E-3</v>
      </c>
      <c r="Z485">
        <v>2.5000000000000001E-4</v>
      </c>
      <c r="AA485">
        <v>4.7933528623160396E-3</v>
      </c>
      <c r="AB485" s="9">
        <f t="shared" si="71"/>
        <v>-2.3583512327392602</v>
      </c>
      <c r="AC485" s="9">
        <f t="shared" si="72"/>
        <v>-0.59948711400631127</v>
      </c>
      <c r="AD485" s="2">
        <f t="shared" si="73"/>
        <v>-0.74580244635147164</v>
      </c>
      <c r="AE485" s="8">
        <f t="shared" si="74"/>
        <v>2.0769795652371972</v>
      </c>
      <c r="AF485" s="2">
        <f t="shared" si="75"/>
        <v>1.9796244986678362</v>
      </c>
      <c r="AG485" s="8">
        <f t="shared" si="76"/>
        <v>9.7355066569360896E-2</v>
      </c>
      <c r="AH485" s="7">
        <f t="shared" si="77"/>
        <v>20.334067536767048</v>
      </c>
      <c r="AI485">
        <f t="shared" si="78"/>
        <v>1</v>
      </c>
      <c r="AJ485" s="10">
        <f t="shared" si="79"/>
        <v>9.7355066569360896E-2</v>
      </c>
    </row>
    <row r="486" spans="1:36" hidden="1" x14ac:dyDescent="0.25">
      <c r="A486" t="b">
        <v>0</v>
      </c>
      <c r="B486">
        <v>1000</v>
      </c>
      <c r="C486">
        <v>9.7355066569360896E-2</v>
      </c>
      <c r="D486" t="s">
        <v>52</v>
      </c>
      <c r="E486" t="b">
        <v>1</v>
      </c>
      <c r="F486" t="s">
        <v>53</v>
      </c>
      <c r="G486">
        <v>7.4999999999999997E-2</v>
      </c>
      <c r="H486">
        <v>0.5</v>
      </c>
      <c r="I486">
        <v>1E-4</v>
      </c>
      <c r="J486" t="b">
        <v>1</v>
      </c>
      <c r="K486">
        <v>1</v>
      </c>
      <c r="L486">
        <v>1500</v>
      </c>
      <c r="M486">
        <v>0.1</v>
      </c>
      <c r="N486">
        <v>0.154</v>
      </c>
      <c r="O486" t="s">
        <v>282</v>
      </c>
      <c r="P486" t="s">
        <v>285</v>
      </c>
      <c r="Q486" s="1">
        <v>-1.0758016614060501E-5</v>
      </c>
      <c r="R486" s="1">
        <v>2.3343635442075099E-6</v>
      </c>
      <c r="S486" s="1">
        <v>3.2017185733869001E-5</v>
      </c>
      <c r="T486" s="1">
        <v>-1.9534070344718799E-5</v>
      </c>
      <c r="U486">
        <v>1.04622625946335</v>
      </c>
      <c r="V486" s="1">
        <v>-1.04674651120117E-15</v>
      </c>
      <c r="W486">
        <v>1.13374884915954E-2</v>
      </c>
      <c r="X486">
        <v>1.8411687985644201</v>
      </c>
      <c r="Y486">
        <v>0.91260022941174102</v>
      </c>
      <c r="Z486">
        <v>1.1025588684841501E-2</v>
      </c>
      <c r="AA486">
        <v>0.72806375871044704</v>
      </c>
      <c r="AB486" s="9">
        <f t="shared" si="71"/>
        <v>-0.61011203505169143</v>
      </c>
      <c r="AC486" s="9">
        <f t="shared" si="72"/>
        <v>-0.59948711400631127</v>
      </c>
      <c r="AD486" s="2">
        <f t="shared" si="73"/>
        <v>-1.7414704898388034E-2</v>
      </c>
      <c r="AE486" s="8">
        <f t="shared" si="74"/>
        <v>0.10163650743074243</v>
      </c>
      <c r="AF486" s="2">
        <f t="shared" si="75"/>
        <v>4.281440861381533E-3</v>
      </c>
      <c r="AG486" s="8">
        <f t="shared" si="76"/>
        <v>9.7355066569360896E-2</v>
      </c>
      <c r="AH486" s="7">
        <f t="shared" si="77"/>
        <v>4.3977586501173088E-2</v>
      </c>
      <c r="AI486">
        <f t="shared" si="78"/>
        <v>1</v>
      </c>
      <c r="AJ486" s="10">
        <f t="shared" si="79"/>
        <v>9.7355066569360896E-2</v>
      </c>
    </row>
    <row r="487" spans="1:36" hidden="1" x14ac:dyDescent="0.25">
      <c r="A487" t="b">
        <v>0</v>
      </c>
      <c r="B487">
        <v>1000</v>
      </c>
      <c r="C487">
        <v>9.7355066569360896E-2</v>
      </c>
      <c r="D487" t="s">
        <v>52</v>
      </c>
      <c r="E487" t="b">
        <v>1</v>
      </c>
      <c r="F487" t="s">
        <v>53</v>
      </c>
      <c r="G487">
        <v>7.4999999999999997E-2</v>
      </c>
      <c r="H487">
        <v>0.5</v>
      </c>
      <c r="I487">
        <v>1E-4</v>
      </c>
      <c r="J487" t="b">
        <v>1</v>
      </c>
      <c r="K487">
        <v>1</v>
      </c>
      <c r="L487">
        <v>1500</v>
      </c>
      <c r="M487">
        <v>0.1</v>
      </c>
      <c r="N487">
        <v>0.154</v>
      </c>
      <c r="O487" t="s">
        <v>283</v>
      </c>
      <c r="P487" t="s">
        <v>284</v>
      </c>
      <c r="Q487" s="1">
        <v>-1.53747691169869E-6</v>
      </c>
      <c r="R487" s="1">
        <v>3.3431252935931799E-7</v>
      </c>
      <c r="S487" s="1">
        <v>4.5757241070832002E-6</v>
      </c>
      <c r="T487" s="1">
        <v>-2.7919188715878801E-6</v>
      </c>
      <c r="U487">
        <v>1.04624226405579</v>
      </c>
      <c r="V487" s="1">
        <v>-1.04771404640829E-15</v>
      </c>
      <c r="W487">
        <v>1.2430289529407E-2</v>
      </c>
      <c r="X487">
        <v>1.8411753157954101</v>
      </c>
      <c r="Y487">
        <v>0.91155264023190796</v>
      </c>
      <c r="Z487">
        <v>1.10251732513467E-2</v>
      </c>
      <c r="AA487">
        <v>0.72966521817934304</v>
      </c>
      <c r="AB487" s="9">
        <f t="shared" si="71"/>
        <v>-0.61015891829361002</v>
      </c>
      <c r="AC487" s="9">
        <f t="shared" si="72"/>
        <v>-0.59948711400631127</v>
      </c>
      <c r="AD487" s="2">
        <f t="shared" si="73"/>
        <v>-1.7490204547274124E-2</v>
      </c>
      <c r="AE487" s="8">
        <f t="shared" si="74"/>
        <v>0.10165547363819465</v>
      </c>
      <c r="AF487" s="2">
        <f t="shared" si="75"/>
        <v>4.3004070688337503E-3</v>
      </c>
      <c r="AG487" s="8">
        <f t="shared" si="76"/>
        <v>9.7355066569360896E-2</v>
      </c>
      <c r="AH487" s="7">
        <f t="shared" si="77"/>
        <v>4.4172401297367644E-2</v>
      </c>
      <c r="AI487">
        <f t="shared" si="78"/>
        <v>1</v>
      </c>
      <c r="AJ487" s="10">
        <f t="shared" si="79"/>
        <v>9.7355066569360896E-2</v>
      </c>
    </row>
    <row r="488" spans="1:36" hidden="1" x14ac:dyDescent="0.25">
      <c r="A488" t="b">
        <v>0</v>
      </c>
      <c r="B488">
        <v>1000</v>
      </c>
      <c r="C488">
        <v>9.7355066569360896E-2</v>
      </c>
      <c r="D488" t="s">
        <v>52</v>
      </c>
      <c r="E488" t="b">
        <v>1</v>
      </c>
      <c r="F488" t="s">
        <v>53</v>
      </c>
      <c r="G488">
        <v>7.4999999999999997E-2</v>
      </c>
      <c r="H488">
        <v>0.5</v>
      </c>
      <c r="I488">
        <v>1E-4</v>
      </c>
      <c r="J488" t="b">
        <v>1</v>
      </c>
      <c r="K488">
        <v>1</v>
      </c>
      <c r="L488">
        <v>1500</v>
      </c>
      <c r="M488">
        <v>0.1</v>
      </c>
      <c r="N488">
        <v>0.154</v>
      </c>
      <c r="O488" t="s">
        <v>283</v>
      </c>
      <c r="P488" t="s">
        <v>285</v>
      </c>
      <c r="Q488" s="1">
        <v>-1.22954935193128E-5</v>
      </c>
      <c r="R488" s="1">
        <v>2.6603646433855302E-6</v>
      </c>
      <c r="S488" s="1">
        <v>3.6592909840953302E-5</v>
      </c>
      <c r="T488" s="1">
        <v>-2.2325989216237499E-5</v>
      </c>
      <c r="U488">
        <v>1.04622826084084</v>
      </c>
      <c r="V488" s="1">
        <v>-1.04759247895908E-15</v>
      </c>
      <c r="W488">
        <v>1.2549215971748E-2</v>
      </c>
      <c r="X488">
        <v>1.84116953848804</v>
      </c>
      <c r="Y488">
        <v>0.91013919145470301</v>
      </c>
      <c r="Z488">
        <v>1.1025528963253799E-2</v>
      </c>
      <c r="AA488">
        <v>0.72602762899155504</v>
      </c>
      <c r="AB488" s="9">
        <f t="shared" si="71"/>
        <v>-0.61011789751825518</v>
      </c>
      <c r="AC488" s="9">
        <f t="shared" si="72"/>
        <v>-0.59948711400631127</v>
      </c>
      <c r="AD488" s="2">
        <f t="shared" si="73"/>
        <v>-1.7424146308748223E-2</v>
      </c>
      <c r="AE488" s="8">
        <f t="shared" si="74"/>
        <v>0.1016388790048402</v>
      </c>
      <c r="AF488" s="2">
        <f t="shared" si="75"/>
        <v>4.2838124354793033E-3</v>
      </c>
      <c r="AG488" s="8">
        <f t="shared" si="76"/>
        <v>9.7355066569360896E-2</v>
      </c>
      <c r="AH488" s="7">
        <f t="shared" si="77"/>
        <v>4.4001946549204904E-2</v>
      </c>
      <c r="AI488">
        <f t="shared" si="78"/>
        <v>1</v>
      </c>
      <c r="AJ488" s="10">
        <f t="shared" si="79"/>
        <v>9.7355066569360896E-2</v>
      </c>
    </row>
    <row r="489" spans="1:36" hidden="1" x14ac:dyDescent="0.25">
      <c r="A489" t="b">
        <v>0</v>
      </c>
      <c r="B489">
        <v>1000</v>
      </c>
      <c r="C489">
        <v>9.7355066569360896E-2</v>
      </c>
      <c r="D489" t="s">
        <v>52</v>
      </c>
      <c r="E489" t="b">
        <v>1</v>
      </c>
      <c r="F489" t="s">
        <v>53</v>
      </c>
      <c r="G489">
        <v>7.4999999999999997E-2</v>
      </c>
      <c r="H489">
        <v>0.5</v>
      </c>
      <c r="I489">
        <v>1E-4</v>
      </c>
      <c r="J489" t="b">
        <v>1</v>
      </c>
      <c r="K489">
        <v>1</v>
      </c>
      <c r="L489">
        <v>1500</v>
      </c>
      <c r="M489">
        <v>0.1</v>
      </c>
      <c r="N489">
        <v>0.154</v>
      </c>
      <c r="O489" t="s">
        <v>284</v>
      </c>
      <c r="P489" t="s">
        <v>285</v>
      </c>
      <c r="Q489" s="1">
        <v>-1.0758016614068E-5</v>
      </c>
      <c r="R489" s="1">
        <v>2.3163533037002498E-6</v>
      </c>
      <c r="S489" s="1">
        <v>3.2017185733873203E-5</v>
      </c>
      <c r="T489" s="1">
        <v>-1.9534070344869401E-5</v>
      </c>
      <c r="U489">
        <v>1.0462262594709799</v>
      </c>
      <c r="V489" s="1">
        <v>-1.0472597293574401E-15</v>
      </c>
      <c r="W489">
        <v>1.15432968745316E-2</v>
      </c>
      <c r="X489">
        <v>1.8411687990365899</v>
      </c>
      <c r="Y489">
        <v>0.91002127074033101</v>
      </c>
      <c r="Z489">
        <v>1.10255887204498E-2</v>
      </c>
      <c r="AA489">
        <v>0.72241713538163999</v>
      </c>
      <c r="AB489" s="9">
        <f t="shared" si="71"/>
        <v>-0.61011203505631517</v>
      </c>
      <c r="AC489" s="9">
        <f t="shared" si="72"/>
        <v>-0.59948711400631127</v>
      </c>
      <c r="AD489" s="2">
        <f t="shared" si="73"/>
        <v>-1.7414704905834522E-2</v>
      </c>
      <c r="AE489" s="8">
        <f t="shared" si="74"/>
        <v>0.10163650743261289</v>
      </c>
      <c r="AF489" s="2">
        <f t="shared" si="75"/>
        <v>4.2814408632519951E-3</v>
      </c>
      <c r="AG489" s="8">
        <f t="shared" si="76"/>
        <v>9.7355066569360896E-2</v>
      </c>
      <c r="AH489" s="7">
        <f t="shared" si="77"/>
        <v>4.3977586520385872E-2</v>
      </c>
      <c r="AI489">
        <f t="shared" si="78"/>
        <v>1</v>
      </c>
      <c r="AJ489" s="10">
        <f t="shared" si="79"/>
        <v>9.7355066569360896E-2</v>
      </c>
    </row>
    <row r="490" spans="1:36" hidden="1" x14ac:dyDescent="0.25">
      <c r="A490" t="b">
        <v>0</v>
      </c>
      <c r="B490">
        <v>1000</v>
      </c>
      <c r="C490">
        <v>9.7355066569363602E-2</v>
      </c>
      <c r="D490" t="s">
        <v>52</v>
      </c>
      <c r="E490" t="b">
        <v>1</v>
      </c>
      <c r="F490" t="s">
        <v>53</v>
      </c>
      <c r="G490">
        <v>7.4999999999999997E-2</v>
      </c>
      <c r="H490">
        <v>0.5</v>
      </c>
      <c r="I490">
        <v>1E-4</v>
      </c>
      <c r="J490" t="b">
        <v>1</v>
      </c>
      <c r="K490">
        <v>6</v>
      </c>
      <c r="L490">
        <v>1500</v>
      </c>
      <c r="M490">
        <v>0.1</v>
      </c>
      <c r="N490">
        <v>0.154</v>
      </c>
      <c r="O490" t="s">
        <v>286</v>
      </c>
      <c r="P490" t="s">
        <v>287</v>
      </c>
      <c r="Q490" s="1">
        <v>-3.76690931594019E-5</v>
      </c>
      <c r="R490">
        <v>3.4165124481340002E-4</v>
      </c>
      <c r="S490">
        <v>1.5001258801848499E-4</v>
      </c>
      <c r="T490">
        <v>-1.8267239386500799E-3</v>
      </c>
      <c r="U490">
        <v>5.9999443031474398</v>
      </c>
      <c r="V490" s="1">
        <v>9.9999999999991906E-15</v>
      </c>
      <c r="W490">
        <v>0.61117014016510096</v>
      </c>
      <c r="X490">
        <v>2.4999999999999898</v>
      </c>
      <c r="Y490">
        <v>27.505936266468801</v>
      </c>
      <c r="Z490">
        <v>0.49999999976290099</v>
      </c>
      <c r="AA490">
        <v>50.337039740747599</v>
      </c>
      <c r="AB490" s="9">
        <f t="shared" si="71"/>
        <v>-0.33825382455848479</v>
      </c>
      <c r="AC490" s="9">
        <f t="shared" si="72"/>
        <v>-0.34142437488387012</v>
      </c>
      <c r="AD490" s="2">
        <f t="shared" si="73"/>
        <v>9.3732874403527067E-3</v>
      </c>
      <c r="AE490" s="8">
        <f t="shared" si="74"/>
        <v>1.6428582983308614E-3</v>
      </c>
      <c r="AF490" s="2">
        <f t="shared" si="75"/>
        <v>-1.0614491063736832E-3</v>
      </c>
      <c r="AG490" s="8">
        <f t="shared" si="76"/>
        <v>2.7043074047045446E-3</v>
      </c>
      <c r="AH490" s="7">
        <f t="shared" si="77"/>
        <v>-0.39250312465481357</v>
      </c>
      <c r="AI490">
        <f t="shared" si="78"/>
        <v>6</v>
      </c>
      <c r="AJ490" s="10">
        <f t="shared" si="79"/>
        <v>9.7355066569363602E-2</v>
      </c>
    </row>
    <row r="491" spans="1:36" hidden="1" x14ac:dyDescent="0.25">
      <c r="A491" t="b">
        <v>0</v>
      </c>
      <c r="B491">
        <v>1000</v>
      </c>
      <c r="C491">
        <v>9.7355066569363602E-2</v>
      </c>
      <c r="D491" t="s">
        <v>52</v>
      </c>
      <c r="E491" t="b">
        <v>1</v>
      </c>
      <c r="F491" t="s">
        <v>53</v>
      </c>
      <c r="G491">
        <v>7.4999999999999997E-2</v>
      </c>
      <c r="H491">
        <v>0.5</v>
      </c>
      <c r="I491">
        <v>1E-4</v>
      </c>
      <c r="J491" t="b">
        <v>1</v>
      </c>
      <c r="K491">
        <v>6</v>
      </c>
      <c r="L491">
        <v>1500</v>
      </c>
      <c r="M491">
        <v>0.1</v>
      </c>
      <c r="N491">
        <v>0.154</v>
      </c>
      <c r="O491" t="s">
        <v>286</v>
      </c>
      <c r="P491" t="s">
        <v>288</v>
      </c>
      <c r="Q491">
        <v>-3.0103132581425697E-4</v>
      </c>
      <c r="R491">
        <v>2.71919426742448E-3</v>
      </c>
      <c r="S491">
        <v>1.1984785542421301E-3</v>
      </c>
      <c r="T491">
        <v>-1.45800685023816E-2</v>
      </c>
      <c r="U491">
        <v>5.99834963575322</v>
      </c>
      <c r="V491" s="1">
        <v>9.9999999999999905E-15</v>
      </c>
      <c r="W491">
        <v>0.61379709239311897</v>
      </c>
      <c r="X491">
        <v>2.4999999999999898</v>
      </c>
      <c r="Y491">
        <v>27.322386115293799</v>
      </c>
      <c r="Z491">
        <v>0.499999999999999</v>
      </c>
      <c r="AA491">
        <v>50.1626180584786</v>
      </c>
      <c r="AB491" s="9">
        <f t="shared" si="71"/>
        <v>-0.33793003755502354</v>
      </c>
      <c r="AC491" s="9">
        <f t="shared" si="72"/>
        <v>-0.34142437488387012</v>
      </c>
      <c r="AD491" s="2">
        <f t="shared" si="73"/>
        <v>1.0340416478300307E-2</v>
      </c>
      <c r="AE491" s="8">
        <f t="shared" si="74"/>
        <v>1.5345860866777901E-3</v>
      </c>
      <c r="AF491" s="2">
        <f t="shared" si="75"/>
        <v>-1.1697213180267545E-3</v>
      </c>
      <c r="AG491" s="8">
        <f t="shared" si="76"/>
        <v>2.7043074047045446E-3</v>
      </c>
      <c r="AH491" s="7">
        <f t="shared" si="77"/>
        <v>-0.43254007144004802</v>
      </c>
      <c r="AI491">
        <f t="shared" si="78"/>
        <v>6</v>
      </c>
      <c r="AJ491" s="10">
        <f t="shared" si="79"/>
        <v>9.7355066569363602E-2</v>
      </c>
    </row>
    <row r="492" spans="1:36" hidden="1" x14ac:dyDescent="0.25">
      <c r="A492" t="b">
        <v>0</v>
      </c>
      <c r="B492">
        <v>1000</v>
      </c>
      <c r="C492">
        <v>9.7355066569363602E-2</v>
      </c>
      <c r="D492" t="s">
        <v>52</v>
      </c>
      <c r="E492" t="b">
        <v>1</v>
      </c>
      <c r="F492" t="s">
        <v>53</v>
      </c>
      <c r="G492">
        <v>7.4999999999999997E-2</v>
      </c>
      <c r="H492">
        <v>0.5</v>
      </c>
      <c r="I492">
        <v>1E-4</v>
      </c>
      <c r="J492" t="b">
        <v>1</v>
      </c>
      <c r="K492">
        <v>6</v>
      </c>
      <c r="L492">
        <v>1500</v>
      </c>
      <c r="M492">
        <v>0.1</v>
      </c>
      <c r="N492">
        <v>0.154</v>
      </c>
      <c r="O492" t="s">
        <v>286</v>
      </c>
      <c r="P492" t="s">
        <v>289</v>
      </c>
      <c r="Q492" s="1">
        <v>-3.7669093159401601E-5</v>
      </c>
      <c r="R492">
        <v>3.5116418223837202E-4</v>
      </c>
      <c r="S492">
        <v>1.50012588018487E-4</v>
      </c>
      <c r="T492">
        <v>-1.8267239386501499E-3</v>
      </c>
      <c r="U492">
        <v>5.9999443031381299</v>
      </c>
      <c r="V492" s="1">
        <v>9.9999999999991906E-15</v>
      </c>
      <c r="W492">
        <v>0.62889006144123405</v>
      </c>
      <c r="X492">
        <v>2.4999999999999898</v>
      </c>
      <c r="Y492">
        <v>28.215455901371499</v>
      </c>
      <c r="Z492">
        <v>0.49999999976290099</v>
      </c>
      <c r="AA492">
        <v>51.755392790994001</v>
      </c>
      <c r="AB492" s="9">
        <f t="shared" si="71"/>
        <v>-0.33825382455849329</v>
      </c>
      <c r="AC492" s="9">
        <f t="shared" si="72"/>
        <v>-0.34142437488387012</v>
      </c>
      <c r="AD492" s="2">
        <f t="shared" si="73"/>
        <v>9.3732874403273936E-3</v>
      </c>
      <c r="AE492" s="8">
        <f t="shared" si="74"/>
        <v>1.6428582983336831E-3</v>
      </c>
      <c r="AF492" s="2">
        <f t="shared" si="75"/>
        <v>-1.0614491063708615E-3</v>
      </c>
      <c r="AG492" s="8">
        <f t="shared" si="76"/>
        <v>2.7043074047045446E-3</v>
      </c>
      <c r="AH492" s="7">
        <f t="shared" si="77"/>
        <v>-0.39250312465377013</v>
      </c>
      <c r="AI492">
        <f t="shared" si="78"/>
        <v>6</v>
      </c>
      <c r="AJ492" s="10">
        <f t="shared" si="79"/>
        <v>9.7355066569363602E-2</v>
      </c>
    </row>
    <row r="493" spans="1:36" hidden="1" x14ac:dyDescent="0.25">
      <c r="A493" t="b">
        <v>0</v>
      </c>
      <c r="B493">
        <v>1000</v>
      </c>
      <c r="C493">
        <v>9.7355066569363602E-2</v>
      </c>
      <c r="D493" t="s">
        <v>52</v>
      </c>
      <c r="E493" t="b">
        <v>1</v>
      </c>
      <c r="F493" t="s">
        <v>53</v>
      </c>
      <c r="G493">
        <v>7.4999999999999997E-2</v>
      </c>
      <c r="H493">
        <v>0.5</v>
      </c>
      <c r="I493">
        <v>1E-4</v>
      </c>
      <c r="J493" t="b">
        <v>1</v>
      </c>
      <c r="K493">
        <v>6</v>
      </c>
      <c r="L493">
        <v>1500</v>
      </c>
      <c r="M493">
        <v>0.1</v>
      </c>
      <c r="N493">
        <v>0.154</v>
      </c>
      <c r="O493" t="s">
        <v>286</v>
      </c>
      <c r="P493" t="s">
        <v>290</v>
      </c>
      <c r="Q493" s="1">
        <v>-7.5338432160439205E-5</v>
      </c>
      <c r="R493">
        <v>6.8458381076274199E-4</v>
      </c>
      <c r="S493">
        <v>3.0002454818708597E-4</v>
      </c>
      <c r="T493">
        <v>-3.6533746929657E-3</v>
      </c>
      <c r="U493">
        <v>5.9997159522943901</v>
      </c>
      <c r="V493" s="1">
        <v>9.9999999999999905E-15</v>
      </c>
      <c r="W493">
        <v>0.61656093346845897</v>
      </c>
      <c r="X493">
        <v>2.4999999999999898</v>
      </c>
      <c r="Y493">
        <v>27.495765785665899</v>
      </c>
      <c r="Z493">
        <v>0.499999999999999</v>
      </c>
      <c r="AA493">
        <v>50.456533038441599</v>
      </c>
      <c r="AB493" s="9">
        <f t="shared" si="71"/>
        <v>-0.33824775663649004</v>
      </c>
      <c r="AC493" s="9">
        <f t="shared" si="72"/>
        <v>-0.34142437488387012</v>
      </c>
      <c r="AD493" s="2">
        <f t="shared" si="73"/>
        <v>9.3913948727055718E-3</v>
      </c>
      <c r="AE493" s="8">
        <f t="shared" si="74"/>
        <v>1.6408290104941181E-3</v>
      </c>
      <c r="AF493" s="2">
        <f t="shared" si="75"/>
        <v>-1.0634783942104265E-3</v>
      </c>
      <c r="AG493" s="8">
        <f t="shared" si="76"/>
        <v>2.7043074047045446E-3</v>
      </c>
      <c r="AH493" s="7">
        <f t="shared" si="77"/>
        <v>-0.39325351561747302</v>
      </c>
      <c r="AI493">
        <f t="shared" si="78"/>
        <v>6</v>
      </c>
      <c r="AJ493" s="10">
        <f t="shared" si="79"/>
        <v>9.7355066569363602E-2</v>
      </c>
    </row>
    <row r="494" spans="1:36" hidden="1" x14ac:dyDescent="0.25">
      <c r="A494" t="b">
        <v>0</v>
      </c>
      <c r="B494">
        <v>1000</v>
      </c>
      <c r="C494">
        <v>9.7355066569363602E-2</v>
      </c>
      <c r="D494" t="s">
        <v>52</v>
      </c>
      <c r="E494" t="b">
        <v>1</v>
      </c>
      <c r="F494" t="s">
        <v>53</v>
      </c>
      <c r="G494">
        <v>7.4999999999999997E-2</v>
      </c>
      <c r="H494">
        <v>0.5</v>
      </c>
      <c r="I494">
        <v>1E-4</v>
      </c>
      <c r="J494" t="b">
        <v>1</v>
      </c>
      <c r="K494">
        <v>6</v>
      </c>
      <c r="L494">
        <v>1500</v>
      </c>
      <c r="M494">
        <v>0.1</v>
      </c>
      <c r="N494">
        <v>0.154</v>
      </c>
      <c r="O494" t="s">
        <v>286</v>
      </c>
      <c r="P494" t="s">
        <v>291</v>
      </c>
      <c r="Q494">
        <v>-3.38702377404318E-4</v>
      </c>
      <c r="R494">
        <v>2.54072802295234E-3</v>
      </c>
      <c r="S494">
        <v>1.3484861314284099E-3</v>
      </c>
      <c r="T494">
        <v>-1.6406208412842901E-2</v>
      </c>
      <c r="U494">
        <v>5.99812122734388</v>
      </c>
      <c r="V494" s="1">
        <v>9.9999999999999905E-15</v>
      </c>
      <c r="W494">
        <v>0.49441388747676102</v>
      </c>
      <c r="X494">
        <v>2.4999999999999898</v>
      </c>
      <c r="Y494">
        <v>23.2215589947448</v>
      </c>
      <c r="Z494">
        <v>0.499999999999999</v>
      </c>
      <c r="AA494">
        <v>41.480114032904901</v>
      </c>
      <c r="AB494" s="9">
        <f t="shared" si="71"/>
        <v>-0.33795528248045065</v>
      </c>
      <c r="AC494" s="9">
        <f t="shared" si="72"/>
        <v>-0.34142437488387012</v>
      </c>
      <c r="AD494" s="2">
        <f t="shared" si="73"/>
        <v>1.0264945048225949E-2</v>
      </c>
      <c r="AE494" s="8">
        <f t="shared" si="74"/>
        <v>1.5430269797835072E-3</v>
      </c>
      <c r="AF494" s="2">
        <f t="shared" si="75"/>
        <v>-1.1612804249210374E-3</v>
      </c>
      <c r="AG494" s="8">
        <f t="shared" si="76"/>
        <v>2.7043074047045446E-3</v>
      </c>
      <c r="AH494" s="7">
        <f t="shared" si="77"/>
        <v>-0.42941879421726153</v>
      </c>
      <c r="AI494">
        <f t="shared" si="78"/>
        <v>6</v>
      </c>
      <c r="AJ494" s="10">
        <f t="shared" si="79"/>
        <v>9.7355066569363602E-2</v>
      </c>
    </row>
    <row r="495" spans="1:36" hidden="1" x14ac:dyDescent="0.25">
      <c r="A495" t="b">
        <v>0</v>
      </c>
      <c r="B495">
        <v>1000</v>
      </c>
      <c r="C495">
        <v>9.7355066569363602E-2</v>
      </c>
      <c r="D495" t="s">
        <v>52</v>
      </c>
      <c r="E495" t="b">
        <v>1</v>
      </c>
      <c r="F495" t="s">
        <v>53</v>
      </c>
      <c r="G495">
        <v>7.4999999999999997E-2</v>
      </c>
      <c r="H495">
        <v>0.5</v>
      </c>
      <c r="I495">
        <v>1E-4</v>
      </c>
      <c r="J495" t="b">
        <v>1</v>
      </c>
      <c r="K495">
        <v>6</v>
      </c>
      <c r="L495">
        <v>1500</v>
      </c>
      <c r="M495">
        <v>0.1</v>
      </c>
      <c r="N495">
        <v>0.154</v>
      </c>
      <c r="O495" t="s">
        <v>286</v>
      </c>
      <c r="P495" t="s">
        <v>292</v>
      </c>
      <c r="Q495">
        <v>-3.0103132581425898E-4</v>
      </c>
      <c r="R495">
        <v>2.7183834647209102E-3</v>
      </c>
      <c r="S495">
        <v>1.19847855424214E-3</v>
      </c>
      <c r="T495">
        <v>-1.4580068502382E-2</v>
      </c>
      <c r="U495">
        <v>5.9983496357553401</v>
      </c>
      <c r="V495" s="1">
        <v>9.9999999999999905E-15</v>
      </c>
      <c r="W495">
        <v>0.61342853762709204</v>
      </c>
      <c r="X495">
        <v>2.4999999999999898</v>
      </c>
      <c r="Y495">
        <v>27.317229037961201</v>
      </c>
      <c r="Z495">
        <v>0.499999999999999</v>
      </c>
      <c r="AA495">
        <v>50.146325160250399</v>
      </c>
      <c r="AB495" s="9">
        <f t="shared" si="71"/>
        <v>-0.33793003755503004</v>
      </c>
      <c r="AC495" s="9">
        <f t="shared" si="72"/>
        <v>-0.34142437488387012</v>
      </c>
      <c r="AD495" s="2">
        <f t="shared" si="73"/>
        <v>1.0340416478280767E-2</v>
      </c>
      <c r="AE495" s="8">
        <f t="shared" si="74"/>
        <v>1.534586086679968E-3</v>
      </c>
      <c r="AF495" s="2">
        <f t="shared" si="75"/>
        <v>-1.1697213180245766E-3</v>
      </c>
      <c r="AG495" s="8">
        <f t="shared" si="76"/>
        <v>2.7043074047045446E-3</v>
      </c>
      <c r="AH495" s="7">
        <f t="shared" si="77"/>
        <v>-0.43254007143924267</v>
      </c>
      <c r="AI495">
        <f t="shared" si="78"/>
        <v>6</v>
      </c>
      <c r="AJ495" s="10">
        <f t="shared" si="79"/>
        <v>9.7355066569363602E-2</v>
      </c>
    </row>
    <row r="496" spans="1:36" hidden="1" x14ac:dyDescent="0.25">
      <c r="A496" t="b">
        <v>0</v>
      </c>
      <c r="B496">
        <v>1000</v>
      </c>
      <c r="C496">
        <v>9.7355066569363602E-2</v>
      </c>
      <c r="D496" t="s">
        <v>52</v>
      </c>
      <c r="E496" t="b">
        <v>1</v>
      </c>
      <c r="F496" t="s">
        <v>53</v>
      </c>
      <c r="G496">
        <v>7.4999999999999997E-2</v>
      </c>
      <c r="H496">
        <v>0.5</v>
      </c>
      <c r="I496">
        <v>1E-4</v>
      </c>
      <c r="J496" t="b">
        <v>1</v>
      </c>
      <c r="K496">
        <v>6</v>
      </c>
      <c r="L496">
        <v>1500</v>
      </c>
      <c r="M496">
        <v>0.1</v>
      </c>
      <c r="N496">
        <v>0.154</v>
      </c>
      <c r="O496" t="s">
        <v>286</v>
      </c>
      <c r="P496" t="s">
        <v>293</v>
      </c>
      <c r="Q496">
        <v>-3.3870237740432299E-4</v>
      </c>
      <c r="R496">
        <v>2.5298054260804899E-3</v>
      </c>
      <c r="S496">
        <v>1.3484861314284099E-3</v>
      </c>
      <c r="T496">
        <v>-1.6406208412842901E-2</v>
      </c>
      <c r="U496">
        <v>5.9981212273459397</v>
      </c>
      <c r="V496" s="1">
        <v>9.9999999999999905E-15</v>
      </c>
      <c r="W496">
        <v>0.49329808125659103</v>
      </c>
      <c r="X496">
        <v>2.4999999999999898</v>
      </c>
      <c r="Y496">
        <v>23.117346585007599</v>
      </c>
      <c r="Z496">
        <v>0.499999999999999</v>
      </c>
      <c r="AA496">
        <v>41.303831203358797</v>
      </c>
      <c r="AB496" s="9">
        <f t="shared" si="71"/>
        <v>-0.33795528248045065</v>
      </c>
      <c r="AC496" s="9">
        <f t="shared" si="72"/>
        <v>-0.34142437488387012</v>
      </c>
      <c r="AD496" s="2">
        <f t="shared" si="73"/>
        <v>1.0264945048225949E-2</v>
      </c>
      <c r="AE496" s="8">
        <f t="shared" si="74"/>
        <v>1.5430269797835072E-3</v>
      </c>
      <c r="AF496" s="2">
        <f t="shared" si="75"/>
        <v>-1.1612804249210374E-3</v>
      </c>
      <c r="AG496" s="8">
        <f t="shared" si="76"/>
        <v>2.7043074047045446E-3</v>
      </c>
      <c r="AH496" s="7">
        <f t="shared" si="77"/>
        <v>-0.42941879421726153</v>
      </c>
      <c r="AI496">
        <f t="shared" si="78"/>
        <v>6</v>
      </c>
      <c r="AJ496" s="10">
        <f t="shared" si="79"/>
        <v>9.7355066569363602E-2</v>
      </c>
    </row>
    <row r="497" spans="1:36" hidden="1" x14ac:dyDescent="0.25">
      <c r="A497" t="b">
        <v>0</v>
      </c>
      <c r="B497">
        <v>1000</v>
      </c>
      <c r="C497">
        <v>9.7355066569363602E-2</v>
      </c>
      <c r="D497" t="s">
        <v>52</v>
      </c>
      <c r="E497" t="b">
        <v>1</v>
      </c>
      <c r="F497" t="s">
        <v>53</v>
      </c>
      <c r="G497">
        <v>7.4999999999999997E-2</v>
      </c>
      <c r="H497">
        <v>0.5</v>
      </c>
      <c r="I497">
        <v>1E-4</v>
      </c>
      <c r="J497" t="b">
        <v>1</v>
      </c>
      <c r="K497">
        <v>6</v>
      </c>
      <c r="L497">
        <v>1500</v>
      </c>
      <c r="M497">
        <v>0.1</v>
      </c>
      <c r="N497">
        <v>0.154</v>
      </c>
      <c r="O497" t="s">
        <v>286</v>
      </c>
      <c r="P497" t="s">
        <v>294</v>
      </c>
      <c r="Q497">
        <v>-6.0207827745492202E-4</v>
      </c>
      <c r="R497">
        <v>5.4600424911067404E-3</v>
      </c>
      <c r="S497">
        <v>2.3969171173307E-3</v>
      </c>
      <c r="T497">
        <v>-2.9155476322305699E-2</v>
      </c>
      <c r="U497">
        <v>5.9965260999219296</v>
      </c>
      <c r="V497" s="1">
        <v>9.9999999999999905E-15</v>
      </c>
      <c r="W497">
        <v>0.61604257826153197</v>
      </c>
      <c r="X497">
        <v>2.4999999999999898</v>
      </c>
      <c r="Y497">
        <v>27.4263057582043</v>
      </c>
      <c r="Z497">
        <v>0.499999999999999</v>
      </c>
      <c r="AA497">
        <v>50.361999334517101</v>
      </c>
      <c r="AB497" s="9">
        <f t="shared" si="71"/>
        <v>-0.3378816632542459</v>
      </c>
      <c r="AC497" s="9">
        <f t="shared" si="72"/>
        <v>-0.34142437488387012</v>
      </c>
      <c r="AD497" s="2">
        <f t="shared" si="73"/>
        <v>1.0485066266997745E-2</v>
      </c>
      <c r="AE497" s="8">
        <f t="shared" si="74"/>
        <v>1.5184120532956218E-3</v>
      </c>
      <c r="AF497" s="2">
        <f t="shared" si="75"/>
        <v>-1.1858953514089228E-3</v>
      </c>
      <c r="AG497" s="8">
        <f t="shared" si="76"/>
        <v>2.7043074047045446E-3</v>
      </c>
      <c r="AH497" s="7">
        <f t="shared" si="77"/>
        <v>-0.43852091272829469</v>
      </c>
      <c r="AI497">
        <f t="shared" si="78"/>
        <v>6</v>
      </c>
      <c r="AJ497" s="10">
        <f t="shared" si="79"/>
        <v>9.7355066569363602E-2</v>
      </c>
    </row>
    <row r="498" spans="1:36" hidden="1" x14ac:dyDescent="0.25">
      <c r="A498" t="b">
        <v>0</v>
      </c>
      <c r="B498">
        <v>1000</v>
      </c>
      <c r="C498">
        <v>9.7355066569363602E-2</v>
      </c>
      <c r="D498" t="s">
        <v>52</v>
      </c>
      <c r="E498" t="b">
        <v>1</v>
      </c>
      <c r="F498" t="s">
        <v>53</v>
      </c>
      <c r="G498">
        <v>7.4999999999999997E-2</v>
      </c>
      <c r="H498">
        <v>0.5</v>
      </c>
      <c r="I498">
        <v>1E-4</v>
      </c>
      <c r="J498" t="b">
        <v>1</v>
      </c>
      <c r="K498">
        <v>6</v>
      </c>
      <c r="L498">
        <v>1500</v>
      </c>
      <c r="M498">
        <v>0.1</v>
      </c>
      <c r="N498">
        <v>0.154</v>
      </c>
      <c r="O498" t="s">
        <v>287</v>
      </c>
      <c r="P498" t="s">
        <v>288</v>
      </c>
      <c r="Q498">
        <v>-2.6336223243435199E-4</v>
      </c>
      <c r="R498">
        <v>2.2777768033231602E-3</v>
      </c>
      <c r="S498">
        <v>1.0484659662236601E-3</v>
      </c>
      <c r="T498">
        <v>-1.2753344563731801E-2</v>
      </c>
      <c r="U498">
        <v>5.9981212931512298</v>
      </c>
      <c r="V498" s="1">
        <v>9.9999999999999905E-15</v>
      </c>
      <c r="W498">
        <v>0.586970520644576</v>
      </c>
      <c r="X498">
        <v>2.4999999999999898</v>
      </c>
      <c r="Y498">
        <v>26.243210703767701</v>
      </c>
      <c r="Z498">
        <v>0.499999999999999</v>
      </c>
      <c r="AA498">
        <v>48.005983026440902</v>
      </c>
      <c r="AB498" s="9">
        <f t="shared" si="71"/>
        <v>-0.33788371070425494</v>
      </c>
      <c r="AC498" s="9">
        <f t="shared" si="72"/>
        <v>-0.34142437488387012</v>
      </c>
      <c r="AD498" s="2">
        <f t="shared" si="73"/>
        <v>1.0478943102155913E-2</v>
      </c>
      <c r="AE498" s="8">
        <f t="shared" si="74"/>
        <v>1.5190966112552341E-3</v>
      </c>
      <c r="AF498" s="2">
        <f t="shared" si="75"/>
        <v>-1.1852107934493105E-3</v>
      </c>
      <c r="AG498" s="8">
        <f t="shared" si="76"/>
        <v>2.7043074047045446E-3</v>
      </c>
      <c r="AH498" s="7">
        <f t="shared" si="77"/>
        <v>-0.43826777658022908</v>
      </c>
      <c r="AI498">
        <f t="shared" si="78"/>
        <v>6</v>
      </c>
      <c r="AJ498" s="10">
        <f t="shared" si="79"/>
        <v>9.7355066569363602E-2</v>
      </c>
    </row>
    <row r="499" spans="1:36" hidden="1" x14ac:dyDescent="0.25">
      <c r="A499" t="b">
        <v>0</v>
      </c>
      <c r="B499">
        <v>1000</v>
      </c>
      <c r="C499">
        <v>9.7355066569363602E-2</v>
      </c>
      <c r="D499" t="s">
        <v>52</v>
      </c>
      <c r="E499" t="b">
        <v>1</v>
      </c>
      <c r="F499" t="s">
        <v>53</v>
      </c>
      <c r="G499">
        <v>7.4999999999999997E-2</v>
      </c>
      <c r="H499">
        <v>0.5</v>
      </c>
      <c r="I499">
        <v>1E-4</v>
      </c>
      <c r="J499" t="b">
        <v>1</v>
      </c>
      <c r="K499">
        <v>6</v>
      </c>
      <c r="L499">
        <v>1500</v>
      </c>
      <c r="M499">
        <v>0.1</v>
      </c>
      <c r="N499">
        <v>0.154</v>
      </c>
      <c r="O499" t="s">
        <v>287</v>
      </c>
      <c r="P499" t="s">
        <v>289</v>
      </c>
      <c r="Q499" s="1">
        <v>-1E-10</v>
      </c>
      <c r="R499" s="1">
        <v>3.5857858662582E-12</v>
      </c>
      <c r="S499" s="1">
        <v>2.0215794991124699E-17</v>
      </c>
      <c r="T499" s="1">
        <v>-4.1853598504429501E-16</v>
      </c>
      <c r="U499">
        <v>5.9997159605361396</v>
      </c>
      <c r="V499">
        <v>0</v>
      </c>
      <c r="W499">
        <v>6.8474547004106504E-2</v>
      </c>
      <c r="X499">
        <v>2</v>
      </c>
      <c r="Y499">
        <v>4.0005663406506098E-3</v>
      </c>
      <c r="Z499">
        <v>2.5000000000000001E-4</v>
      </c>
      <c r="AA499">
        <v>4.7933528934136398E-3</v>
      </c>
      <c r="AB499" s="9">
        <f t="shared" si="71"/>
        <v>-0.5750948498274685</v>
      </c>
      <c r="AC499" s="9">
        <f t="shared" si="72"/>
        <v>-0.34142437488387012</v>
      </c>
      <c r="AD499" s="2">
        <f t="shared" si="73"/>
        <v>-0.40631641026467336</v>
      </c>
      <c r="AE499" s="8">
        <f t="shared" si="74"/>
        <v>8.7650693708994934E-2</v>
      </c>
      <c r="AF499" s="2">
        <f t="shared" si="75"/>
        <v>8.4946386304290383E-2</v>
      </c>
      <c r="AG499" s="8">
        <f t="shared" si="76"/>
        <v>2.7043074047045446E-3</v>
      </c>
      <c r="AH499" s="7">
        <f t="shared" si="77"/>
        <v>31.411512669200818</v>
      </c>
      <c r="AI499">
        <f t="shared" si="78"/>
        <v>6</v>
      </c>
      <c r="AJ499" s="10">
        <f t="shared" si="79"/>
        <v>9.7355066569363602E-2</v>
      </c>
    </row>
    <row r="500" spans="1:36" hidden="1" x14ac:dyDescent="0.25">
      <c r="A500" t="b">
        <v>0</v>
      </c>
      <c r="B500">
        <v>1000</v>
      </c>
      <c r="C500">
        <v>9.7355066569363602E-2</v>
      </c>
      <c r="D500" t="s">
        <v>52</v>
      </c>
      <c r="E500" t="b">
        <v>1</v>
      </c>
      <c r="F500" t="s">
        <v>53</v>
      </c>
      <c r="G500">
        <v>7.4999999999999997E-2</v>
      </c>
      <c r="H500">
        <v>0.5</v>
      </c>
      <c r="I500">
        <v>1E-4</v>
      </c>
      <c r="J500" t="b">
        <v>1</v>
      </c>
      <c r="K500">
        <v>6</v>
      </c>
      <c r="L500">
        <v>1500</v>
      </c>
      <c r="M500">
        <v>0.1</v>
      </c>
      <c r="N500">
        <v>0.154</v>
      </c>
      <c r="O500" t="s">
        <v>287</v>
      </c>
      <c r="P500" t="s">
        <v>290</v>
      </c>
      <c r="Q500" s="1">
        <v>-3.7669338559888798E-5</v>
      </c>
      <c r="R500">
        <v>3.37112127447136E-4</v>
      </c>
      <c r="S500">
        <v>1.50011960168606E-4</v>
      </c>
      <c r="T500">
        <v>-1.82665075431569E-3</v>
      </c>
      <c r="U500">
        <v>5.9994876096923901</v>
      </c>
      <c r="V500" s="1">
        <v>9.9999999999992095E-15</v>
      </c>
      <c r="W500">
        <v>0.60641653520324001</v>
      </c>
      <c r="X500">
        <v>2.4999999999999898</v>
      </c>
      <c r="Y500">
        <v>27.108607180093099</v>
      </c>
      <c r="Z500">
        <v>0.499999999762683</v>
      </c>
      <c r="AA500">
        <v>49.685200100589597</v>
      </c>
      <c r="AB500" s="9">
        <f t="shared" si="71"/>
        <v>-0.33824168868910059</v>
      </c>
      <c r="AC500" s="9">
        <f t="shared" si="72"/>
        <v>-0.34142437488387012</v>
      </c>
      <c r="AD500" s="2">
        <f t="shared" si="73"/>
        <v>9.4095030305236804E-3</v>
      </c>
      <c r="AE500" s="8">
        <f t="shared" si="74"/>
        <v>1.6387997223872173E-3</v>
      </c>
      <c r="AF500" s="2">
        <f t="shared" si="75"/>
        <v>-1.0655076823173272E-3</v>
      </c>
      <c r="AG500" s="8">
        <f t="shared" si="76"/>
        <v>2.7043074047045446E-3</v>
      </c>
      <c r="AH500" s="7">
        <f t="shared" si="77"/>
        <v>-0.39400390668003138</v>
      </c>
      <c r="AI500">
        <f t="shared" si="78"/>
        <v>6</v>
      </c>
      <c r="AJ500" s="10">
        <f t="shared" si="79"/>
        <v>9.7355066569363602E-2</v>
      </c>
    </row>
    <row r="501" spans="1:36" hidden="1" x14ac:dyDescent="0.25">
      <c r="A501" t="b">
        <v>0</v>
      </c>
      <c r="B501">
        <v>1000</v>
      </c>
      <c r="C501">
        <v>9.7355066569363602E-2</v>
      </c>
      <c r="D501" t="s">
        <v>52</v>
      </c>
      <c r="E501" t="b">
        <v>1</v>
      </c>
      <c r="F501" t="s">
        <v>53</v>
      </c>
      <c r="G501">
        <v>7.4999999999999997E-2</v>
      </c>
      <c r="H501">
        <v>0.5</v>
      </c>
      <c r="I501">
        <v>1E-4</v>
      </c>
      <c r="J501" t="b">
        <v>1</v>
      </c>
      <c r="K501">
        <v>6</v>
      </c>
      <c r="L501">
        <v>1500</v>
      </c>
      <c r="M501">
        <v>0.1</v>
      </c>
      <c r="N501">
        <v>0.154</v>
      </c>
      <c r="O501" t="s">
        <v>287</v>
      </c>
      <c r="P501" t="s">
        <v>291</v>
      </c>
      <c r="Q501">
        <v>-3.01033284024416E-4</v>
      </c>
      <c r="R501">
        <v>2.7042436072744402E-3</v>
      </c>
      <c r="S501">
        <v>1.1984735434099299E-3</v>
      </c>
      <c r="T501">
        <v>-1.45794844741928E-2</v>
      </c>
      <c r="U501">
        <v>5.99789288474188</v>
      </c>
      <c r="V501" s="1">
        <v>9.9999999999999905E-15</v>
      </c>
      <c r="W501">
        <v>0.61318151381570196</v>
      </c>
      <c r="X501">
        <v>2.4999999999999898</v>
      </c>
      <c r="Y501">
        <v>27.137880679752499</v>
      </c>
      <c r="Z501">
        <v>0.499999999999999</v>
      </c>
      <c r="AA501">
        <v>49.901899997725401</v>
      </c>
      <c r="AB501" s="9">
        <f t="shared" si="71"/>
        <v>-0.33791791405458355</v>
      </c>
      <c r="AC501" s="9">
        <f t="shared" si="72"/>
        <v>-0.34142437488387012</v>
      </c>
      <c r="AD501" s="2">
        <f t="shared" si="73"/>
        <v>1.0376664519538226E-2</v>
      </c>
      <c r="AE501" s="8">
        <f t="shared" si="74"/>
        <v>1.5305325237172248E-3</v>
      </c>
      <c r="AF501" s="2">
        <f t="shared" si="75"/>
        <v>-1.1737748809873198E-3</v>
      </c>
      <c r="AG501" s="8">
        <f t="shared" si="76"/>
        <v>2.7043074047045446E-3</v>
      </c>
      <c r="AH501" s="7">
        <f t="shared" si="77"/>
        <v>-0.43403899976214388</v>
      </c>
      <c r="AI501">
        <f t="shared" si="78"/>
        <v>6</v>
      </c>
      <c r="AJ501" s="10">
        <f t="shared" si="79"/>
        <v>9.7355066569363602E-2</v>
      </c>
    </row>
    <row r="502" spans="1:36" hidden="1" x14ac:dyDescent="0.25">
      <c r="A502" t="b">
        <v>0</v>
      </c>
      <c r="B502">
        <v>1000</v>
      </c>
      <c r="C502">
        <v>9.7355066569363602E-2</v>
      </c>
      <c r="D502" t="s">
        <v>52</v>
      </c>
      <c r="E502" t="b">
        <v>1</v>
      </c>
      <c r="F502" t="s">
        <v>53</v>
      </c>
      <c r="G502">
        <v>7.4999999999999997E-2</v>
      </c>
      <c r="H502">
        <v>0.5</v>
      </c>
      <c r="I502">
        <v>1E-4</v>
      </c>
      <c r="J502" t="b">
        <v>1</v>
      </c>
      <c r="K502">
        <v>6</v>
      </c>
      <c r="L502">
        <v>1500</v>
      </c>
      <c r="M502">
        <v>0.1</v>
      </c>
      <c r="N502">
        <v>0.154</v>
      </c>
      <c r="O502" t="s">
        <v>287</v>
      </c>
      <c r="P502" t="s">
        <v>292</v>
      </c>
      <c r="Q502">
        <v>-2.6336223243435302E-4</v>
      </c>
      <c r="R502">
        <v>2.2682333703472699E-3</v>
      </c>
      <c r="S502">
        <v>1.04846596622367E-3</v>
      </c>
      <c r="T502">
        <v>-1.27533445637322E-2</v>
      </c>
      <c r="U502">
        <v>5.9981212931533499</v>
      </c>
      <c r="V502" s="1">
        <v>9.9999999999999905E-15</v>
      </c>
      <c r="W502">
        <v>0.58170330254332903</v>
      </c>
      <c r="X502">
        <v>2.4999999999999898</v>
      </c>
      <c r="Y502">
        <v>26.182469912513799</v>
      </c>
      <c r="Z502">
        <v>0.499999999999999</v>
      </c>
      <c r="AA502">
        <v>47.785639776523801</v>
      </c>
      <c r="AB502" s="9">
        <f t="shared" si="71"/>
        <v>-0.33788371070426226</v>
      </c>
      <c r="AC502" s="9">
        <f t="shared" si="72"/>
        <v>-0.34142437488387012</v>
      </c>
      <c r="AD502" s="2">
        <f t="shared" si="73"/>
        <v>1.0478943102133931E-2</v>
      </c>
      <c r="AE502" s="8">
        <f t="shared" si="74"/>
        <v>1.5190966112576842E-3</v>
      </c>
      <c r="AF502" s="2">
        <f t="shared" si="75"/>
        <v>-1.1852107934468604E-3</v>
      </c>
      <c r="AG502" s="8">
        <f t="shared" si="76"/>
        <v>2.7043074047045446E-3</v>
      </c>
      <c r="AH502" s="7">
        <f t="shared" si="77"/>
        <v>-0.43826777657932309</v>
      </c>
      <c r="AI502">
        <f t="shared" si="78"/>
        <v>6</v>
      </c>
      <c r="AJ502" s="10">
        <f t="shared" si="79"/>
        <v>9.7355066569363602E-2</v>
      </c>
    </row>
    <row r="503" spans="1:36" hidden="1" x14ac:dyDescent="0.25">
      <c r="A503" t="b">
        <v>0</v>
      </c>
      <c r="B503">
        <v>1000</v>
      </c>
      <c r="C503">
        <v>9.7355066569363602E-2</v>
      </c>
      <c r="D503" t="s">
        <v>52</v>
      </c>
      <c r="E503" t="b">
        <v>1</v>
      </c>
      <c r="F503" t="s">
        <v>53</v>
      </c>
      <c r="G503">
        <v>7.4999999999999997E-2</v>
      </c>
      <c r="H503">
        <v>0.5</v>
      </c>
      <c r="I503">
        <v>1E-4</v>
      </c>
      <c r="J503" t="b">
        <v>1</v>
      </c>
      <c r="K503">
        <v>6</v>
      </c>
      <c r="L503">
        <v>1500</v>
      </c>
      <c r="M503">
        <v>0.1</v>
      </c>
      <c r="N503">
        <v>0.154</v>
      </c>
      <c r="O503" t="s">
        <v>287</v>
      </c>
      <c r="P503" t="s">
        <v>293</v>
      </c>
      <c r="Q503">
        <v>-3.0103328402441502E-4</v>
      </c>
      <c r="R503">
        <v>2.7214681841800899E-3</v>
      </c>
      <c r="S503">
        <v>1.1984735434099299E-3</v>
      </c>
      <c r="T503">
        <v>-1.4579484474192999E-2</v>
      </c>
      <c r="U503">
        <v>5.9978928847439503</v>
      </c>
      <c r="V503" s="1">
        <v>9.9999999999999905E-15</v>
      </c>
      <c r="W503">
        <v>0.615798465752038</v>
      </c>
      <c r="X503">
        <v>2.4999999999999898</v>
      </c>
      <c r="Y503">
        <v>27.321175834167999</v>
      </c>
      <c r="Z503">
        <v>0.499999999999999</v>
      </c>
      <c r="AA503">
        <v>50.213859357381303</v>
      </c>
      <c r="AB503" s="9">
        <f t="shared" si="71"/>
        <v>-0.33791791405458815</v>
      </c>
      <c r="AC503" s="9">
        <f t="shared" si="72"/>
        <v>-0.34142437488387012</v>
      </c>
      <c r="AD503" s="2">
        <f t="shared" si="73"/>
        <v>1.0376664519524459E-2</v>
      </c>
      <c r="AE503" s="8">
        <f t="shared" si="74"/>
        <v>1.5305325237187839E-3</v>
      </c>
      <c r="AF503" s="2">
        <f t="shared" si="75"/>
        <v>-1.1737748809857607E-3</v>
      </c>
      <c r="AG503" s="8">
        <f t="shared" si="76"/>
        <v>2.7043074047045446E-3</v>
      </c>
      <c r="AH503" s="7">
        <f t="shared" si="77"/>
        <v>-0.4340389997615674</v>
      </c>
      <c r="AI503">
        <f t="shared" si="78"/>
        <v>6</v>
      </c>
      <c r="AJ503" s="10">
        <f t="shared" si="79"/>
        <v>9.7355066569363602E-2</v>
      </c>
    </row>
    <row r="504" spans="1:36" hidden="1" x14ac:dyDescent="0.25">
      <c r="A504" t="b">
        <v>0</v>
      </c>
      <c r="B504">
        <v>1000</v>
      </c>
      <c r="C504">
        <v>9.7355066569363602E-2</v>
      </c>
      <c r="D504" t="s">
        <v>52</v>
      </c>
      <c r="E504" t="b">
        <v>1</v>
      </c>
      <c r="F504" t="s">
        <v>53</v>
      </c>
      <c r="G504">
        <v>7.4999999999999997E-2</v>
      </c>
      <c r="H504">
        <v>0.5</v>
      </c>
      <c r="I504">
        <v>1E-4</v>
      </c>
      <c r="J504" t="b">
        <v>1</v>
      </c>
      <c r="K504">
        <v>6</v>
      </c>
      <c r="L504">
        <v>1500</v>
      </c>
      <c r="M504">
        <v>0.1</v>
      </c>
      <c r="N504">
        <v>0.154</v>
      </c>
      <c r="O504" t="s">
        <v>287</v>
      </c>
      <c r="P504" t="s">
        <v>294</v>
      </c>
      <c r="Q504">
        <v>-5.6440918407504198E-4</v>
      </c>
      <c r="R504">
        <v>5.0645906836914601E-3</v>
      </c>
      <c r="S504">
        <v>2.24690452931221E-3</v>
      </c>
      <c r="T504">
        <v>-2.7328752383655501E-2</v>
      </c>
      <c r="U504">
        <v>5.9962977573199296</v>
      </c>
      <c r="V504" s="1">
        <v>9.9999999999999905E-15</v>
      </c>
      <c r="W504">
        <v>0.61057278575320595</v>
      </c>
      <c r="X504">
        <v>2.4999999999999898</v>
      </c>
      <c r="Y504">
        <v>27.140262157403299</v>
      </c>
      <c r="Z504">
        <v>0.499999999999999</v>
      </c>
      <c r="AA504">
        <v>49.833077589140601</v>
      </c>
      <c r="AB504" s="9">
        <f t="shared" si="71"/>
        <v>-0.33785681623485436</v>
      </c>
      <c r="AC504" s="9">
        <f t="shared" si="72"/>
        <v>-0.34142437488387012</v>
      </c>
      <c r="AD504" s="2">
        <f t="shared" si="73"/>
        <v>1.0559380416749864E-2</v>
      </c>
      <c r="AE504" s="8">
        <f t="shared" si="74"/>
        <v>1.5101046113032619E-3</v>
      </c>
      <c r="AF504" s="2">
        <f t="shared" si="75"/>
        <v>-1.1942027934012827E-3</v>
      </c>
      <c r="AG504" s="8">
        <f t="shared" si="76"/>
        <v>2.7043074047045446E-3</v>
      </c>
      <c r="AH504" s="7">
        <f t="shared" si="77"/>
        <v>-0.44159284233877755</v>
      </c>
      <c r="AI504">
        <f t="shared" si="78"/>
        <v>6</v>
      </c>
      <c r="AJ504" s="10">
        <f t="shared" si="79"/>
        <v>9.7355066569363602E-2</v>
      </c>
    </row>
    <row r="505" spans="1:36" hidden="1" x14ac:dyDescent="0.25">
      <c r="A505" t="b">
        <v>0</v>
      </c>
      <c r="B505">
        <v>1000</v>
      </c>
      <c r="C505">
        <v>9.7355066569363602E-2</v>
      </c>
      <c r="D505" t="s">
        <v>52</v>
      </c>
      <c r="E505" t="b">
        <v>1</v>
      </c>
      <c r="F505" t="s">
        <v>53</v>
      </c>
      <c r="G505">
        <v>7.4999999999999997E-2</v>
      </c>
      <c r="H505">
        <v>0.5</v>
      </c>
      <c r="I505">
        <v>1E-4</v>
      </c>
      <c r="J505" t="b">
        <v>1</v>
      </c>
      <c r="K505">
        <v>6</v>
      </c>
      <c r="L505">
        <v>1500</v>
      </c>
      <c r="M505">
        <v>0.1</v>
      </c>
      <c r="N505">
        <v>0.154</v>
      </c>
      <c r="O505" t="s">
        <v>288</v>
      </c>
      <c r="P505" t="s">
        <v>291</v>
      </c>
      <c r="Q505" s="1">
        <v>-3.7671051368697503E-5</v>
      </c>
      <c r="R505">
        <v>3.4103958657706802E-4</v>
      </c>
      <c r="S505">
        <v>1.50007577186284E-4</v>
      </c>
      <c r="T505">
        <v>-1.82613991046136E-3</v>
      </c>
      <c r="U505">
        <v>5.9962982173476602</v>
      </c>
      <c r="V505" s="1">
        <v>9.9999999999991906E-15</v>
      </c>
      <c r="W505">
        <v>0.60885939019844204</v>
      </c>
      <c r="X505">
        <v>2.4999999999999898</v>
      </c>
      <c r="Y505">
        <v>27.482791802103002</v>
      </c>
      <c r="Z505">
        <v>0.499999999761152</v>
      </c>
      <c r="AA505">
        <v>50.233279079138399</v>
      </c>
      <c r="AB505" s="9">
        <f t="shared" si="71"/>
        <v>-0.3381569756368602</v>
      </c>
      <c r="AC505" s="9">
        <f t="shared" si="72"/>
        <v>-0.34142437488387012</v>
      </c>
      <c r="AD505" s="2">
        <f t="shared" si="73"/>
        <v>9.6623742297681225E-3</v>
      </c>
      <c r="AE505" s="8">
        <f t="shared" si="74"/>
        <v>1.6104702119232113E-3</v>
      </c>
      <c r="AF505" s="2">
        <f t="shared" si="75"/>
        <v>-1.0938371927813333E-3</v>
      </c>
      <c r="AG505" s="8">
        <f t="shared" si="76"/>
        <v>2.7043074047045446E-3</v>
      </c>
      <c r="AH505" s="7">
        <f t="shared" si="77"/>
        <v>-0.40447960571288638</v>
      </c>
      <c r="AI505">
        <f t="shared" si="78"/>
        <v>6</v>
      </c>
      <c r="AJ505" s="10">
        <f t="shared" si="79"/>
        <v>9.7355066569363602E-2</v>
      </c>
    </row>
    <row r="506" spans="1:36" hidden="1" x14ac:dyDescent="0.25">
      <c r="A506" t="b">
        <v>0</v>
      </c>
      <c r="B506">
        <v>1000</v>
      </c>
      <c r="C506">
        <v>9.7355066569363602E-2</v>
      </c>
      <c r="D506" t="s">
        <v>52</v>
      </c>
      <c r="E506" t="b">
        <v>1</v>
      </c>
      <c r="F506" t="s">
        <v>53</v>
      </c>
      <c r="G506">
        <v>7.4999999999999997E-2</v>
      </c>
      <c r="H506">
        <v>0.5</v>
      </c>
      <c r="I506">
        <v>1E-4</v>
      </c>
      <c r="J506" t="b">
        <v>1</v>
      </c>
      <c r="K506">
        <v>6</v>
      </c>
      <c r="L506">
        <v>1500</v>
      </c>
      <c r="M506">
        <v>0.1</v>
      </c>
      <c r="N506">
        <v>0.154</v>
      </c>
      <c r="O506" t="s">
        <v>288</v>
      </c>
      <c r="P506" t="s">
        <v>292</v>
      </c>
      <c r="Q506" s="1">
        <v>-1E-10</v>
      </c>
      <c r="R506" s="1">
        <v>3.5857858737871701E-12</v>
      </c>
      <c r="S506" s="1">
        <v>2.9571963197352402E-17</v>
      </c>
      <c r="T506" s="1">
        <v>-9.4096169315131798E-16</v>
      </c>
      <c r="U506">
        <v>5.9965266257591301</v>
      </c>
      <c r="V506">
        <v>0</v>
      </c>
      <c r="W506">
        <v>6.8474547147880399E-2</v>
      </c>
      <c r="X506">
        <v>2</v>
      </c>
      <c r="Y506">
        <v>4.00056634905048E-3</v>
      </c>
      <c r="Z506">
        <v>2.5000000000000001E-4</v>
      </c>
      <c r="AA506">
        <v>4.7933529034781003E-3</v>
      </c>
      <c r="AB506" s="9">
        <f t="shared" si="71"/>
        <v>-0.88387181585898122</v>
      </c>
      <c r="AC506" s="9">
        <f t="shared" si="72"/>
        <v>-0.34142437488387012</v>
      </c>
      <c r="AD506" s="2">
        <f t="shared" si="73"/>
        <v>-0.61371731878104907</v>
      </c>
      <c r="AE506" s="8">
        <f t="shared" si="74"/>
        <v>0.22475898420862309</v>
      </c>
      <c r="AF506" s="2">
        <f t="shared" si="75"/>
        <v>0.22205467680391855</v>
      </c>
      <c r="AG506" s="8">
        <f t="shared" si="76"/>
        <v>2.7043074047045446E-3</v>
      </c>
      <c r="AH506" s="7">
        <f t="shared" si="77"/>
        <v>82.11147757005044</v>
      </c>
      <c r="AI506">
        <f t="shared" si="78"/>
        <v>6</v>
      </c>
      <c r="AJ506" s="10">
        <f t="shared" si="79"/>
        <v>9.7355066569363602E-2</v>
      </c>
    </row>
    <row r="507" spans="1:36" hidden="1" x14ac:dyDescent="0.25">
      <c r="A507" t="b">
        <v>0</v>
      </c>
      <c r="B507">
        <v>1000</v>
      </c>
      <c r="C507">
        <v>9.7355066569363602E-2</v>
      </c>
      <c r="D507" t="s">
        <v>52</v>
      </c>
      <c r="E507" t="b">
        <v>1</v>
      </c>
      <c r="F507" t="s">
        <v>53</v>
      </c>
      <c r="G507">
        <v>7.4999999999999997E-2</v>
      </c>
      <c r="H507">
        <v>0.5</v>
      </c>
      <c r="I507">
        <v>1E-4</v>
      </c>
      <c r="J507" t="b">
        <v>1</v>
      </c>
      <c r="K507">
        <v>6</v>
      </c>
      <c r="L507">
        <v>1500</v>
      </c>
      <c r="M507">
        <v>0.1</v>
      </c>
      <c r="N507">
        <v>0.154</v>
      </c>
      <c r="O507" t="s">
        <v>288</v>
      </c>
      <c r="P507" t="s">
        <v>293</v>
      </c>
      <c r="Q507" s="1">
        <v>-3.76710513686961E-5</v>
      </c>
      <c r="R507">
        <v>3.43764194793605E-4</v>
      </c>
      <c r="S507">
        <v>1.5000757718627801E-4</v>
      </c>
      <c r="T507">
        <v>-1.82613991046136E-3</v>
      </c>
      <c r="U507">
        <v>5.9962982173497297</v>
      </c>
      <c r="V507" s="1">
        <v>9.9999999999991906E-15</v>
      </c>
      <c r="W507">
        <v>0.618370637748201</v>
      </c>
      <c r="X507">
        <v>2.4999999999999898</v>
      </c>
      <c r="Y507">
        <v>27.6130779337145</v>
      </c>
      <c r="Z507">
        <v>0.499999999761152</v>
      </c>
      <c r="AA507">
        <v>50.669393035572</v>
      </c>
      <c r="AB507" s="9">
        <f t="shared" si="71"/>
        <v>-0.33815697563687375</v>
      </c>
      <c r="AC507" s="9">
        <f t="shared" si="72"/>
        <v>-0.34142437488387012</v>
      </c>
      <c r="AD507" s="2">
        <f t="shared" si="73"/>
        <v>9.6623742297277104E-3</v>
      </c>
      <c r="AE507" s="8">
        <f t="shared" si="74"/>
        <v>1.6104702119277658E-3</v>
      </c>
      <c r="AF507" s="2">
        <f t="shared" si="75"/>
        <v>-1.0938371927767788E-3</v>
      </c>
      <c r="AG507" s="8">
        <f t="shared" si="76"/>
        <v>2.7043074047045446E-3</v>
      </c>
      <c r="AH507" s="7">
        <f t="shared" si="77"/>
        <v>-0.40447960571120223</v>
      </c>
      <c r="AI507">
        <f t="shared" si="78"/>
        <v>6</v>
      </c>
      <c r="AJ507" s="10">
        <f t="shared" si="79"/>
        <v>9.7355066569363602E-2</v>
      </c>
    </row>
    <row r="508" spans="1:36" hidden="1" x14ac:dyDescent="0.25">
      <c r="A508" t="b">
        <v>0</v>
      </c>
      <c r="B508">
        <v>1000</v>
      </c>
      <c r="C508">
        <v>9.7355066569363602E-2</v>
      </c>
      <c r="D508" t="s">
        <v>52</v>
      </c>
      <c r="E508" t="b">
        <v>1</v>
      </c>
      <c r="F508" t="s">
        <v>53</v>
      </c>
      <c r="G508">
        <v>7.4999999999999997E-2</v>
      </c>
      <c r="H508">
        <v>0.5</v>
      </c>
      <c r="I508">
        <v>1E-4</v>
      </c>
      <c r="J508" t="b">
        <v>1</v>
      </c>
      <c r="K508">
        <v>6</v>
      </c>
      <c r="L508">
        <v>1500</v>
      </c>
      <c r="M508">
        <v>0.1</v>
      </c>
      <c r="N508">
        <v>0.154</v>
      </c>
      <c r="O508" t="s">
        <v>288</v>
      </c>
      <c r="P508" t="s">
        <v>294</v>
      </c>
      <c r="Q508">
        <v>-3.01046951640788E-4</v>
      </c>
      <c r="R508">
        <v>2.7045942587004199E-3</v>
      </c>
      <c r="S508">
        <v>1.19843856308856E-3</v>
      </c>
      <c r="T508">
        <v>-1.4575407819924099E-2</v>
      </c>
      <c r="U508">
        <v>5.9947030899257099</v>
      </c>
      <c r="V508" s="1">
        <v>9.9999999999999905E-15</v>
      </c>
      <c r="W508">
        <v>0.61134005135862701</v>
      </c>
      <c r="X508">
        <v>2.4999999999999898</v>
      </c>
      <c r="Y508">
        <v>27.168214611032798</v>
      </c>
      <c r="Z508">
        <v>0.499999999999999</v>
      </c>
      <c r="AA508">
        <v>49.894901042333103</v>
      </c>
      <c r="AB508" s="9">
        <f t="shared" si="71"/>
        <v>-0.33783328733925061</v>
      </c>
      <c r="AC508" s="9">
        <f t="shared" si="72"/>
        <v>-0.34142437488387012</v>
      </c>
      <c r="AD508" s="2">
        <f t="shared" si="73"/>
        <v>1.0629762309400048E-2</v>
      </c>
      <c r="AE508" s="8">
        <f t="shared" si="74"/>
        <v>1.5022380026116506E-3</v>
      </c>
      <c r="AF508" s="2">
        <f t="shared" si="75"/>
        <v>-1.202069402092894E-3</v>
      </c>
      <c r="AG508" s="8">
        <f t="shared" si="76"/>
        <v>2.7043074047045446E-3</v>
      </c>
      <c r="AH508" s="7">
        <f t="shared" si="77"/>
        <v>-0.44450176041440986</v>
      </c>
      <c r="AI508">
        <f t="shared" si="78"/>
        <v>6</v>
      </c>
      <c r="AJ508" s="10">
        <f t="shared" si="79"/>
        <v>9.7355066569363602E-2</v>
      </c>
    </row>
    <row r="509" spans="1:36" hidden="1" x14ac:dyDescent="0.25">
      <c r="A509" t="b">
        <v>0</v>
      </c>
      <c r="B509">
        <v>1000</v>
      </c>
      <c r="C509">
        <v>9.7355066569363602E-2</v>
      </c>
      <c r="D509" t="s">
        <v>52</v>
      </c>
      <c r="E509" t="b">
        <v>1</v>
      </c>
      <c r="F509" t="s">
        <v>53</v>
      </c>
      <c r="G509">
        <v>7.4999999999999997E-2</v>
      </c>
      <c r="H509">
        <v>0.5</v>
      </c>
      <c r="I509">
        <v>1E-4</v>
      </c>
      <c r="J509" t="b">
        <v>1</v>
      </c>
      <c r="K509">
        <v>6</v>
      </c>
      <c r="L509">
        <v>1500</v>
      </c>
      <c r="M509">
        <v>0.1</v>
      </c>
      <c r="N509">
        <v>0.154</v>
      </c>
      <c r="O509" t="s">
        <v>289</v>
      </c>
      <c r="P509" t="s">
        <v>290</v>
      </c>
      <c r="Q509" s="1">
        <v>-3.7669338559888201E-5</v>
      </c>
      <c r="R509">
        <v>3.3901955422800499E-4</v>
      </c>
      <c r="S509">
        <v>1.5001196016860499E-4</v>
      </c>
      <c r="T509">
        <v>-1.82665075431567E-3</v>
      </c>
      <c r="U509">
        <v>5.99948760968309</v>
      </c>
      <c r="V509" s="1">
        <v>9.9999999999991906E-15</v>
      </c>
      <c r="W509">
        <v>0.60308280633144995</v>
      </c>
      <c r="X509">
        <v>2.4999999999999898</v>
      </c>
      <c r="Y509">
        <v>27.36531361223</v>
      </c>
      <c r="Z509">
        <v>0.499999999762682</v>
      </c>
      <c r="AA509">
        <v>49.921234271706702</v>
      </c>
      <c r="AB509" s="9">
        <f t="shared" si="71"/>
        <v>-0.33824168868909915</v>
      </c>
      <c r="AC509" s="9">
        <f t="shared" si="72"/>
        <v>-0.34142437488387012</v>
      </c>
      <c r="AD509" s="2">
        <f t="shared" si="73"/>
        <v>9.4095030305278993E-3</v>
      </c>
      <c r="AE509" s="8">
        <f t="shared" si="74"/>
        <v>1.638799722386747E-3</v>
      </c>
      <c r="AF509" s="2">
        <f t="shared" si="75"/>
        <v>-1.0655076823177976E-3</v>
      </c>
      <c r="AG509" s="8">
        <f t="shared" si="76"/>
        <v>2.7043074047045446E-3</v>
      </c>
      <c r="AH509" s="7">
        <f t="shared" si="77"/>
        <v>-0.3940039066802053</v>
      </c>
      <c r="AI509">
        <f t="shared" si="78"/>
        <v>6</v>
      </c>
      <c r="AJ509" s="10">
        <f t="shared" si="79"/>
        <v>9.7355066569363602E-2</v>
      </c>
    </row>
    <row r="510" spans="1:36" hidden="1" x14ac:dyDescent="0.25">
      <c r="A510" t="b">
        <v>0</v>
      </c>
      <c r="B510">
        <v>1000</v>
      </c>
      <c r="C510">
        <v>9.7355066569363602E-2</v>
      </c>
      <c r="D510" t="s">
        <v>52</v>
      </c>
      <c r="E510" t="b">
        <v>1</v>
      </c>
      <c r="F510" t="s">
        <v>53</v>
      </c>
      <c r="G510">
        <v>7.4999999999999997E-2</v>
      </c>
      <c r="H510">
        <v>0.5</v>
      </c>
      <c r="I510">
        <v>1E-4</v>
      </c>
      <c r="J510" t="b">
        <v>1</v>
      </c>
      <c r="K510">
        <v>6</v>
      </c>
      <c r="L510">
        <v>1500</v>
      </c>
      <c r="M510">
        <v>0.1</v>
      </c>
      <c r="N510">
        <v>0.154</v>
      </c>
      <c r="O510" t="s">
        <v>289</v>
      </c>
      <c r="P510" t="s">
        <v>291</v>
      </c>
      <c r="Q510">
        <v>-3.0103328402441703E-4</v>
      </c>
      <c r="R510">
        <v>2.7199449173489201E-3</v>
      </c>
      <c r="S510">
        <v>1.1984735434099299E-3</v>
      </c>
      <c r="T510">
        <v>-1.4579484474192699E-2</v>
      </c>
      <c r="U510">
        <v>5.9978928847325799</v>
      </c>
      <c r="V510" s="1">
        <v>9.9999999999999905E-15</v>
      </c>
      <c r="W510">
        <v>0.61306035206467602</v>
      </c>
      <c r="X510">
        <v>2.4999999999999898</v>
      </c>
      <c r="Y510">
        <v>27.343256783169799</v>
      </c>
      <c r="Z510">
        <v>0.499999999999999</v>
      </c>
      <c r="AA510">
        <v>50.170621303985101</v>
      </c>
      <c r="AB510" s="9">
        <f t="shared" si="71"/>
        <v>-0.33791791405458116</v>
      </c>
      <c r="AC510" s="9">
        <f t="shared" si="72"/>
        <v>-0.34142437488387012</v>
      </c>
      <c r="AD510" s="2">
        <f t="shared" si="73"/>
        <v>1.0376664519545331E-2</v>
      </c>
      <c r="AE510" s="8">
        <f t="shared" si="74"/>
        <v>1.5305325237164329E-3</v>
      </c>
      <c r="AF510" s="2">
        <f t="shared" si="75"/>
        <v>-1.1737748809881117E-3</v>
      </c>
      <c r="AG510" s="8">
        <f t="shared" si="76"/>
        <v>2.7043074047045446E-3</v>
      </c>
      <c r="AH510" s="7">
        <f t="shared" si="77"/>
        <v>-0.43403899976243671</v>
      </c>
      <c r="AI510">
        <f t="shared" si="78"/>
        <v>6</v>
      </c>
      <c r="AJ510" s="10">
        <f t="shared" si="79"/>
        <v>9.7355066569363602E-2</v>
      </c>
    </row>
    <row r="511" spans="1:36" hidden="1" x14ac:dyDescent="0.25">
      <c r="A511" t="b">
        <v>0</v>
      </c>
      <c r="B511">
        <v>1000</v>
      </c>
      <c r="C511">
        <v>9.7355066569363602E-2</v>
      </c>
      <c r="D511" t="s">
        <v>52</v>
      </c>
      <c r="E511" t="b">
        <v>1</v>
      </c>
      <c r="F511" t="s">
        <v>53</v>
      </c>
      <c r="G511">
        <v>7.4999999999999997E-2</v>
      </c>
      <c r="H511">
        <v>0.5</v>
      </c>
      <c r="I511">
        <v>1E-4</v>
      </c>
      <c r="J511" t="b">
        <v>1</v>
      </c>
      <c r="K511">
        <v>6</v>
      </c>
      <c r="L511">
        <v>1500</v>
      </c>
      <c r="M511">
        <v>0.1</v>
      </c>
      <c r="N511">
        <v>0.154</v>
      </c>
      <c r="O511" t="s">
        <v>289</v>
      </c>
      <c r="P511" t="s">
        <v>292</v>
      </c>
      <c r="Q511">
        <v>-2.6336223243435101E-4</v>
      </c>
      <c r="R511">
        <v>2.2666911786008298E-3</v>
      </c>
      <c r="S511">
        <v>1.0484659662236601E-3</v>
      </c>
      <c r="T511">
        <v>-1.2753344563732101E-2</v>
      </c>
      <c r="U511">
        <v>5.99812129314404</v>
      </c>
      <c r="V511" s="1">
        <v>9.9999999999999905E-15</v>
      </c>
      <c r="W511">
        <v>0.58853176214620395</v>
      </c>
      <c r="X511">
        <v>2.4999999999999898</v>
      </c>
      <c r="Y511">
        <v>26.0556092849089</v>
      </c>
      <c r="Z511">
        <v>0.499999999999999</v>
      </c>
      <c r="AA511">
        <v>47.798815307550498</v>
      </c>
      <c r="AB511" s="9">
        <f t="shared" si="71"/>
        <v>-0.33788371070426287</v>
      </c>
      <c r="AC511" s="9">
        <f t="shared" si="72"/>
        <v>-0.34142437488387012</v>
      </c>
      <c r="AD511" s="2">
        <f t="shared" si="73"/>
        <v>1.0478943102132154E-2</v>
      </c>
      <c r="AE511" s="8">
        <f t="shared" si="74"/>
        <v>1.5190966112578817E-3</v>
      </c>
      <c r="AF511" s="2">
        <f t="shared" si="75"/>
        <v>-1.1852107934466629E-3</v>
      </c>
      <c r="AG511" s="8">
        <f t="shared" si="76"/>
        <v>2.7043074047045446E-3</v>
      </c>
      <c r="AH511" s="7">
        <f t="shared" si="77"/>
        <v>-0.43826777657925003</v>
      </c>
      <c r="AI511">
        <f t="shared" si="78"/>
        <v>6</v>
      </c>
      <c r="AJ511" s="10">
        <f t="shared" si="79"/>
        <v>9.7355066569363602E-2</v>
      </c>
    </row>
    <row r="512" spans="1:36" hidden="1" x14ac:dyDescent="0.25">
      <c r="A512" t="b">
        <v>0</v>
      </c>
      <c r="B512">
        <v>1000</v>
      </c>
      <c r="C512">
        <v>9.7355066569363602E-2</v>
      </c>
      <c r="D512" t="s">
        <v>52</v>
      </c>
      <c r="E512" t="b">
        <v>1</v>
      </c>
      <c r="F512" t="s">
        <v>53</v>
      </c>
      <c r="G512">
        <v>7.4999999999999997E-2</v>
      </c>
      <c r="H512">
        <v>0.5</v>
      </c>
      <c r="I512">
        <v>1E-4</v>
      </c>
      <c r="J512" t="b">
        <v>1</v>
      </c>
      <c r="K512">
        <v>6</v>
      </c>
      <c r="L512">
        <v>1500</v>
      </c>
      <c r="M512">
        <v>0.1</v>
      </c>
      <c r="N512">
        <v>0.154</v>
      </c>
      <c r="O512" t="s">
        <v>289</v>
      </c>
      <c r="P512" t="s">
        <v>293</v>
      </c>
      <c r="Q512">
        <v>-3.0103328402441301E-4</v>
      </c>
      <c r="R512">
        <v>2.7048773151646002E-3</v>
      </c>
      <c r="S512">
        <v>1.1984735434099299E-3</v>
      </c>
      <c r="T512">
        <v>-1.4579484474192999E-2</v>
      </c>
      <c r="U512">
        <v>5.9978928847346404</v>
      </c>
      <c r="V512" s="1">
        <v>9.9999999999999905E-15</v>
      </c>
      <c r="W512">
        <v>0.61266104005742605</v>
      </c>
      <c r="X512">
        <v>2.4999999999999898</v>
      </c>
      <c r="Y512">
        <v>27.1554800382652</v>
      </c>
      <c r="Z512">
        <v>0.499999999999999</v>
      </c>
      <c r="AA512">
        <v>49.908614802374899</v>
      </c>
      <c r="AB512" s="9">
        <f t="shared" si="71"/>
        <v>-0.33791791405458815</v>
      </c>
      <c r="AC512" s="9">
        <f t="shared" si="72"/>
        <v>-0.34142437488387012</v>
      </c>
      <c r="AD512" s="2">
        <f t="shared" si="73"/>
        <v>1.0376664519524459E-2</v>
      </c>
      <c r="AE512" s="8">
        <f t="shared" si="74"/>
        <v>1.5305325237187839E-3</v>
      </c>
      <c r="AF512" s="2">
        <f t="shared" si="75"/>
        <v>-1.1737748809857607E-3</v>
      </c>
      <c r="AG512" s="8">
        <f t="shared" si="76"/>
        <v>2.7043074047045446E-3</v>
      </c>
      <c r="AH512" s="7">
        <f t="shared" si="77"/>
        <v>-0.4340389997615674</v>
      </c>
      <c r="AI512">
        <f t="shared" si="78"/>
        <v>6</v>
      </c>
      <c r="AJ512" s="10">
        <f t="shared" si="79"/>
        <v>9.7355066569363602E-2</v>
      </c>
    </row>
    <row r="513" spans="1:36" hidden="1" x14ac:dyDescent="0.25">
      <c r="A513" t="b">
        <v>0</v>
      </c>
      <c r="B513">
        <v>1000</v>
      </c>
      <c r="C513">
        <v>9.7355066569363602E-2</v>
      </c>
      <c r="D513" t="s">
        <v>52</v>
      </c>
      <c r="E513" t="b">
        <v>1</v>
      </c>
      <c r="F513" t="s">
        <v>53</v>
      </c>
      <c r="G513">
        <v>7.4999999999999997E-2</v>
      </c>
      <c r="H513">
        <v>0.5</v>
      </c>
      <c r="I513">
        <v>1E-4</v>
      </c>
      <c r="J513" t="b">
        <v>1</v>
      </c>
      <c r="K513">
        <v>6</v>
      </c>
      <c r="L513">
        <v>1500</v>
      </c>
      <c r="M513">
        <v>0.1</v>
      </c>
      <c r="N513">
        <v>0.154</v>
      </c>
      <c r="O513" t="s">
        <v>289</v>
      </c>
      <c r="P513" t="s">
        <v>294</v>
      </c>
      <c r="Q513">
        <v>-5.6440918407503796E-4</v>
      </c>
      <c r="R513">
        <v>4.9808614830714002E-3</v>
      </c>
      <c r="S513">
        <v>2.24690452931221E-3</v>
      </c>
      <c r="T513">
        <v>-2.7328752383655602E-2</v>
      </c>
      <c r="U513">
        <v>5.9962977573106304</v>
      </c>
      <c r="V513" s="1">
        <v>9.9999999999999905E-15</v>
      </c>
      <c r="W513">
        <v>0.59989601726721398</v>
      </c>
      <c r="X513">
        <v>2.4999999999999898</v>
      </c>
      <c r="Y513">
        <v>26.726048401810601</v>
      </c>
      <c r="Z513">
        <v>0.499999999999999</v>
      </c>
      <c r="AA513">
        <v>49.000365314143103</v>
      </c>
      <c r="AB513" s="9">
        <f t="shared" si="71"/>
        <v>-0.33785681623485558</v>
      </c>
      <c r="AC513" s="9">
        <f t="shared" si="72"/>
        <v>-0.34142437488387012</v>
      </c>
      <c r="AD513" s="2">
        <f t="shared" si="73"/>
        <v>1.0559380416746089E-2</v>
      </c>
      <c r="AE513" s="8">
        <f t="shared" si="74"/>
        <v>1.5101046113036578E-3</v>
      </c>
      <c r="AF513" s="2">
        <f t="shared" si="75"/>
        <v>-1.1942027934008868E-3</v>
      </c>
      <c r="AG513" s="8">
        <f t="shared" si="76"/>
        <v>2.7043074047045446E-3</v>
      </c>
      <c r="AH513" s="7">
        <f t="shared" si="77"/>
        <v>-0.44159284233863116</v>
      </c>
      <c r="AI513">
        <f t="shared" si="78"/>
        <v>6</v>
      </c>
      <c r="AJ513" s="10">
        <f t="shared" si="79"/>
        <v>9.7355066569363602E-2</v>
      </c>
    </row>
    <row r="514" spans="1:36" hidden="1" x14ac:dyDescent="0.25">
      <c r="A514" t="b">
        <v>0</v>
      </c>
      <c r="B514">
        <v>1000</v>
      </c>
      <c r="C514">
        <v>9.7355066569363602E-2</v>
      </c>
      <c r="D514" t="s">
        <v>52</v>
      </c>
      <c r="E514" t="b">
        <v>1</v>
      </c>
      <c r="F514" t="s">
        <v>53</v>
      </c>
      <c r="G514">
        <v>7.4999999999999997E-2</v>
      </c>
      <c r="H514">
        <v>0.5</v>
      </c>
      <c r="I514">
        <v>1E-4</v>
      </c>
      <c r="J514" t="b">
        <v>1</v>
      </c>
      <c r="K514">
        <v>6</v>
      </c>
      <c r="L514">
        <v>1500</v>
      </c>
      <c r="M514">
        <v>0.1</v>
      </c>
      <c r="N514">
        <v>0.154</v>
      </c>
      <c r="O514" t="s">
        <v>290</v>
      </c>
      <c r="P514" t="s">
        <v>291</v>
      </c>
      <c r="Q514">
        <v>-2.6336394524391203E-4</v>
      </c>
      <c r="R514">
        <v>2.2956485431378398E-3</v>
      </c>
      <c r="S514">
        <v>1.0484615832413199E-3</v>
      </c>
      <c r="T514">
        <v>-1.2752833719876899E-2</v>
      </c>
      <c r="U514">
        <v>5.9976645338888304</v>
      </c>
      <c r="V514" s="1">
        <v>9.9999999999999905E-15</v>
      </c>
      <c r="W514">
        <v>0.59108727944162398</v>
      </c>
      <c r="X514">
        <v>2.4999999999999898</v>
      </c>
      <c r="Y514">
        <v>26.442748315488799</v>
      </c>
      <c r="Z514">
        <v>0.499999999999999</v>
      </c>
      <c r="AA514">
        <v>48.383547601720402</v>
      </c>
      <c r="AB514" s="9">
        <f t="shared" si="71"/>
        <v>-0.33787158897376263</v>
      </c>
      <c r="AC514" s="9">
        <f t="shared" si="72"/>
        <v>-0.34142437488387012</v>
      </c>
      <c r="AD514" s="2">
        <f t="shared" si="73"/>
        <v>1.0515195790502974E-2</v>
      </c>
      <c r="AE514" s="8">
        <f t="shared" si="74"/>
        <v>1.5150437654477718E-3</v>
      </c>
      <c r="AF514" s="2">
        <f t="shared" si="75"/>
        <v>-1.1892636392567728E-3</v>
      </c>
      <c r="AG514" s="8">
        <f t="shared" si="76"/>
        <v>2.7043074047045446E-3</v>
      </c>
      <c r="AH514" s="7">
        <f t="shared" si="77"/>
        <v>-0.43976643971313023</v>
      </c>
      <c r="AI514">
        <f t="shared" si="78"/>
        <v>6</v>
      </c>
      <c r="AJ514" s="10">
        <f t="shared" si="79"/>
        <v>9.7355066569363602E-2</v>
      </c>
    </row>
    <row r="515" spans="1:36" hidden="1" x14ac:dyDescent="0.25">
      <c r="A515" t="b">
        <v>0</v>
      </c>
      <c r="B515">
        <v>1000</v>
      </c>
      <c r="C515">
        <v>9.7355066569363602E-2</v>
      </c>
      <c r="D515" t="s">
        <v>52</v>
      </c>
      <c r="E515" t="b">
        <v>1</v>
      </c>
      <c r="F515" t="s">
        <v>53</v>
      </c>
      <c r="G515">
        <v>7.4999999999999997E-2</v>
      </c>
      <c r="H515">
        <v>0.5</v>
      </c>
      <c r="I515">
        <v>1E-4</v>
      </c>
      <c r="J515" t="b">
        <v>1</v>
      </c>
      <c r="K515">
        <v>6</v>
      </c>
      <c r="L515">
        <v>1500</v>
      </c>
      <c r="M515">
        <v>0.1</v>
      </c>
      <c r="N515">
        <v>0.154</v>
      </c>
      <c r="O515" t="s">
        <v>290</v>
      </c>
      <c r="P515" t="s">
        <v>292</v>
      </c>
      <c r="Q515">
        <v>-2.2569289365384699E-4</v>
      </c>
      <c r="R515">
        <v>1.9008237068142101E-3</v>
      </c>
      <c r="S515">
        <v>8.9845400605505796E-4</v>
      </c>
      <c r="T515">
        <v>-1.0926693809416301E-2</v>
      </c>
      <c r="U515">
        <v>5.9978929423003002</v>
      </c>
      <c r="V515" s="1">
        <v>9.9999999999999905E-15</v>
      </c>
      <c r="W515">
        <v>0.56467279666503201</v>
      </c>
      <c r="X515">
        <v>2.4999999999999898</v>
      </c>
      <c r="Y515">
        <v>25.704163222793799</v>
      </c>
      <c r="Z515">
        <v>0.499999999999999</v>
      </c>
      <c r="AA515">
        <v>46.692932391620303</v>
      </c>
      <c r="AB515" s="9">
        <f t="shared" si="71"/>
        <v>-0.33782394027767987</v>
      </c>
      <c r="AC515" s="9">
        <f t="shared" si="72"/>
        <v>-0.34142437488387012</v>
      </c>
      <c r="AD515" s="2">
        <f t="shared" si="73"/>
        <v>1.0657724858785356E-2</v>
      </c>
      <c r="AE515" s="8">
        <f t="shared" si="74"/>
        <v>1.499112957134061E-3</v>
      </c>
      <c r="AF515" s="2">
        <f t="shared" si="75"/>
        <v>-1.2051944475704836E-3</v>
      </c>
      <c r="AG515" s="8">
        <f t="shared" si="76"/>
        <v>2.7043074047045446E-3</v>
      </c>
      <c r="AH515" s="7">
        <f t="shared" si="77"/>
        <v>-0.44565734112692545</v>
      </c>
      <c r="AI515">
        <f t="shared" si="78"/>
        <v>6</v>
      </c>
      <c r="AJ515" s="10">
        <f t="shared" si="79"/>
        <v>9.7355066569363602E-2</v>
      </c>
    </row>
    <row r="516" spans="1:36" hidden="1" x14ac:dyDescent="0.25">
      <c r="A516" t="b">
        <v>0</v>
      </c>
      <c r="B516">
        <v>1000</v>
      </c>
      <c r="C516">
        <v>9.7355066569363602E-2</v>
      </c>
      <c r="D516" t="s">
        <v>52</v>
      </c>
      <c r="E516" t="b">
        <v>1</v>
      </c>
      <c r="F516" t="s">
        <v>53</v>
      </c>
      <c r="G516">
        <v>7.4999999999999997E-2</v>
      </c>
      <c r="H516">
        <v>0.5</v>
      </c>
      <c r="I516">
        <v>1E-4</v>
      </c>
      <c r="J516" t="b">
        <v>1</v>
      </c>
      <c r="K516">
        <v>6</v>
      </c>
      <c r="L516">
        <v>1500</v>
      </c>
      <c r="M516">
        <v>0.1</v>
      </c>
      <c r="N516">
        <v>0.154</v>
      </c>
      <c r="O516" t="s">
        <v>290</v>
      </c>
      <c r="P516" t="s">
        <v>293</v>
      </c>
      <c r="Q516">
        <v>-2.63363945243911E-4</v>
      </c>
      <c r="R516">
        <v>2.28739601017101E-3</v>
      </c>
      <c r="S516">
        <v>1.0484615832413199E-3</v>
      </c>
      <c r="T516">
        <v>-1.2752833719877101E-2</v>
      </c>
      <c r="U516">
        <v>5.9976645338908998</v>
      </c>
      <c r="V516" s="1">
        <v>9.9999999999999905E-15</v>
      </c>
      <c r="W516">
        <v>0.58638654190204897</v>
      </c>
      <c r="X516">
        <v>2.4999999999999898</v>
      </c>
      <c r="Y516">
        <v>26.393375706025399</v>
      </c>
      <c r="Z516">
        <v>0.499999999999999</v>
      </c>
      <c r="AA516">
        <v>48.190058241002298</v>
      </c>
      <c r="AB516" s="9">
        <f t="shared" si="71"/>
        <v>-0.33787158897376796</v>
      </c>
      <c r="AC516" s="9">
        <f t="shared" si="72"/>
        <v>-0.34142437488387012</v>
      </c>
      <c r="AD516" s="2">
        <f t="shared" si="73"/>
        <v>1.0515195790487208E-2</v>
      </c>
      <c r="AE516" s="8">
        <f t="shared" si="74"/>
        <v>1.5150437654495536E-3</v>
      </c>
      <c r="AF516" s="2">
        <f t="shared" si="75"/>
        <v>-1.189263639254991E-3</v>
      </c>
      <c r="AG516" s="8">
        <f t="shared" si="76"/>
        <v>2.7043074047045446E-3</v>
      </c>
      <c r="AH516" s="7">
        <f t="shared" si="77"/>
        <v>-0.43976643971247137</v>
      </c>
      <c r="AI516">
        <f t="shared" si="78"/>
        <v>6</v>
      </c>
      <c r="AJ516" s="10">
        <f t="shared" si="79"/>
        <v>9.7355066569363602E-2</v>
      </c>
    </row>
    <row r="517" spans="1:36" hidden="1" x14ac:dyDescent="0.25">
      <c r="A517" t="b">
        <v>0</v>
      </c>
      <c r="B517">
        <v>1000</v>
      </c>
      <c r="C517">
        <v>9.7355066569363602E-2</v>
      </c>
      <c r="D517" t="s">
        <v>52</v>
      </c>
      <c r="E517" t="b">
        <v>1</v>
      </c>
      <c r="F517" t="s">
        <v>53</v>
      </c>
      <c r="G517">
        <v>7.4999999999999997E-2</v>
      </c>
      <c r="H517">
        <v>0.5</v>
      </c>
      <c r="I517">
        <v>1E-4</v>
      </c>
      <c r="J517" t="b">
        <v>1</v>
      </c>
      <c r="K517">
        <v>6</v>
      </c>
      <c r="L517">
        <v>1500</v>
      </c>
      <c r="M517">
        <v>0.1</v>
      </c>
      <c r="N517">
        <v>0.154</v>
      </c>
      <c r="O517" t="s">
        <v>290</v>
      </c>
      <c r="P517" t="s">
        <v>294</v>
      </c>
      <c r="Q517">
        <v>-5.2673984529454597E-4</v>
      </c>
      <c r="R517">
        <v>4.6862674991739097E-3</v>
      </c>
      <c r="S517">
        <v>2.0968925691436098E-3</v>
      </c>
      <c r="T517">
        <v>-2.5502101629339798E-2</v>
      </c>
      <c r="U517">
        <v>5.99606940646688</v>
      </c>
      <c r="V517" s="1">
        <v>9.9999999999999905E-15</v>
      </c>
      <c r="W517">
        <v>0.60265791301642502</v>
      </c>
      <c r="X517">
        <v>2.4999999999999898</v>
      </c>
      <c r="Y517">
        <v>26.964413766391001</v>
      </c>
      <c r="Z517">
        <v>0.499999999999999</v>
      </c>
      <c r="AA517">
        <v>49.387451729575098</v>
      </c>
      <c r="AB517" s="9">
        <f t="shared" si="71"/>
        <v>-0.3378292824106956</v>
      </c>
      <c r="AC517" s="9">
        <f t="shared" si="72"/>
        <v>-0.34142437488387012</v>
      </c>
      <c r="AD517" s="2">
        <f t="shared" si="73"/>
        <v>1.0641743212786325E-2</v>
      </c>
      <c r="AE517" s="8">
        <f t="shared" si="74"/>
        <v>1.5008990143002676E-3</v>
      </c>
      <c r="AF517" s="2">
        <f t="shared" si="75"/>
        <v>-1.203408390404277E-3</v>
      </c>
      <c r="AG517" s="8">
        <f t="shared" si="76"/>
        <v>2.7043074047045446E-3</v>
      </c>
      <c r="AH517" s="7">
        <f t="shared" si="77"/>
        <v>-0.44499689211025689</v>
      </c>
      <c r="AI517">
        <f t="shared" si="78"/>
        <v>6</v>
      </c>
      <c r="AJ517" s="10">
        <f t="shared" si="79"/>
        <v>9.7355066569363602E-2</v>
      </c>
    </row>
    <row r="518" spans="1:36" hidden="1" x14ac:dyDescent="0.25">
      <c r="A518" t="b">
        <v>0</v>
      </c>
      <c r="B518">
        <v>1000</v>
      </c>
      <c r="C518">
        <v>9.7355066569363602E-2</v>
      </c>
      <c r="D518" t="s">
        <v>52</v>
      </c>
      <c r="E518" t="b">
        <v>1</v>
      </c>
      <c r="F518" t="s">
        <v>53</v>
      </c>
      <c r="G518">
        <v>7.4999999999999997E-2</v>
      </c>
      <c r="H518">
        <v>0.5</v>
      </c>
      <c r="I518">
        <v>1E-4</v>
      </c>
      <c r="J518" t="b">
        <v>1</v>
      </c>
      <c r="K518">
        <v>6</v>
      </c>
      <c r="L518">
        <v>1500</v>
      </c>
      <c r="M518">
        <v>0.1</v>
      </c>
      <c r="N518">
        <v>0.154</v>
      </c>
      <c r="O518" t="s">
        <v>291</v>
      </c>
      <c r="P518" t="s">
        <v>293</v>
      </c>
      <c r="Q518" s="1">
        <v>-1E-10</v>
      </c>
      <c r="R518" s="1">
        <v>3.5857859550681202E-12</v>
      </c>
      <c r="S518" s="1">
        <v>1.36213611352005E-17</v>
      </c>
      <c r="T518" s="1">
        <v>-4.52441356963592E-16</v>
      </c>
      <c r="U518">
        <v>5.9960698089403897</v>
      </c>
      <c r="V518">
        <v>0</v>
      </c>
      <c r="W518">
        <v>6.84745487000301E-2</v>
      </c>
      <c r="X518">
        <v>2</v>
      </c>
      <c r="Y518">
        <v>4.0005664397334897E-3</v>
      </c>
      <c r="Z518">
        <v>2.5000000000000001E-4</v>
      </c>
      <c r="AA518">
        <v>4.7933530121316301E-3</v>
      </c>
      <c r="AB518" s="9">
        <f t="shared" si="71"/>
        <v>-0.92265489083414542</v>
      </c>
      <c r="AC518" s="9">
        <f t="shared" si="72"/>
        <v>-0.34142437488387012</v>
      </c>
      <c r="AD518" s="2">
        <f t="shared" si="73"/>
        <v>-0.629954408440627</v>
      </c>
      <c r="AE518" s="8">
        <f t="shared" si="74"/>
        <v>0.24446294748869665</v>
      </c>
      <c r="AF518" s="2">
        <f t="shared" si="75"/>
        <v>0.24175864008399212</v>
      </c>
      <c r="AG518" s="8">
        <f t="shared" si="76"/>
        <v>2.7043074047045446E-3</v>
      </c>
      <c r="AH518" s="7">
        <f t="shared" si="77"/>
        <v>89.397617912600111</v>
      </c>
      <c r="AI518">
        <f t="shared" si="78"/>
        <v>6</v>
      </c>
      <c r="AJ518" s="10">
        <f t="shared" si="79"/>
        <v>9.7355066569363602E-2</v>
      </c>
    </row>
    <row r="519" spans="1:36" hidden="1" x14ac:dyDescent="0.25">
      <c r="A519" t="b">
        <v>0</v>
      </c>
      <c r="B519">
        <v>1000</v>
      </c>
      <c r="C519">
        <v>9.7355066569363602E-2</v>
      </c>
      <c r="D519" t="s">
        <v>52</v>
      </c>
      <c r="E519" t="b">
        <v>1</v>
      </c>
      <c r="F519" t="s">
        <v>53</v>
      </c>
      <c r="G519">
        <v>7.4999999999999997E-2</v>
      </c>
      <c r="H519">
        <v>0.5</v>
      </c>
      <c r="I519">
        <v>1E-4</v>
      </c>
      <c r="J519" t="b">
        <v>1</v>
      </c>
      <c r="K519">
        <v>6</v>
      </c>
      <c r="L519">
        <v>1500</v>
      </c>
      <c r="M519">
        <v>0.1</v>
      </c>
      <c r="N519">
        <v>0.154</v>
      </c>
      <c r="O519" t="s">
        <v>291</v>
      </c>
      <c r="P519" t="s">
        <v>294</v>
      </c>
      <c r="Q519">
        <v>-2.6337590005072502E-4</v>
      </c>
      <c r="R519">
        <v>2.3018131868649499E-3</v>
      </c>
      <c r="S519">
        <v>1.0484309859022699E-3</v>
      </c>
      <c r="T519">
        <v>-1.2749267909462601E-2</v>
      </c>
      <c r="U519">
        <v>5.9944746815163699</v>
      </c>
      <c r="V519" s="1">
        <v>9.9999999999999905E-15</v>
      </c>
      <c r="W519">
        <v>0.59237382061580701</v>
      </c>
      <c r="X519">
        <v>2.4999999999999898</v>
      </c>
      <c r="Y519">
        <v>26.5121690649671</v>
      </c>
      <c r="Z519">
        <v>0.499999999999999</v>
      </c>
      <c r="AA519">
        <v>48.509914989783802</v>
      </c>
      <c r="AB519" s="9">
        <f t="shared" si="71"/>
        <v>-0.33778697461295515</v>
      </c>
      <c r="AC519" s="9">
        <f t="shared" si="72"/>
        <v>-0.34142437488387012</v>
      </c>
      <c r="AD519" s="2">
        <f t="shared" si="73"/>
        <v>1.0768326028802067E-2</v>
      </c>
      <c r="AE519" s="8">
        <f t="shared" si="74"/>
        <v>1.4867542499072853E-3</v>
      </c>
      <c r="AF519" s="2">
        <f t="shared" si="75"/>
        <v>-1.2175531547972593E-3</v>
      </c>
      <c r="AG519" s="8">
        <f t="shared" si="76"/>
        <v>2.7043074047045446E-3</v>
      </c>
      <c r="AH519" s="7">
        <f t="shared" si="77"/>
        <v>-0.45022734940530235</v>
      </c>
      <c r="AI519">
        <f t="shared" si="78"/>
        <v>6</v>
      </c>
      <c r="AJ519" s="10">
        <f t="shared" si="79"/>
        <v>9.7355066569363602E-2</v>
      </c>
    </row>
    <row r="520" spans="1:36" hidden="1" x14ac:dyDescent="0.25">
      <c r="A520" t="b">
        <v>0</v>
      </c>
      <c r="B520">
        <v>1000</v>
      </c>
      <c r="C520">
        <v>9.7355066569363602E-2</v>
      </c>
      <c r="D520" t="s">
        <v>52</v>
      </c>
      <c r="E520" t="b">
        <v>1</v>
      </c>
      <c r="F520" t="s">
        <v>53</v>
      </c>
      <c r="G520">
        <v>7.4999999999999997E-2</v>
      </c>
      <c r="H520">
        <v>0.5</v>
      </c>
      <c r="I520">
        <v>1E-4</v>
      </c>
      <c r="J520" t="b">
        <v>1</v>
      </c>
      <c r="K520">
        <v>6</v>
      </c>
      <c r="L520">
        <v>1500</v>
      </c>
      <c r="M520">
        <v>0.1</v>
      </c>
      <c r="N520">
        <v>0.154</v>
      </c>
      <c r="O520" t="s">
        <v>292</v>
      </c>
      <c r="P520" t="s">
        <v>293</v>
      </c>
      <c r="Q520" s="1">
        <v>-3.76710513686953E-5</v>
      </c>
      <c r="R520">
        <v>3.3829915555904201E-4</v>
      </c>
      <c r="S520">
        <v>1.5000757718626901E-4</v>
      </c>
      <c r="T520">
        <v>-1.8261399104608799E-3</v>
      </c>
      <c r="U520">
        <v>5.9962982173518498</v>
      </c>
      <c r="V520" s="1">
        <v>9.9999999999991906E-15</v>
      </c>
      <c r="W520">
        <v>0.60373518185046804</v>
      </c>
      <c r="X520">
        <v>2.4999999999999898</v>
      </c>
      <c r="Y520">
        <v>27.273386669188501</v>
      </c>
      <c r="Z520">
        <v>0.499999999761152</v>
      </c>
      <c r="AA520">
        <v>49.826932891209097</v>
      </c>
      <c r="AB520" s="9">
        <f t="shared" si="71"/>
        <v>-0.33815697563680508</v>
      </c>
      <c r="AC520" s="9">
        <f t="shared" si="72"/>
        <v>-0.34142437488387012</v>
      </c>
      <c r="AD520" s="2">
        <f t="shared" si="73"/>
        <v>9.6623742299326576E-3</v>
      </c>
      <c r="AE520" s="8">
        <f t="shared" si="74"/>
        <v>1.6104702119047968E-3</v>
      </c>
      <c r="AF520" s="2">
        <f t="shared" si="75"/>
        <v>-1.0938371927997478E-3</v>
      </c>
      <c r="AG520" s="8">
        <f t="shared" si="76"/>
        <v>2.7043074047045446E-3</v>
      </c>
      <c r="AH520" s="7">
        <f t="shared" si="77"/>
        <v>-0.40447960571969571</v>
      </c>
      <c r="AI520">
        <f t="shared" si="78"/>
        <v>6</v>
      </c>
      <c r="AJ520" s="10">
        <f t="shared" si="79"/>
        <v>9.7355066569363602E-2</v>
      </c>
    </row>
    <row r="521" spans="1:36" hidden="1" x14ac:dyDescent="0.25">
      <c r="A521" t="b">
        <v>0</v>
      </c>
      <c r="B521">
        <v>1000</v>
      </c>
      <c r="C521">
        <v>9.7355066569363602E-2</v>
      </c>
      <c r="D521" t="s">
        <v>52</v>
      </c>
      <c r="E521" t="b">
        <v>1</v>
      </c>
      <c r="F521" t="s">
        <v>53</v>
      </c>
      <c r="G521">
        <v>7.4999999999999997E-2</v>
      </c>
      <c r="H521">
        <v>0.5</v>
      </c>
      <c r="I521">
        <v>1E-4</v>
      </c>
      <c r="J521" t="b">
        <v>1</v>
      </c>
      <c r="K521">
        <v>6</v>
      </c>
      <c r="L521">
        <v>1500</v>
      </c>
      <c r="M521">
        <v>0.1</v>
      </c>
      <c r="N521">
        <v>0.154</v>
      </c>
      <c r="O521" t="s">
        <v>292</v>
      </c>
      <c r="P521" t="s">
        <v>294</v>
      </c>
      <c r="Q521">
        <v>-3.01046951640788E-4</v>
      </c>
      <c r="R521">
        <v>2.7054841281438798E-3</v>
      </c>
      <c r="S521">
        <v>1.19843856308855E-3</v>
      </c>
      <c r="T521">
        <v>-1.45754078199236E-2</v>
      </c>
      <c r="U521">
        <v>5.9947030899278397</v>
      </c>
      <c r="V521" s="1">
        <v>9.9999999999999905E-15</v>
      </c>
      <c r="W521">
        <v>0.60772927079128303</v>
      </c>
      <c r="X521">
        <v>2.4999999999999898</v>
      </c>
      <c r="Y521">
        <v>27.2367472170944</v>
      </c>
      <c r="Z521">
        <v>0.499999999999999</v>
      </c>
      <c r="AA521">
        <v>49.886268522449697</v>
      </c>
      <c r="AB521" s="9">
        <f t="shared" si="71"/>
        <v>-0.33783328733924184</v>
      </c>
      <c r="AC521" s="9">
        <f t="shared" si="72"/>
        <v>-0.34142437488387012</v>
      </c>
      <c r="AD521" s="2">
        <f t="shared" si="73"/>
        <v>1.0629762309426471E-2</v>
      </c>
      <c r="AE521" s="8">
        <f t="shared" si="74"/>
        <v>1.5022380026087304E-3</v>
      </c>
      <c r="AF521" s="2">
        <f t="shared" si="75"/>
        <v>-1.2020694020958142E-3</v>
      </c>
      <c r="AG521" s="8">
        <f t="shared" si="76"/>
        <v>2.7043074047045446E-3</v>
      </c>
      <c r="AH521" s="7">
        <f t="shared" si="77"/>
        <v>-0.44450176041548967</v>
      </c>
      <c r="AI521">
        <f t="shared" si="78"/>
        <v>6</v>
      </c>
      <c r="AJ521" s="10">
        <f t="shared" si="79"/>
        <v>9.7355066569363602E-2</v>
      </c>
    </row>
    <row r="522" spans="1:36" hidden="1" x14ac:dyDescent="0.25">
      <c r="A522" t="b">
        <v>0</v>
      </c>
      <c r="B522">
        <v>1000</v>
      </c>
      <c r="C522">
        <v>9.7355066569363602E-2</v>
      </c>
      <c r="D522" t="s">
        <v>52</v>
      </c>
      <c r="E522" t="b">
        <v>1</v>
      </c>
      <c r="F522" t="s">
        <v>53</v>
      </c>
      <c r="G522">
        <v>7.4999999999999997E-2</v>
      </c>
      <c r="H522">
        <v>0.5</v>
      </c>
      <c r="I522">
        <v>1E-4</v>
      </c>
      <c r="J522" t="b">
        <v>1</v>
      </c>
      <c r="K522">
        <v>6</v>
      </c>
      <c r="L522">
        <v>1500</v>
      </c>
      <c r="M522">
        <v>0.1</v>
      </c>
      <c r="N522">
        <v>0.154</v>
      </c>
      <c r="O522" t="s">
        <v>293</v>
      </c>
      <c r="P522" t="s">
        <v>294</v>
      </c>
      <c r="Q522">
        <v>-2.63375900050728E-4</v>
      </c>
      <c r="R522">
        <v>2.3087150444826201E-3</v>
      </c>
      <c r="S522">
        <v>1.0484309859022699E-3</v>
      </c>
      <c r="T522">
        <v>-1.27492679094625E-2</v>
      </c>
      <c r="U522">
        <v>5.9944746815184402</v>
      </c>
      <c r="V522" s="1">
        <v>9.9999999999999905E-15</v>
      </c>
      <c r="W522">
        <v>0.59128992387601897</v>
      </c>
      <c r="X522">
        <v>2.4999999999999898</v>
      </c>
      <c r="Y522">
        <v>26.629145235626901</v>
      </c>
      <c r="Z522">
        <v>0.499999999999999</v>
      </c>
      <c r="AA522">
        <v>48.639799365147397</v>
      </c>
      <c r="AB522" s="9">
        <f t="shared" si="71"/>
        <v>-0.33778697461295248</v>
      </c>
      <c r="AC522" s="9">
        <f t="shared" si="72"/>
        <v>-0.34142437488387012</v>
      </c>
      <c r="AD522" s="2">
        <f t="shared" si="73"/>
        <v>1.076832602881006E-2</v>
      </c>
      <c r="AE522" s="8">
        <f t="shared" si="74"/>
        <v>1.4867542499063943E-3</v>
      </c>
      <c r="AF522" s="2">
        <f t="shared" si="75"/>
        <v>-1.2175531547981503E-3</v>
      </c>
      <c r="AG522" s="8">
        <f t="shared" si="76"/>
        <v>2.7043074047045446E-3</v>
      </c>
      <c r="AH522" s="7">
        <f t="shared" si="77"/>
        <v>-0.4502273494056318</v>
      </c>
      <c r="AI522">
        <f t="shared" si="78"/>
        <v>6</v>
      </c>
      <c r="AJ522" s="10">
        <f t="shared" si="79"/>
        <v>9.7355066569363602E-2</v>
      </c>
    </row>
    <row r="523" spans="1:36" hidden="1" x14ac:dyDescent="0.25">
      <c r="A523" t="b">
        <v>0</v>
      </c>
      <c r="B523">
        <v>1000</v>
      </c>
      <c r="C523">
        <v>9.7355066569363602E-2</v>
      </c>
      <c r="D523" t="s">
        <v>52</v>
      </c>
      <c r="E523" t="b">
        <v>1</v>
      </c>
      <c r="F523" t="s">
        <v>53</v>
      </c>
      <c r="G523">
        <v>7.4999999999999997E-2</v>
      </c>
      <c r="H523">
        <v>0.5</v>
      </c>
      <c r="I523">
        <v>1E-4</v>
      </c>
      <c r="J523" t="b">
        <v>1</v>
      </c>
      <c r="K523">
        <v>8</v>
      </c>
      <c r="L523">
        <v>1500</v>
      </c>
      <c r="M523">
        <v>0.1</v>
      </c>
      <c r="N523">
        <v>0.154</v>
      </c>
      <c r="O523" t="s">
        <v>295</v>
      </c>
      <c r="P523" t="s">
        <v>296</v>
      </c>
      <c r="Q523" s="1">
        <v>-5.1688568895100702E-5</v>
      </c>
      <c r="R523">
        <v>1.0608811777727701E-3</v>
      </c>
      <c r="S523">
        <v>2.6615658023008802E-4</v>
      </c>
      <c r="T523">
        <v>-5.7037307855405499E-3</v>
      </c>
      <c r="U523">
        <v>7.9946594104033801</v>
      </c>
      <c r="V523" s="1">
        <v>9.9999999957481596E-15</v>
      </c>
      <c r="W523">
        <v>1.3661155812643899</v>
      </c>
      <c r="X523">
        <v>2.4999999999992299</v>
      </c>
      <c r="Y523">
        <v>63.040578422360497</v>
      </c>
      <c r="Z523">
        <v>0.49999999999960798</v>
      </c>
      <c r="AA523">
        <v>113.65516938738401</v>
      </c>
      <c r="AB523" s="9">
        <f t="shared" si="71"/>
        <v>-0.3348434723914307</v>
      </c>
      <c r="AC523" s="9">
        <f t="shared" si="72"/>
        <v>-0.33788992072145196</v>
      </c>
      <c r="AD523" s="2">
        <f t="shared" si="73"/>
        <v>9.0981266806957617E-3</v>
      </c>
      <c r="AE523" s="8">
        <f t="shared" si="74"/>
        <v>5.0363320475694661E-4</v>
      </c>
      <c r="AF523" s="2">
        <f t="shared" si="75"/>
        <v>-1.0175397103893598E-3</v>
      </c>
      <c r="AG523" s="8">
        <f t="shared" si="76"/>
        <v>1.5211729151463063E-3</v>
      </c>
      <c r="AH523" s="7">
        <f t="shared" si="77"/>
        <v>-0.66891784639190277</v>
      </c>
      <c r="AI523">
        <f t="shared" si="78"/>
        <v>8</v>
      </c>
      <c r="AJ523" s="10">
        <f t="shared" si="79"/>
        <v>9.7355066569363602E-2</v>
      </c>
    </row>
    <row r="524" spans="1:36" hidden="1" x14ac:dyDescent="0.25">
      <c r="A524" t="b">
        <v>0</v>
      </c>
      <c r="B524">
        <v>1000</v>
      </c>
      <c r="C524">
        <v>9.7355066569363602E-2</v>
      </c>
      <c r="D524" t="s">
        <v>52</v>
      </c>
      <c r="E524" t="b">
        <v>1</v>
      </c>
      <c r="F524" t="s">
        <v>53</v>
      </c>
      <c r="G524">
        <v>7.4999999999999997E-2</v>
      </c>
      <c r="H524">
        <v>0.5</v>
      </c>
      <c r="I524">
        <v>1E-4</v>
      </c>
      <c r="J524" t="b">
        <v>1</v>
      </c>
      <c r="K524">
        <v>8</v>
      </c>
      <c r="L524">
        <v>1500</v>
      </c>
      <c r="M524">
        <v>0.1</v>
      </c>
      <c r="N524">
        <v>0.154</v>
      </c>
      <c r="O524" t="s">
        <v>295</v>
      </c>
      <c r="P524" t="s">
        <v>297</v>
      </c>
      <c r="Q524">
        <v>-4.13064542807182E-4</v>
      </c>
      <c r="R524">
        <v>8.6689324939017692E-3</v>
      </c>
      <c r="S524">
        <v>2.1247593102833402E-3</v>
      </c>
      <c r="T524">
        <v>-4.5463857761589101E-2</v>
      </c>
      <c r="U524">
        <v>7.9909274165343698</v>
      </c>
      <c r="V524" s="1">
        <v>9.9999999999999905E-15</v>
      </c>
      <c r="W524">
        <v>1.40889842124797</v>
      </c>
      <c r="X524">
        <v>2.4999999999999898</v>
      </c>
      <c r="Y524">
        <v>64.174476444099994</v>
      </c>
      <c r="Z524">
        <v>0.499999999999999</v>
      </c>
      <c r="AA524">
        <v>116.316916197023</v>
      </c>
      <c r="AB524" s="9">
        <f t="shared" si="71"/>
        <v>-0.33433094002073127</v>
      </c>
      <c r="AC524" s="9">
        <f t="shared" si="72"/>
        <v>-0.33788992072145196</v>
      </c>
      <c r="AD524" s="2">
        <f t="shared" si="73"/>
        <v>1.0645083283348011E-2</v>
      </c>
      <c r="AE524" s="8">
        <f t="shared" si="74"/>
        <v>3.3264617915026507E-4</v>
      </c>
      <c r="AF524" s="2">
        <f t="shared" si="75"/>
        <v>-1.1885267359960411E-3</v>
      </c>
      <c r="AG524" s="8">
        <f t="shared" si="76"/>
        <v>1.5211729151463063E-3</v>
      </c>
      <c r="AH524" s="7">
        <f t="shared" si="77"/>
        <v>-0.78132257297108709</v>
      </c>
      <c r="AI524">
        <f t="shared" si="78"/>
        <v>8</v>
      </c>
      <c r="AJ524" s="10">
        <f t="shared" si="79"/>
        <v>9.7355066569363602E-2</v>
      </c>
    </row>
    <row r="525" spans="1:36" hidden="1" x14ac:dyDescent="0.25">
      <c r="A525" t="b">
        <v>0</v>
      </c>
      <c r="B525">
        <v>1000</v>
      </c>
      <c r="C525">
        <v>9.7355066569363602E-2</v>
      </c>
      <c r="D525" t="s">
        <v>52</v>
      </c>
      <c r="E525" t="b">
        <v>1</v>
      </c>
      <c r="F525" t="s">
        <v>53</v>
      </c>
      <c r="G525">
        <v>7.4999999999999997E-2</v>
      </c>
      <c r="H525">
        <v>0.5</v>
      </c>
      <c r="I525">
        <v>1E-4</v>
      </c>
      <c r="J525" t="b">
        <v>1</v>
      </c>
      <c r="K525">
        <v>8</v>
      </c>
      <c r="L525">
        <v>1500</v>
      </c>
      <c r="M525">
        <v>0.1</v>
      </c>
      <c r="N525">
        <v>0.154</v>
      </c>
      <c r="O525" t="s">
        <v>295</v>
      </c>
      <c r="P525" t="s">
        <v>298</v>
      </c>
      <c r="Q525" s="1">
        <v>-5.16885688951014E-5</v>
      </c>
      <c r="R525">
        <v>1.05932634270714E-3</v>
      </c>
      <c r="S525">
        <v>2.6615658023008802E-4</v>
      </c>
      <c r="T525">
        <v>-5.7037307855404597E-3</v>
      </c>
      <c r="U525">
        <v>7.9946594104053101</v>
      </c>
      <c r="V525" s="1">
        <v>9.9999999957467602E-15</v>
      </c>
      <c r="W525">
        <v>1.36137774593139</v>
      </c>
      <c r="X525">
        <v>2.4999999999992299</v>
      </c>
      <c r="Y525">
        <v>62.995595413587303</v>
      </c>
      <c r="Z525">
        <v>0.49999999999960798</v>
      </c>
      <c r="AA525">
        <v>113.469171213012</v>
      </c>
      <c r="AB525" s="9">
        <f t="shared" si="71"/>
        <v>-0.33484347239142542</v>
      </c>
      <c r="AC525" s="9">
        <f t="shared" si="72"/>
        <v>-0.33788992072145196</v>
      </c>
      <c r="AD525" s="2">
        <f t="shared" si="73"/>
        <v>9.0981266807115269E-3</v>
      </c>
      <c r="AE525" s="8">
        <f t="shared" si="74"/>
        <v>5.0363320475519324E-4</v>
      </c>
      <c r="AF525" s="2">
        <f t="shared" si="75"/>
        <v>-1.0175397103911132E-3</v>
      </c>
      <c r="AG525" s="8">
        <f t="shared" si="76"/>
        <v>1.5211729151463063E-3</v>
      </c>
      <c r="AH525" s="7">
        <f t="shared" si="77"/>
        <v>-0.6689178463930554</v>
      </c>
      <c r="AI525">
        <f t="shared" si="78"/>
        <v>8</v>
      </c>
      <c r="AJ525" s="10">
        <f t="shared" si="79"/>
        <v>9.7355066569363602E-2</v>
      </c>
    </row>
    <row r="526" spans="1:36" hidden="1" x14ac:dyDescent="0.25">
      <c r="A526" t="b">
        <v>0</v>
      </c>
      <c r="B526">
        <v>1000</v>
      </c>
      <c r="C526">
        <v>9.7355066569363602E-2</v>
      </c>
      <c r="D526" t="s">
        <v>52</v>
      </c>
      <c r="E526" t="b">
        <v>1</v>
      </c>
      <c r="F526" t="s">
        <v>53</v>
      </c>
      <c r="G526">
        <v>7.4999999999999997E-2</v>
      </c>
      <c r="H526">
        <v>0.5</v>
      </c>
      <c r="I526">
        <v>1E-4</v>
      </c>
      <c r="J526" t="b">
        <v>1</v>
      </c>
      <c r="K526">
        <v>8</v>
      </c>
      <c r="L526">
        <v>1500</v>
      </c>
      <c r="M526">
        <v>0.1</v>
      </c>
      <c r="N526">
        <v>0.154</v>
      </c>
      <c r="O526" t="s">
        <v>295</v>
      </c>
      <c r="P526" t="s">
        <v>299</v>
      </c>
      <c r="Q526">
        <v>-1.03379757418648E-4</v>
      </c>
      <c r="R526">
        <v>2.2038262624939999E-3</v>
      </c>
      <c r="S526">
        <v>5.3230887189778997E-4</v>
      </c>
      <c r="T526">
        <v>-1.14068082607264E-2</v>
      </c>
      <c r="U526">
        <v>7.9941243181002397</v>
      </c>
      <c r="V526" s="1">
        <v>9.9999999938947293E-15</v>
      </c>
      <c r="W526">
        <v>1.40449397663077</v>
      </c>
      <c r="X526">
        <v>2.49999999999672</v>
      </c>
      <c r="Y526">
        <v>65.524360508300802</v>
      </c>
      <c r="Z526">
        <v>0.49999999999817402</v>
      </c>
      <c r="AA526">
        <v>117.99909260410401</v>
      </c>
      <c r="AB526" s="9">
        <f t="shared" si="71"/>
        <v>-0.3348269932800832</v>
      </c>
      <c r="AC526" s="9">
        <f t="shared" si="72"/>
        <v>-0.33788992072145196</v>
      </c>
      <c r="AD526" s="2">
        <f t="shared" si="73"/>
        <v>9.1477912559057017E-3</v>
      </c>
      <c r="AE526" s="8">
        <f t="shared" si="74"/>
        <v>4.9813466351495371E-4</v>
      </c>
      <c r="AF526" s="2">
        <f t="shared" si="75"/>
        <v>-1.0230382516313525E-3</v>
      </c>
      <c r="AG526" s="8">
        <f t="shared" si="76"/>
        <v>1.5211729151463063E-3</v>
      </c>
      <c r="AH526" s="7">
        <f t="shared" si="77"/>
        <v>-0.67253251845662576</v>
      </c>
      <c r="AI526">
        <f t="shared" si="78"/>
        <v>8</v>
      </c>
      <c r="AJ526" s="10">
        <f t="shared" si="79"/>
        <v>9.7355066569363602E-2</v>
      </c>
    </row>
    <row r="527" spans="1:36" hidden="1" x14ac:dyDescent="0.25">
      <c r="A527" t="b">
        <v>0</v>
      </c>
      <c r="B527">
        <v>1000</v>
      </c>
      <c r="C527">
        <v>9.7355066569363602E-2</v>
      </c>
      <c r="D527" t="s">
        <v>52</v>
      </c>
      <c r="E527" t="b">
        <v>1</v>
      </c>
      <c r="F527" t="s">
        <v>53</v>
      </c>
      <c r="G527">
        <v>7.4999999999999997E-2</v>
      </c>
      <c r="H527">
        <v>0.5</v>
      </c>
      <c r="I527">
        <v>1E-4</v>
      </c>
      <c r="J527" t="b">
        <v>1</v>
      </c>
      <c r="K527">
        <v>8</v>
      </c>
      <c r="L527">
        <v>1500</v>
      </c>
      <c r="M527">
        <v>0.1</v>
      </c>
      <c r="N527">
        <v>0.154</v>
      </c>
      <c r="O527" t="s">
        <v>295</v>
      </c>
      <c r="P527" t="s">
        <v>300</v>
      </c>
      <c r="Q527">
        <v>-4.6477398465392402E-4</v>
      </c>
      <c r="R527">
        <v>1.0219300028137399E-2</v>
      </c>
      <c r="S527">
        <v>2.3908817178905201E-3</v>
      </c>
      <c r="T527">
        <v>-5.1162383111387898E-2</v>
      </c>
      <c r="U527">
        <v>7.9903922516180703</v>
      </c>
      <c r="V527" s="1">
        <v>9.9999999999999905E-15</v>
      </c>
      <c r="W527">
        <v>1.4819839116710001</v>
      </c>
      <c r="X527">
        <v>2.4999999999999898</v>
      </c>
      <c r="Y527">
        <v>66.924465437112502</v>
      </c>
      <c r="Z527">
        <v>0.499999999999999</v>
      </c>
      <c r="AA527">
        <v>121.964633990785</v>
      </c>
      <c r="AB527" s="9">
        <f t="shared" si="71"/>
        <v>-0.33435875565636891</v>
      </c>
      <c r="AC527" s="9">
        <f t="shared" si="72"/>
        <v>-0.33788992072145196</v>
      </c>
      <c r="AD527" s="2">
        <f t="shared" si="73"/>
        <v>1.0561006719118637E-2</v>
      </c>
      <c r="AE527" s="8">
        <f t="shared" si="74"/>
        <v>3.4192431328639727E-4</v>
      </c>
      <c r="AF527" s="2">
        <f t="shared" si="75"/>
        <v>-1.1792486018599091E-3</v>
      </c>
      <c r="AG527" s="8">
        <f t="shared" si="76"/>
        <v>1.5211729151463063E-3</v>
      </c>
      <c r="AH527" s="7">
        <f t="shared" si="77"/>
        <v>-0.7752232439311405</v>
      </c>
      <c r="AI527">
        <f t="shared" si="78"/>
        <v>8</v>
      </c>
      <c r="AJ527" s="10">
        <f t="shared" si="79"/>
        <v>9.7355066569363602E-2</v>
      </c>
    </row>
    <row r="528" spans="1:36" hidden="1" x14ac:dyDescent="0.25">
      <c r="A528" t="b">
        <v>0</v>
      </c>
      <c r="B528">
        <v>1000</v>
      </c>
      <c r="C528">
        <v>9.7355066569363602E-2</v>
      </c>
      <c r="D528" t="s">
        <v>52</v>
      </c>
      <c r="E528" t="b">
        <v>1</v>
      </c>
      <c r="F528" t="s">
        <v>53</v>
      </c>
      <c r="G528">
        <v>7.4999999999999997E-2</v>
      </c>
      <c r="H528">
        <v>0.5</v>
      </c>
      <c r="I528">
        <v>1E-4</v>
      </c>
      <c r="J528" t="b">
        <v>1</v>
      </c>
      <c r="K528">
        <v>8</v>
      </c>
      <c r="L528">
        <v>1500</v>
      </c>
      <c r="M528">
        <v>0.1</v>
      </c>
      <c r="N528">
        <v>0.154</v>
      </c>
      <c r="O528" t="s">
        <v>295</v>
      </c>
      <c r="P528" t="s">
        <v>301</v>
      </c>
      <c r="Q528">
        <v>-4.1306454280717197E-4</v>
      </c>
      <c r="R528">
        <v>8.7774065861990803E-3</v>
      </c>
      <c r="S528">
        <v>2.1247593102833402E-3</v>
      </c>
      <c r="T528">
        <v>-4.5463857761588997E-2</v>
      </c>
      <c r="U528">
        <v>7.9909274165363602</v>
      </c>
      <c r="V528" s="1">
        <v>9.9999999999999905E-15</v>
      </c>
      <c r="W528">
        <v>1.4209887889027499</v>
      </c>
      <c r="X528">
        <v>2.4999999999999898</v>
      </c>
      <c r="Y528">
        <v>65.000833981310706</v>
      </c>
      <c r="Z528">
        <v>0.499999999999999</v>
      </c>
      <c r="AA528">
        <v>117.75558276074101</v>
      </c>
      <c r="AB528" s="9">
        <f t="shared" si="71"/>
        <v>-0.33433094002073049</v>
      </c>
      <c r="AC528" s="9">
        <f t="shared" si="72"/>
        <v>-0.33788992072145196</v>
      </c>
      <c r="AD528" s="2">
        <f t="shared" si="73"/>
        <v>1.0645083283350232E-2</v>
      </c>
      <c r="AE528" s="8">
        <f t="shared" si="74"/>
        <v>3.3264617914999353E-4</v>
      </c>
      <c r="AF528" s="2">
        <f t="shared" si="75"/>
        <v>-1.1885267359963128E-3</v>
      </c>
      <c r="AG528" s="8">
        <f t="shared" si="76"/>
        <v>1.5211729151463063E-3</v>
      </c>
      <c r="AH528" s="7">
        <f t="shared" si="77"/>
        <v>-0.78132257297126562</v>
      </c>
      <c r="AI528">
        <f t="shared" si="78"/>
        <v>8</v>
      </c>
      <c r="AJ528" s="10">
        <f t="shared" si="79"/>
        <v>9.7355066569363602E-2</v>
      </c>
    </row>
    <row r="529" spans="1:36" hidden="1" x14ac:dyDescent="0.25">
      <c r="A529" t="b">
        <v>0</v>
      </c>
      <c r="B529">
        <v>1000</v>
      </c>
      <c r="C529">
        <v>9.7355066569363602E-2</v>
      </c>
      <c r="D529" t="s">
        <v>52</v>
      </c>
      <c r="E529" t="b">
        <v>1</v>
      </c>
      <c r="F529" t="s">
        <v>53</v>
      </c>
      <c r="G529">
        <v>7.4999999999999997E-2</v>
      </c>
      <c r="H529">
        <v>0.5</v>
      </c>
      <c r="I529">
        <v>1E-4</v>
      </c>
      <c r="J529" t="b">
        <v>1</v>
      </c>
      <c r="K529">
        <v>8</v>
      </c>
      <c r="L529">
        <v>1500</v>
      </c>
      <c r="M529">
        <v>0.1</v>
      </c>
      <c r="N529">
        <v>0.154</v>
      </c>
      <c r="O529" t="s">
        <v>295</v>
      </c>
      <c r="P529" t="s">
        <v>302</v>
      </c>
      <c r="Q529">
        <v>-4.6477398465392098E-4</v>
      </c>
      <c r="R529">
        <v>1.0008961043416101E-2</v>
      </c>
      <c r="S529">
        <v>2.3908817178905201E-3</v>
      </c>
      <c r="T529">
        <v>-5.1162383111388002E-2</v>
      </c>
      <c r="U529">
        <v>7.9903922516152699</v>
      </c>
      <c r="V529" s="1">
        <v>9.9999999999999905E-15</v>
      </c>
      <c r="W529">
        <v>1.45476298014961</v>
      </c>
      <c r="X529">
        <v>2.4999999999999898</v>
      </c>
      <c r="Y529">
        <v>65.5909984883275</v>
      </c>
      <c r="Z529">
        <v>0.499999999999999</v>
      </c>
      <c r="AA529">
        <v>119.448581727711</v>
      </c>
      <c r="AB529" s="9">
        <f t="shared" si="71"/>
        <v>-0.33435875565636958</v>
      </c>
      <c r="AC529" s="9">
        <f t="shared" si="72"/>
        <v>-0.33788992072145196</v>
      </c>
      <c r="AD529" s="2">
        <f t="shared" si="73"/>
        <v>1.0561006719116639E-2</v>
      </c>
      <c r="AE529" s="8">
        <f t="shared" si="74"/>
        <v>3.4192431328661943E-4</v>
      </c>
      <c r="AF529" s="2">
        <f t="shared" si="75"/>
        <v>-1.1792486018596868E-3</v>
      </c>
      <c r="AG529" s="8">
        <f t="shared" si="76"/>
        <v>1.5211729151463063E-3</v>
      </c>
      <c r="AH529" s="7">
        <f t="shared" si="77"/>
        <v>-0.7752232439309944</v>
      </c>
      <c r="AI529">
        <f t="shared" si="78"/>
        <v>8</v>
      </c>
      <c r="AJ529" s="10">
        <f t="shared" si="79"/>
        <v>9.7355066569363602E-2</v>
      </c>
    </row>
    <row r="530" spans="1:36" hidden="1" x14ac:dyDescent="0.25">
      <c r="A530" t="b">
        <v>0</v>
      </c>
      <c r="B530">
        <v>1000</v>
      </c>
      <c r="C530">
        <v>9.7355066569363602E-2</v>
      </c>
      <c r="D530" t="s">
        <v>52</v>
      </c>
      <c r="E530" t="b">
        <v>1</v>
      </c>
      <c r="F530" t="s">
        <v>53</v>
      </c>
      <c r="G530">
        <v>7.4999999999999997E-2</v>
      </c>
      <c r="H530">
        <v>0.5</v>
      </c>
      <c r="I530">
        <v>1E-4</v>
      </c>
      <c r="J530" t="b">
        <v>1</v>
      </c>
      <c r="K530">
        <v>8</v>
      </c>
      <c r="L530">
        <v>1500</v>
      </c>
      <c r="M530">
        <v>0.1</v>
      </c>
      <c r="N530">
        <v>0.154</v>
      </c>
      <c r="O530" t="s">
        <v>295</v>
      </c>
      <c r="P530" t="s">
        <v>303</v>
      </c>
      <c r="Q530">
        <v>-8.2629539036352102E-4</v>
      </c>
      <c r="R530">
        <v>1.7236454527431201E-2</v>
      </c>
      <c r="S530">
        <v>4.2492463220547196E-3</v>
      </c>
      <c r="T530">
        <v>-9.0886239711232206E-2</v>
      </c>
      <c r="U530">
        <v>7.9866596752434003</v>
      </c>
      <c r="V530" s="1">
        <v>9.99999999999997E-15</v>
      </c>
      <c r="W530">
        <v>1.3985710883917599</v>
      </c>
      <c r="X530">
        <v>2.4999999999999898</v>
      </c>
      <c r="Y530">
        <v>63.821117557255903</v>
      </c>
      <c r="Z530">
        <v>0.499999999999999</v>
      </c>
      <c r="AA530">
        <v>115.605540030863</v>
      </c>
      <c r="AB530" s="9">
        <f t="shared" si="71"/>
        <v>-0.3341998528344472</v>
      </c>
      <c r="AC530" s="9">
        <f t="shared" si="72"/>
        <v>-0.33788992072145196</v>
      </c>
      <c r="AD530" s="2">
        <f t="shared" si="73"/>
        <v>1.1041500634151102E-2</v>
      </c>
      <c r="AE530" s="8">
        <f t="shared" si="74"/>
        <v>2.8892328625857767E-4</v>
      </c>
      <c r="AF530" s="2">
        <f t="shared" si="75"/>
        <v>-1.2322496288877287E-3</v>
      </c>
      <c r="AG530" s="8">
        <f t="shared" si="76"/>
        <v>1.5211729151463063E-3</v>
      </c>
      <c r="AH530" s="7">
        <f t="shared" si="77"/>
        <v>-0.81006545450436906</v>
      </c>
      <c r="AI530">
        <f t="shared" si="78"/>
        <v>8</v>
      </c>
      <c r="AJ530" s="10">
        <f t="shared" si="79"/>
        <v>9.7355066569363602E-2</v>
      </c>
    </row>
    <row r="531" spans="1:36" hidden="1" x14ac:dyDescent="0.25">
      <c r="A531" t="b">
        <v>0</v>
      </c>
      <c r="B531">
        <v>1000</v>
      </c>
      <c r="C531">
        <v>9.7355066569363602E-2</v>
      </c>
      <c r="D531" t="s">
        <v>52</v>
      </c>
      <c r="E531" t="b">
        <v>1</v>
      </c>
      <c r="F531" t="s">
        <v>53</v>
      </c>
      <c r="G531">
        <v>7.4999999999999997E-2</v>
      </c>
      <c r="H531">
        <v>0.5</v>
      </c>
      <c r="I531">
        <v>1E-4</v>
      </c>
      <c r="J531" t="b">
        <v>1</v>
      </c>
      <c r="K531">
        <v>8</v>
      </c>
      <c r="L531">
        <v>1500</v>
      </c>
      <c r="M531">
        <v>0.1</v>
      </c>
      <c r="N531">
        <v>0.154</v>
      </c>
      <c r="O531" t="s">
        <v>296</v>
      </c>
      <c r="P531" t="s">
        <v>297</v>
      </c>
      <c r="Q531">
        <v>-3.6137597384182499E-4</v>
      </c>
      <c r="R531">
        <v>7.1784924803918997E-3</v>
      </c>
      <c r="S531">
        <v>1.85860273005326E-3</v>
      </c>
      <c r="T531">
        <v>-3.97601269760487E-2</v>
      </c>
      <c r="U531">
        <v>7.9903923345659296</v>
      </c>
      <c r="V531" s="1">
        <v>9.9999999999999905E-15</v>
      </c>
      <c r="W531">
        <v>1.3227411333969601</v>
      </c>
      <c r="X531">
        <v>2.4999999999999898</v>
      </c>
      <c r="Y531">
        <v>61.146514520776002</v>
      </c>
      <c r="Z531">
        <v>0.499999999999999</v>
      </c>
      <c r="AA531">
        <v>109.96695078885701</v>
      </c>
      <c r="AB531" s="9">
        <f t="shared" si="71"/>
        <v>-0.33425754409763425</v>
      </c>
      <c r="AC531" s="9">
        <f t="shared" si="72"/>
        <v>-0.33788992072145196</v>
      </c>
      <c r="AD531" s="2">
        <f t="shared" si="73"/>
        <v>1.0866999677221045E-2</v>
      </c>
      <c r="AE531" s="8">
        <f t="shared" si="74"/>
        <v>3.0816519129595943E-4</v>
      </c>
      <c r="AF531" s="2">
        <f t="shared" si="75"/>
        <v>-1.2130077238503467E-3</v>
      </c>
      <c r="AG531" s="8">
        <f t="shared" si="76"/>
        <v>1.5211729151463063E-3</v>
      </c>
      <c r="AH531" s="7">
        <f t="shared" si="77"/>
        <v>-0.79741606741248072</v>
      </c>
      <c r="AI531">
        <f t="shared" si="78"/>
        <v>8</v>
      </c>
      <c r="AJ531" s="10">
        <f t="shared" si="79"/>
        <v>9.7355066569363602E-2</v>
      </c>
    </row>
    <row r="532" spans="1:36" hidden="1" x14ac:dyDescent="0.25">
      <c r="A532" t="b">
        <v>0</v>
      </c>
      <c r="B532">
        <v>1000</v>
      </c>
      <c r="C532">
        <v>9.7355066569363602E-2</v>
      </c>
      <c r="D532" t="s">
        <v>52</v>
      </c>
      <c r="E532" t="b">
        <v>1</v>
      </c>
      <c r="F532" t="s">
        <v>53</v>
      </c>
      <c r="G532">
        <v>7.4999999999999997E-2</v>
      </c>
      <c r="H532">
        <v>0.5</v>
      </c>
      <c r="I532">
        <v>1E-4</v>
      </c>
      <c r="J532" t="b">
        <v>1</v>
      </c>
      <c r="K532">
        <v>8</v>
      </c>
      <c r="L532">
        <v>1500</v>
      </c>
      <c r="M532">
        <v>0.1</v>
      </c>
      <c r="N532">
        <v>0.154</v>
      </c>
      <c r="O532" t="s">
        <v>296</v>
      </c>
      <c r="P532" t="s">
        <v>298</v>
      </c>
      <c r="Q532" s="1">
        <v>-1E-10</v>
      </c>
      <c r="R532" s="1">
        <v>3.5857858760029899E-12</v>
      </c>
      <c r="S532" s="1">
        <v>1.10684379799916E-17</v>
      </c>
      <c r="T532" s="1">
        <v>1.9144181192660401E-17</v>
      </c>
      <c r="U532">
        <v>7.9941243284368699</v>
      </c>
      <c r="V532">
        <v>0</v>
      </c>
      <c r="W532">
        <v>6.8474547190194093E-2</v>
      </c>
      <c r="X532">
        <v>2</v>
      </c>
      <c r="Y532">
        <v>4.0005663515226197E-3</v>
      </c>
      <c r="Z532">
        <v>2.5000000000000001E-4</v>
      </c>
      <c r="AA532">
        <v>4.7933529064401303E-3</v>
      </c>
      <c r="AB532" s="9">
        <f t="shared" si="71"/>
        <v>2.7025297668564589E-2</v>
      </c>
      <c r="AC532" s="9">
        <f t="shared" si="72"/>
        <v>-0.33788992072145196</v>
      </c>
      <c r="AD532" s="2">
        <f t="shared" si="73"/>
        <v>-13.502727069477585</v>
      </c>
      <c r="AE532" s="8">
        <f t="shared" si="74"/>
        <v>-0.10723814645178401</v>
      </c>
      <c r="AF532" s="2">
        <f t="shared" si="75"/>
        <v>-0.10875931936693031</v>
      </c>
      <c r="AG532" s="8">
        <f t="shared" si="76"/>
        <v>1.5211729151463063E-3</v>
      </c>
      <c r="AH532" s="7">
        <f t="shared" si="77"/>
        <v>-71.497012787970817</v>
      </c>
      <c r="AI532">
        <f t="shared" si="78"/>
        <v>8</v>
      </c>
      <c r="AJ532" s="10">
        <f t="shared" si="79"/>
        <v>9.7355066569363602E-2</v>
      </c>
    </row>
    <row r="533" spans="1:36" hidden="1" x14ac:dyDescent="0.25">
      <c r="A533" t="b">
        <v>0</v>
      </c>
      <c r="B533">
        <v>1000</v>
      </c>
      <c r="C533">
        <v>9.7355066569363602E-2</v>
      </c>
      <c r="D533" t="s">
        <v>52</v>
      </c>
      <c r="E533" t="b">
        <v>1</v>
      </c>
      <c r="F533" t="s">
        <v>53</v>
      </c>
      <c r="G533">
        <v>7.4999999999999997E-2</v>
      </c>
      <c r="H533">
        <v>0.5</v>
      </c>
      <c r="I533">
        <v>1E-4</v>
      </c>
      <c r="J533" t="b">
        <v>1</v>
      </c>
      <c r="K533">
        <v>8</v>
      </c>
      <c r="L533">
        <v>1500</v>
      </c>
      <c r="M533">
        <v>0.1</v>
      </c>
      <c r="N533">
        <v>0.154</v>
      </c>
      <c r="O533" t="s">
        <v>296</v>
      </c>
      <c r="P533" t="s">
        <v>299</v>
      </c>
      <c r="Q533" s="1">
        <v>-5.1691188648063903E-5</v>
      </c>
      <c r="R533">
        <v>1.06914745380252E-3</v>
      </c>
      <c r="S533">
        <v>2.6615229166770401E-4</v>
      </c>
      <c r="T533">
        <v>-5.7030774751858403E-3</v>
      </c>
      <c r="U533">
        <v>7.9935892361317897</v>
      </c>
      <c r="V533" s="1">
        <v>9.9999999957339696E-15</v>
      </c>
      <c r="W533">
        <v>1.3881683294146601</v>
      </c>
      <c r="X533">
        <v>2.4999999999992299</v>
      </c>
      <c r="Y533">
        <v>63.316681991608903</v>
      </c>
      <c r="Z533">
        <v>0.49999999999960598</v>
      </c>
      <c r="AA533">
        <v>114.618930146978</v>
      </c>
      <c r="AB533" s="9">
        <f t="shared" si="71"/>
        <v>-0.33481051390320149</v>
      </c>
      <c r="AC533" s="9">
        <f t="shared" si="72"/>
        <v>-0.33788992072145196</v>
      </c>
      <c r="AD533" s="2">
        <f t="shared" si="73"/>
        <v>9.197461520401351E-3</v>
      </c>
      <c r="AE533" s="8">
        <f t="shared" si="74"/>
        <v>4.9263609411147682E-4</v>
      </c>
      <c r="AF533" s="2">
        <f t="shared" si="75"/>
        <v>-1.0285368210348296E-3</v>
      </c>
      <c r="AG533" s="8">
        <f t="shared" si="76"/>
        <v>1.5211729151463063E-3</v>
      </c>
      <c r="AH533" s="7">
        <f t="shared" si="77"/>
        <v>-0.67614720903435555</v>
      </c>
      <c r="AI533">
        <f t="shared" si="78"/>
        <v>8</v>
      </c>
      <c r="AJ533" s="10">
        <f t="shared" si="79"/>
        <v>9.7355066569363602E-2</v>
      </c>
    </row>
    <row r="534" spans="1:36" hidden="1" x14ac:dyDescent="0.25">
      <c r="A534" t="b">
        <v>0</v>
      </c>
      <c r="B534">
        <v>1000</v>
      </c>
      <c r="C534">
        <v>9.7355066569363602E-2</v>
      </c>
      <c r="D534" t="s">
        <v>52</v>
      </c>
      <c r="E534" t="b">
        <v>1</v>
      </c>
      <c r="F534" t="s">
        <v>53</v>
      </c>
      <c r="G534">
        <v>7.4999999999999997E-2</v>
      </c>
      <c r="H534">
        <v>0.5</v>
      </c>
      <c r="I534">
        <v>1E-4</v>
      </c>
      <c r="J534" t="b">
        <v>1</v>
      </c>
      <c r="K534">
        <v>8</v>
      </c>
      <c r="L534">
        <v>1500</v>
      </c>
      <c r="M534">
        <v>0.1</v>
      </c>
      <c r="N534">
        <v>0.154</v>
      </c>
      <c r="O534" t="s">
        <v>296</v>
      </c>
      <c r="P534" t="s">
        <v>300</v>
      </c>
      <c r="Q534">
        <v>-4.1308541568858999E-4</v>
      </c>
      <c r="R534">
        <v>8.5311905169588205E-3</v>
      </c>
      <c r="S534">
        <v>2.12472513766043E-3</v>
      </c>
      <c r="T534">
        <v>-4.5458652325847199E-2</v>
      </c>
      <c r="U534">
        <v>7.9898571696496203</v>
      </c>
      <c r="V534" s="1">
        <v>9.9999999999999905E-15</v>
      </c>
      <c r="W534">
        <v>1.3777491543090301</v>
      </c>
      <c r="X534">
        <v>2.4999999999999898</v>
      </c>
      <c r="Y534">
        <v>63.348562498945299</v>
      </c>
      <c r="Z534">
        <v>0.499999999999999</v>
      </c>
      <c r="AA534">
        <v>114.395460924828</v>
      </c>
      <c r="AB534" s="9">
        <f t="shared" si="71"/>
        <v>-0.33429803695619481</v>
      </c>
      <c r="AC534" s="9">
        <f t="shared" si="72"/>
        <v>-0.33788992072145196</v>
      </c>
      <c r="AD534" s="2">
        <f t="shared" si="73"/>
        <v>1.0744555361322128E-2</v>
      </c>
      <c r="AE534" s="8">
        <f t="shared" si="74"/>
        <v>3.2167131344764982E-4</v>
      </c>
      <c r="AF534" s="2">
        <f t="shared" si="75"/>
        <v>-1.1995016016986566E-3</v>
      </c>
      <c r="AG534" s="8">
        <f t="shared" si="76"/>
        <v>1.5211729151463063E-3</v>
      </c>
      <c r="AH534" s="7">
        <f t="shared" si="77"/>
        <v>-0.78853731206704314</v>
      </c>
      <c r="AI534">
        <f t="shared" si="78"/>
        <v>8</v>
      </c>
      <c r="AJ534" s="10">
        <f t="shared" si="79"/>
        <v>9.7355066569363602E-2</v>
      </c>
    </row>
    <row r="535" spans="1:36" hidden="1" x14ac:dyDescent="0.25">
      <c r="A535" t="b">
        <v>0</v>
      </c>
      <c r="B535">
        <v>1000</v>
      </c>
      <c r="C535">
        <v>9.7355066569363602E-2</v>
      </c>
      <c r="D535" t="s">
        <v>52</v>
      </c>
      <c r="E535" t="b">
        <v>1</v>
      </c>
      <c r="F535" t="s">
        <v>53</v>
      </c>
      <c r="G535">
        <v>7.4999999999999997E-2</v>
      </c>
      <c r="H535">
        <v>0.5</v>
      </c>
      <c r="I535">
        <v>1E-4</v>
      </c>
      <c r="J535" t="b">
        <v>1</v>
      </c>
      <c r="K535">
        <v>8</v>
      </c>
      <c r="L535">
        <v>1500</v>
      </c>
      <c r="M535">
        <v>0.1</v>
      </c>
      <c r="N535">
        <v>0.154</v>
      </c>
      <c r="O535" t="s">
        <v>296</v>
      </c>
      <c r="P535" t="s">
        <v>301</v>
      </c>
      <c r="Q535">
        <v>-3.61375973841831E-4</v>
      </c>
      <c r="R535">
        <v>7.1507002792585202E-3</v>
      </c>
      <c r="S535">
        <v>1.85860273005326E-3</v>
      </c>
      <c r="T535">
        <v>-3.9760126976048402E-2</v>
      </c>
      <c r="U535">
        <v>7.99039233456792</v>
      </c>
      <c r="V535" s="1">
        <v>9.9999999999999905E-15</v>
      </c>
      <c r="W535">
        <v>1.31117705666396</v>
      </c>
      <c r="X535">
        <v>2.4999999999999898</v>
      </c>
      <c r="Y535">
        <v>61.023813968144601</v>
      </c>
      <c r="Z535">
        <v>0.499999999999999</v>
      </c>
      <c r="AA535">
        <v>109.49459675041</v>
      </c>
      <c r="AB535" s="9">
        <f t="shared" si="71"/>
        <v>-0.3342575440976317</v>
      </c>
      <c r="AC535" s="9">
        <f t="shared" si="72"/>
        <v>-0.33788992072145196</v>
      </c>
      <c r="AD535" s="2">
        <f t="shared" si="73"/>
        <v>1.0866999677228817E-2</v>
      </c>
      <c r="AE535" s="8">
        <f t="shared" si="74"/>
        <v>3.081651912951201E-4</v>
      </c>
      <c r="AF535" s="2">
        <f t="shared" si="75"/>
        <v>-1.2130077238511861E-3</v>
      </c>
      <c r="AG535" s="8">
        <f t="shared" si="76"/>
        <v>1.5211729151463063E-3</v>
      </c>
      <c r="AH535" s="7">
        <f t="shared" si="77"/>
        <v>-0.7974160674130325</v>
      </c>
      <c r="AI535">
        <f t="shared" si="78"/>
        <v>8</v>
      </c>
      <c r="AJ535" s="10">
        <f t="shared" si="79"/>
        <v>9.7355066569363602E-2</v>
      </c>
    </row>
    <row r="536" spans="1:36" hidden="1" x14ac:dyDescent="0.25">
      <c r="A536" t="b">
        <v>0</v>
      </c>
      <c r="B536">
        <v>1000</v>
      </c>
      <c r="C536">
        <v>9.7355066569363602E-2</v>
      </c>
      <c r="D536" t="s">
        <v>52</v>
      </c>
      <c r="E536" t="b">
        <v>1</v>
      </c>
      <c r="F536" t="s">
        <v>53</v>
      </c>
      <c r="G536">
        <v>7.4999999999999997E-2</v>
      </c>
      <c r="H536">
        <v>0.5</v>
      </c>
      <c r="I536">
        <v>1E-4</v>
      </c>
      <c r="J536" t="b">
        <v>1</v>
      </c>
      <c r="K536">
        <v>8</v>
      </c>
      <c r="L536">
        <v>1500</v>
      </c>
      <c r="M536">
        <v>0.1</v>
      </c>
      <c r="N536">
        <v>0.154</v>
      </c>
      <c r="O536" t="s">
        <v>296</v>
      </c>
      <c r="P536" t="s">
        <v>302</v>
      </c>
      <c r="Q536">
        <v>-4.1308541568860202E-4</v>
      </c>
      <c r="R536">
        <v>8.6500866884143997E-3</v>
      </c>
      <c r="S536">
        <v>2.12472513766043E-3</v>
      </c>
      <c r="T536">
        <v>-4.5458652325847101E-2</v>
      </c>
      <c r="U536">
        <v>7.9898571696468199</v>
      </c>
      <c r="V536" s="1">
        <v>9.9999999999999905E-15</v>
      </c>
      <c r="W536">
        <v>1.4095462837480399</v>
      </c>
      <c r="X536">
        <v>2.4999999999999898</v>
      </c>
      <c r="Y536">
        <v>63.977260424480001</v>
      </c>
      <c r="Z536">
        <v>0.499999999999999</v>
      </c>
      <c r="AA536">
        <v>116.08546027468</v>
      </c>
      <c r="AB536" s="9">
        <f t="shared" si="71"/>
        <v>-0.33429803695619409</v>
      </c>
      <c r="AC536" s="9">
        <f t="shared" si="72"/>
        <v>-0.33788992072145196</v>
      </c>
      <c r="AD536" s="2">
        <f t="shared" si="73"/>
        <v>1.0744555361324348E-2</v>
      </c>
      <c r="AE536" s="8">
        <f t="shared" si="74"/>
        <v>3.216713134474029E-4</v>
      </c>
      <c r="AF536" s="2">
        <f t="shared" si="75"/>
        <v>-1.1995016016989033E-3</v>
      </c>
      <c r="AG536" s="8">
        <f t="shared" si="76"/>
        <v>1.5211729151463063E-3</v>
      </c>
      <c r="AH536" s="7">
        <f t="shared" si="77"/>
        <v>-0.78853731206720534</v>
      </c>
      <c r="AI536">
        <f t="shared" si="78"/>
        <v>8</v>
      </c>
      <c r="AJ536" s="10">
        <f t="shared" si="79"/>
        <v>9.7355066569363602E-2</v>
      </c>
    </row>
    <row r="537" spans="1:36" hidden="1" x14ac:dyDescent="0.25">
      <c r="A537" t="b">
        <v>0</v>
      </c>
      <c r="B537">
        <v>1000</v>
      </c>
      <c r="C537">
        <v>9.7355066569363602E-2</v>
      </c>
      <c r="D537" t="s">
        <v>52</v>
      </c>
      <c r="E537" t="b">
        <v>1</v>
      </c>
      <c r="F537" t="s">
        <v>53</v>
      </c>
      <c r="G537">
        <v>7.4999999999999997E-2</v>
      </c>
      <c r="H537">
        <v>0.5</v>
      </c>
      <c r="I537">
        <v>1E-4</v>
      </c>
      <c r="J537" t="b">
        <v>1</v>
      </c>
      <c r="K537">
        <v>8</v>
      </c>
      <c r="L537">
        <v>1500</v>
      </c>
      <c r="M537">
        <v>0.1</v>
      </c>
      <c r="N537">
        <v>0.154</v>
      </c>
      <c r="O537" t="s">
        <v>296</v>
      </c>
      <c r="P537" t="s">
        <v>303</v>
      </c>
      <c r="Q537">
        <v>-7.7460682139858397E-4</v>
      </c>
      <c r="R537">
        <v>1.6055841764983699E-2</v>
      </c>
      <c r="S537">
        <v>3.9830897418246299E-3</v>
      </c>
      <c r="T537">
        <v>-8.5182508925691403E-2</v>
      </c>
      <c r="U537">
        <v>7.98612459327496</v>
      </c>
      <c r="V537" s="1">
        <v>9.9999999999999795E-15</v>
      </c>
      <c r="W537">
        <v>1.38717801801442</v>
      </c>
      <c r="X537">
        <v>2.4999999999999898</v>
      </c>
      <c r="Y537">
        <v>63.497356036543302</v>
      </c>
      <c r="Z537">
        <v>0.499999999999999</v>
      </c>
      <c r="AA537">
        <v>114.842536935072</v>
      </c>
      <c r="AB537" s="9">
        <f t="shared" si="71"/>
        <v>-0.33415684512149996</v>
      </c>
      <c r="AC537" s="9">
        <f t="shared" si="72"/>
        <v>-0.33788992072145196</v>
      </c>
      <c r="AD537" s="2">
        <f t="shared" si="73"/>
        <v>1.1171626900519316E-2</v>
      </c>
      <c r="AE537" s="8">
        <f t="shared" si="74"/>
        <v>2.7457930248632971E-4</v>
      </c>
      <c r="AF537" s="2">
        <f t="shared" si="75"/>
        <v>-1.2465936126599766E-3</v>
      </c>
      <c r="AG537" s="8">
        <f t="shared" si="76"/>
        <v>1.5211729151463063E-3</v>
      </c>
      <c r="AH537" s="7">
        <f t="shared" si="77"/>
        <v>-0.81949500957297772</v>
      </c>
      <c r="AI537">
        <f t="shared" si="78"/>
        <v>8</v>
      </c>
      <c r="AJ537" s="10">
        <f t="shared" si="79"/>
        <v>9.7355066569363602E-2</v>
      </c>
    </row>
    <row r="538" spans="1:36" hidden="1" x14ac:dyDescent="0.25">
      <c r="A538" t="b">
        <v>0</v>
      </c>
      <c r="B538">
        <v>1000</v>
      </c>
      <c r="C538">
        <v>9.7355066569363602E-2</v>
      </c>
      <c r="D538" t="s">
        <v>52</v>
      </c>
      <c r="E538" t="b">
        <v>1</v>
      </c>
      <c r="F538" t="s">
        <v>53</v>
      </c>
      <c r="G538">
        <v>7.4999999999999997E-2</v>
      </c>
      <c r="H538">
        <v>0.5</v>
      </c>
      <c r="I538">
        <v>1E-4</v>
      </c>
      <c r="J538" t="b">
        <v>1</v>
      </c>
      <c r="K538">
        <v>8</v>
      </c>
      <c r="L538">
        <v>1500</v>
      </c>
      <c r="M538">
        <v>0.1</v>
      </c>
      <c r="N538">
        <v>0.154</v>
      </c>
      <c r="O538" t="s">
        <v>297</v>
      </c>
      <c r="P538" t="s">
        <v>300</v>
      </c>
      <c r="Q538" s="1">
        <v>-5.1709441775988203E-5</v>
      </c>
      <c r="R538">
        <v>1.0729783153010099E-3</v>
      </c>
      <c r="S538">
        <v>2.66122407607179E-4</v>
      </c>
      <c r="T538">
        <v>-5.6985253497988499E-3</v>
      </c>
      <c r="U538">
        <v>7.9861251757806198</v>
      </c>
      <c r="V538" s="1">
        <v>9.9999999956369902E-15</v>
      </c>
      <c r="W538">
        <v>1.3807568178526699</v>
      </c>
      <c r="X538">
        <v>2.4999999999992202</v>
      </c>
      <c r="Y538">
        <v>63.694079864199402</v>
      </c>
      <c r="Z538">
        <v>0.49999999999959699</v>
      </c>
      <c r="AA538">
        <v>114.911038866583</v>
      </c>
      <c r="AB538" s="9">
        <f t="shared" si="71"/>
        <v>-0.33458083966396923</v>
      </c>
      <c r="AC538" s="9">
        <f t="shared" si="72"/>
        <v>-0.33788992072145196</v>
      </c>
      <c r="AD538" s="2">
        <f t="shared" si="73"/>
        <v>9.890228803317358E-3</v>
      </c>
      <c r="AE538" s="8">
        <f t="shared" si="74"/>
        <v>4.1600843459720647E-4</v>
      </c>
      <c r="AF538" s="2">
        <f t="shared" si="75"/>
        <v>-1.1051644805490997E-3</v>
      </c>
      <c r="AG538" s="8">
        <f t="shared" si="76"/>
        <v>1.5211729151463063E-3</v>
      </c>
      <c r="AH538" s="7">
        <f t="shared" si="77"/>
        <v>-0.72652127154315327</v>
      </c>
      <c r="AI538">
        <f t="shared" si="78"/>
        <v>8</v>
      </c>
      <c r="AJ538" s="10">
        <f t="shared" si="79"/>
        <v>9.7355066569363602E-2</v>
      </c>
    </row>
    <row r="539" spans="1:36" hidden="1" x14ac:dyDescent="0.25">
      <c r="A539" t="b">
        <v>0</v>
      </c>
      <c r="B539">
        <v>1000</v>
      </c>
      <c r="C539">
        <v>9.7355066569363602E-2</v>
      </c>
      <c r="D539" t="s">
        <v>52</v>
      </c>
      <c r="E539" t="b">
        <v>1</v>
      </c>
      <c r="F539" t="s">
        <v>53</v>
      </c>
      <c r="G539">
        <v>7.4999999999999997E-2</v>
      </c>
      <c r="H539">
        <v>0.5</v>
      </c>
      <c r="I539">
        <v>1E-4</v>
      </c>
      <c r="J539" t="b">
        <v>1</v>
      </c>
      <c r="K539">
        <v>8</v>
      </c>
      <c r="L539">
        <v>1500</v>
      </c>
      <c r="M539">
        <v>0.1</v>
      </c>
      <c r="N539">
        <v>0.154</v>
      </c>
      <c r="O539" t="s">
        <v>297</v>
      </c>
      <c r="P539" t="s">
        <v>301</v>
      </c>
      <c r="Q539" s="1">
        <v>-1E-10</v>
      </c>
      <c r="R539" s="1">
        <v>3.58578585404924E-12</v>
      </c>
      <c r="S539" s="1">
        <v>1.5951173441344899E-17</v>
      </c>
      <c r="T539" s="1">
        <v>-1.4290828513231601E-16</v>
      </c>
      <c r="U539">
        <v>7.9866603406989096</v>
      </c>
      <c r="V539">
        <v>0</v>
      </c>
      <c r="W539">
        <v>6.8474546770962999E-2</v>
      </c>
      <c r="X539">
        <v>2</v>
      </c>
      <c r="Y539">
        <v>4.0005663270293998E-3</v>
      </c>
      <c r="Z539">
        <v>2.5000000000000001E-4</v>
      </c>
      <c r="AA539">
        <v>4.7933528770931298E-3</v>
      </c>
      <c r="AB539" s="9">
        <f t="shared" si="71"/>
        <v>-0.13998606205388803</v>
      </c>
      <c r="AC539" s="9">
        <f t="shared" si="72"/>
        <v>-0.33788992072145196</v>
      </c>
      <c r="AD539" s="2">
        <f t="shared" si="73"/>
        <v>1.4137397378274725</v>
      </c>
      <c r="AE539" s="8">
        <f t="shared" si="74"/>
        <v>-6.0546897926945113E-2</v>
      </c>
      <c r="AF539" s="2">
        <f t="shared" si="75"/>
        <v>-6.206807084209142E-2</v>
      </c>
      <c r="AG539" s="8">
        <f t="shared" si="76"/>
        <v>1.5211729151463063E-3</v>
      </c>
      <c r="AH539" s="7">
        <f t="shared" si="77"/>
        <v>-40.80277148250547</v>
      </c>
      <c r="AI539">
        <f t="shared" si="78"/>
        <v>8</v>
      </c>
      <c r="AJ539" s="10">
        <f t="shared" si="79"/>
        <v>9.7355066569363602E-2</v>
      </c>
    </row>
    <row r="540" spans="1:36" hidden="1" x14ac:dyDescent="0.25">
      <c r="A540" t="b">
        <v>0</v>
      </c>
      <c r="B540">
        <v>1000</v>
      </c>
      <c r="C540">
        <v>9.7355066569363602E-2</v>
      </c>
      <c r="D540" t="s">
        <v>52</v>
      </c>
      <c r="E540" t="b">
        <v>1</v>
      </c>
      <c r="F540" t="s">
        <v>53</v>
      </c>
      <c r="G540">
        <v>7.4999999999999997E-2</v>
      </c>
      <c r="H540">
        <v>0.5</v>
      </c>
      <c r="I540">
        <v>1E-4</v>
      </c>
      <c r="J540" t="b">
        <v>1</v>
      </c>
      <c r="K540">
        <v>8</v>
      </c>
      <c r="L540">
        <v>1500</v>
      </c>
      <c r="M540">
        <v>0.1</v>
      </c>
      <c r="N540">
        <v>0.154</v>
      </c>
      <c r="O540" t="s">
        <v>297</v>
      </c>
      <c r="P540" t="s">
        <v>302</v>
      </c>
      <c r="Q540" s="1">
        <v>-5.1709441775987397E-5</v>
      </c>
      <c r="R540">
        <v>1.0697581111130899E-3</v>
      </c>
      <c r="S540">
        <v>2.6612240760717402E-4</v>
      </c>
      <c r="T540">
        <v>-5.6985253497986998E-3</v>
      </c>
      <c r="U540">
        <v>7.9861251757778202</v>
      </c>
      <c r="V540" s="1">
        <v>9.9999999956366794E-15</v>
      </c>
      <c r="W540">
        <v>1.3702363824352399</v>
      </c>
      <c r="X540">
        <v>2.4999999999992202</v>
      </c>
      <c r="Y540">
        <v>63.612689574644399</v>
      </c>
      <c r="Z540">
        <v>0.49999999999959699</v>
      </c>
      <c r="AA540">
        <v>114.519897363422</v>
      </c>
      <c r="AB540" s="9">
        <f t="shared" si="71"/>
        <v>-0.33458083966396673</v>
      </c>
      <c r="AC540" s="9">
        <f t="shared" si="72"/>
        <v>-0.33788992072145196</v>
      </c>
      <c r="AD540" s="2">
        <f t="shared" si="73"/>
        <v>9.8902288033249075E-3</v>
      </c>
      <c r="AE540" s="8">
        <f t="shared" si="74"/>
        <v>4.1600843459639164E-4</v>
      </c>
      <c r="AF540" s="2">
        <f t="shared" si="75"/>
        <v>-1.1051644805499146E-3</v>
      </c>
      <c r="AG540" s="8">
        <f t="shared" si="76"/>
        <v>1.5211729151463063E-3</v>
      </c>
      <c r="AH540" s="7">
        <f t="shared" si="77"/>
        <v>-0.72652127154368906</v>
      </c>
      <c r="AI540">
        <f t="shared" si="78"/>
        <v>8</v>
      </c>
      <c r="AJ540" s="10">
        <f t="shared" si="79"/>
        <v>9.7355066569363602E-2</v>
      </c>
    </row>
    <row r="541" spans="1:36" hidden="1" x14ac:dyDescent="0.25">
      <c r="A541" t="b">
        <v>0</v>
      </c>
      <c r="B541">
        <v>1000</v>
      </c>
      <c r="C541">
        <v>9.7355066569363602E-2</v>
      </c>
      <c r="D541" t="s">
        <v>52</v>
      </c>
      <c r="E541" t="b">
        <v>1</v>
      </c>
      <c r="F541" t="s">
        <v>53</v>
      </c>
      <c r="G541">
        <v>7.4999999999999997E-2</v>
      </c>
      <c r="H541">
        <v>0.5</v>
      </c>
      <c r="I541">
        <v>1E-4</v>
      </c>
      <c r="J541" t="b">
        <v>1</v>
      </c>
      <c r="K541">
        <v>8</v>
      </c>
      <c r="L541">
        <v>1500</v>
      </c>
      <c r="M541">
        <v>0.1</v>
      </c>
      <c r="N541">
        <v>0.154</v>
      </c>
      <c r="O541" t="s">
        <v>297</v>
      </c>
      <c r="P541" t="s">
        <v>303</v>
      </c>
      <c r="Q541">
        <v>-4.1323084755863601E-4</v>
      </c>
      <c r="R541">
        <v>8.6319933057722106E-3</v>
      </c>
      <c r="S541">
        <v>2.1244870117713699E-3</v>
      </c>
      <c r="T541">
        <v>-4.54223819496428E-2</v>
      </c>
      <c r="U541">
        <v>7.9823925994059497</v>
      </c>
      <c r="V541" s="1">
        <v>9.9999999999999905E-15</v>
      </c>
      <c r="W541">
        <v>1.39902129134687</v>
      </c>
      <c r="X541">
        <v>2.4999999999999898</v>
      </c>
      <c r="Y541">
        <v>63.936776008318702</v>
      </c>
      <c r="Z541">
        <v>0.499999999999999</v>
      </c>
      <c r="AA541">
        <v>115.752762946918</v>
      </c>
      <c r="AB541" s="9">
        <f t="shared" si="71"/>
        <v>-0.33406874884653187</v>
      </c>
      <c r="AC541" s="9">
        <f t="shared" si="72"/>
        <v>-0.33788992072145196</v>
      </c>
      <c r="AD541" s="2">
        <f t="shared" si="73"/>
        <v>1.1438279959181452E-2</v>
      </c>
      <c r="AE541" s="8">
        <f t="shared" si="74"/>
        <v>2.4519861202053795E-4</v>
      </c>
      <c r="AF541" s="2">
        <f t="shared" si="75"/>
        <v>-1.2759743031257684E-3</v>
      </c>
      <c r="AG541" s="8">
        <f t="shared" si="76"/>
        <v>1.5211729151463063E-3</v>
      </c>
      <c r="AH541" s="7">
        <f t="shared" si="77"/>
        <v>-0.83880950707240631</v>
      </c>
      <c r="AI541">
        <f t="shared" si="78"/>
        <v>8</v>
      </c>
      <c r="AJ541" s="10">
        <f t="shared" si="79"/>
        <v>9.7355066569363602E-2</v>
      </c>
    </row>
    <row r="542" spans="1:36" hidden="1" x14ac:dyDescent="0.25">
      <c r="A542" t="b">
        <v>0</v>
      </c>
      <c r="B542">
        <v>1000</v>
      </c>
      <c r="C542">
        <v>9.7355066569363602E-2</v>
      </c>
      <c r="D542" t="s">
        <v>52</v>
      </c>
      <c r="E542" t="b">
        <v>1</v>
      </c>
      <c r="F542" t="s">
        <v>53</v>
      </c>
      <c r="G542">
        <v>7.4999999999999997E-2</v>
      </c>
      <c r="H542">
        <v>0.5</v>
      </c>
      <c r="I542">
        <v>1E-4</v>
      </c>
      <c r="J542" t="b">
        <v>1</v>
      </c>
      <c r="K542">
        <v>8</v>
      </c>
      <c r="L542">
        <v>1500</v>
      </c>
      <c r="M542">
        <v>0.1</v>
      </c>
      <c r="N542">
        <v>0.154</v>
      </c>
      <c r="O542" t="s">
        <v>298</v>
      </c>
      <c r="P542" t="s">
        <v>299</v>
      </c>
      <c r="Q542" s="1">
        <v>-5.1691188648062798E-5</v>
      </c>
      <c r="R542">
        <v>1.0665465870609899E-3</v>
      </c>
      <c r="S542">
        <v>2.6615229166770298E-4</v>
      </c>
      <c r="T542">
        <v>-5.7030774751859799E-3</v>
      </c>
      <c r="U542">
        <v>7.9935892361337304</v>
      </c>
      <c r="V542" s="1">
        <v>9.99999999573411E-15</v>
      </c>
      <c r="W542">
        <v>1.3804345806239999</v>
      </c>
      <c r="X542">
        <v>2.4999999999992299</v>
      </c>
      <c r="Y542">
        <v>63.239436826000897</v>
      </c>
      <c r="Z542">
        <v>0.49999999999960598</v>
      </c>
      <c r="AA542">
        <v>114.307671150478</v>
      </c>
      <c r="AB542" s="9">
        <f t="shared" si="71"/>
        <v>-0.33481051390321098</v>
      </c>
      <c r="AC542" s="9">
        <f t="shared" si="72"/>
        <v>-0.33788992072145196</v>
      </c>
      <c r="AD542" s="2">
        <f t="shared" si="73"/>
        <v>9.1974615203727073E-3</v>
      </c>
      <c r="AE542" s="8">
        <f t="shared" si="74"/>
        <v>4.9263609411463792E-4</v>
      </c>
      <c r="AF542" s="2">
        <f t="shared" si="75"/>
        <v>-1.0285368210316685E-3</v>
      </c>
      <c r="AG542" s="8">
        <f t="shared" si="76"/>
        <v>1.5211729151463063E-3</v>
      </c>
      <c r="AH542" s="7">
        <f t="shared" si="77"/>
        <v>-0.67614720903227754</v>
      </c>
      <c r="AI542">
        <f t="shared" si="78"/>
        <v>8</v>
      </c>
      <c r="AJ542" s="10">
        <f t="shared" si="79"/>
        <v>9.7355066569363602E-2</v>
      </c>
    </row>
    <row r="543" spans="1:36" hidden="1" x14ac:dyDescent="0.25">
      <c r="A543" t="b">
        <v>0</v>
      </c>
      <c r="B543">
        <v>1000</v>
      </c>
      <c r="C543">
        <v>9.7355066569363602E-2</v>
      </c>
      <c r="D543" t="s">
        <v>52</v>
      </c>
      <c r="E543" t="b">
        <v>1</v>
      </c>
      <c r="F543" t="s">
        <v>53</v>
      </c>
      <c r="G543">
        <v>7.4999999999999997E-2</v>
      </c>
      <c r="H543">
        <v>0.5</v>
      </c>
      <c r="I543">
        <v>1E-4</v>
      </c>
      <c r="J543" t="b">
        <v>1</v>
      </c>
      <c r="K543">
        <v>8</v>
      </c>
      <c r="L543">
        <v>1500</v>
      </c>
      <c r="M543">
        <v>0.1</v>
      </c>
      <c r="N543">
        <v>0.154</v>
      </c>
      <c r="O543" t="s">
        <v>298</v>
      </c>
      <c r="P543" t="s">
        <v>300</v>
      </c>
      <c r="Q543">
        <v>-4.1308541568859199E-4</v>
      </c>
      <c r="R543">
        <v>8.7396494056080597E-3</v>
      </c>
      <c r="S543">
        <v>2.12472513766043E-3</v>
      </c>
      <c r="T543">
        <v>-4.5458652325847303E-2</v>
      </c>
      <c r="U543">
        <v>7.9898571696515601</v>
      </c>
      <c r="V543" s="1">
        <v>9.9999999999999905E-15</v>
      </c>
      <c r="W543">
        <v>1.4123599170752801</v>
      </c>
      <c r="X543">
        <v>2.4999999999999898</v>
      </c>
      <c r="Y543">
        <v>64.775541188824903</v>
      </c>
      <c r="Z543">
        <v>0.499999999999999</v>
      </c>
      <c r="AA543">
        <v>117.221498530189</v>
      </c>
      <c r="AB543" s="9">
        <f t="shared" si="71"/>
        <v>-0.33429803695619553</v>
      </c>
      <c r="AC543" s="9">
        <f t="shared" si="72"/>
        <v>-0.33788992072145196</v>
      </c>
      <c r="AD543" s="2">
        <f t="shared" si="73"/>
        <v>1.0744555361319907E-2</v>
      </c>
      <c r="AE543" s="8">
        <f t="shared" si="74"/>
        <v>3.2167131344789664E-4</v>
      </c>
      <c r="AF543" s="2">
        <f t="shared" si="75"/>
        <v>-1.1995016016984096E-3</v>
      </c>
      <c r="AG543" s="8">
        <f t="shared" si="76"/>
        <v>1.5211729151463063E-3</v>
      </c>
      <c r="AH543" s="7">
        <f t="shared" si="77"/>
        <v>-0.78853731206688071</v>
      </c>
      <c r="AI543">
        <f t="shared" si="78"/>
        <v>8</v>
      </c>
      <c r="AJ543" s="10">
        <f t="shared" si="79"/>
        <v>9.7355066569363602E-2</v>
      </c>
    </row>
    <row r="544" spans="1:36" hidden="1" x14ac:dyDescent="0.25">
      <c r="A544" t="b">
        <v>0</v>
      </c>
      <c r="B544">
        <v>1000</v>
      </c>
      <c r="C544">
        <v>9.7355066569363602E-2</v>
      </c>
      <c r="D544" t="s">
        <v>52</v>
      </c>
      <c r="E544" t="b">
        <v>1</v>
      </c>
      <c r="F544" t="s">
        <v>53</v>
      </c>
      <c r="G544">
        <v>7.4999999999999997E-2</v>
      </c>
      <c r="H544">
        <v>0.5</v>
      </c>
      <c r="I544">
        <v>1E-4</v>
      </c>
      <c r="J544" t="b">
        <v>1</v>
      </c>
      <c r="K544">
        <v>8</v>
      </c>
      <c r="L544">
        <v>1500</v>
      </c>
      <c r="M544">
        <v>0.1</v>
      </c>
      <c r="N544">
        <v>0.154</v>
      </c>
      <c r="O544" t="s">
        <v>298</v>
      </c>
      <c r="P544" t="s">
        <v>301</v>
      </c>
      <c r="Q544">
        <v>-3.6137597384183599E-4</v>
      </c>
      <c r="R544">
        <v>7.1255956453320996E-3</v>
      </c>
      <c r="S544">
        <v>1.8586027300532501E-3</v>
      </c>
      <c r="T544">
        <v>-3.9760126976048402E-2</v>
      </c>
      <c r="U544">
        <v>7.99039233456985</v>
      </c>
      <c r="V544" s="1">
        <v>9.9999999999999905E-15</v>
      </c>
      <c r="W544">
        <v>1.3173195793581001</v>
      </c>
      <c r="X544">
        <v>2.4999999999999898</v>
      </c>
      <c r="Y544">
        <v>60.671313725568297</v>
      </c>
      <c r="Z544">
        <v>0.499999999999999</v>
      </c>
      <c r="AA544">
        <v>109.170167723379</v>
      </c>
      <c r="AB544" s="9">
        <f t="shared" si="71"/>
        <v>-0.33425754409763353</v>
      </c>
      <c r="AC544" s="9">
        <f t="shared" si="72"/>
        <v>-0.33788992072145196</v>
      </c>
      <c r="AD544" s="2">
        <f t="shared" si="73"/>
        <v>1.0866999677223266E-2</v>
      </c>
      <c r="AE544" s="8">
        <f t="shared" si="74"/>
        <v>3.0816519129571256E-4</v>
      </c>
      <c r="AF544" s="2">
        <f t="shared" si="75"/>
        <v>-1.2130077238505937E-3</v>
      </c>
      <c r="AG544" s="8">
        <f t="shared" si="76"/>
        <v>1.5211729151463063E-3</v>
      </c>
      <c r="AH544" s="7">
        <f t="shared" si="77"/>
        <v>-0.79741606741264304</v>
      </c>
      <c r="AI544">
        <f t="shared" si="78"/>
        <v>8</v>
      </c>
      <c r="AJ544" s="10">
        <f t="shared" si="79"/>
        <v>9.7355066569363602E-2</v>
      </c>
    </row>
    <row r="545" spans="1:36" hidden="1" x14ac:dyDescent="0.25">
      <c r="A545" t="b">
        <v>0</v>
      </c>
      <c r="B545">
        <v>1000</v>
      </c>
      <c r="C545">
        <v>9.7355066569363602E-2</v>
      </c>
      <c r="D545" t="s">
        <v>52</v>
      </c>
      <c r="E545" t="b">
        <v>1</v>
      </c>
      <c r="F545" t="s">
        <v>53</v>
      </c>
      <c r="G545">
        <v>7.4999999999999997E-2</v>
      </c>
      <c r="H545">
        <v>0.5</v>
      </c>
      <c r="I545">
        <v>1E-4</v>
      </c>
      <c r="J545" t="b">
        <v>1</v>
      </c>
      <c r="K545">
        <v>8</v>
      </c>
      <c r="L545">
        <v>1500</v>
      </c>
      <c r="M545">
        <v>0.1</v>
      </c>
      <c r="N545">
        <v>0.154</v>
      </c>
      <c r="O545" t="s">
        <v>298</v>
      </c>
      <c r="P545" t="s">
        <v>302</v>
      </c>
      <c r="Q545">
        <v>-4.1308541568858299E-4</v>
      </c>
      <c r="R545">
        <v>8.5025744341470002E-3</v>
      </c>
      <c r="S545">
        <v>2.12472513766043E-3</v>
      </c>
      <c r="T545">
        <v>-4.5458652325847199E-2</v>
      </c>
      <c r="U545">
        <v>7.9898571696487597</v>
      </c>
      <c r="V545" s="1">
        <v>9.9999999999999905E-15</v>
      </c>
      <c r="W545">
        <v>1.3795428809544601</v>
      </c>
      <c r="X545">
        <v>2.4999999999999898</v>
      </c>
      <c r="Y545">
        <v>63.063303031930502</v>
      </c>
      <c r="Z545">
        <v>0.499999999999999</v>
      </c>
      <c r="AA545">
        <v>114.040942980707</v>
      </c>
      <c r="AB545" s="9">
        <f t="shared" si="71"/>
        <v>-0.33429803695619481</v>
      </c>
      <c r="AC545" s="9">
        <f t="shared" si="72"/>
        <v>-0.33788992072145196</v>
      </c>
      <c r="AD545" s="2">
        <f t="shared" si="73"/>
        <v>1.0744555361322128E-2</v>
      </c>
      <c r="AE545" s="8">
        <f t="shared" si="74"/>
        <v>3.2167131344764982E-4</v>
      </c>
      <c r="AF545" s="2">
        <f t="shared" si="75"/>
        <v>-1.1995016016986566E-3</v>
      </c>
      <c r="AG545" s="8">
        <f t="shared" si="76"/>
        <v>1.5211729151463063E-3</v>
      </c>
      <c r="AH545" s="7">
        <f t="shared" si="77"/>
        <v>-0.78853731206704314</v>
      </c>
      <c r="AI545">
        <f t="shared" si="78"/>
        <v>8</v>
      </c>
      <c r="AJ545" s="10">
        <f t="shared" si="79"/>
        <v>9.7355066569363602E-2</v>
      </c>
    </row>
    <row r="546" spans="1:36" hidden="1" x14ac:dyDescent="0.25">
      <c r="A546" t="b">
        <v>0</v>
      </c>
      <c r="B546">
        <v>1000</v>
      </c>
      <c r="C546">
        <v>9.7355066569363602E-2</v>
      </c>
      <c r="D546" t="s">
        <v>52</v>
      </c>
      <c r="E546" t="b">
        <v>1</v>
      </c>
      <c r="F546" t="s">
        <v>53</v>
      </c>
      <c r="G546">
        <v>7.4999999999999997E-2</v>
      </c>
      <c r="H546">
        <v>0.5</v>
      </c>
      <c r="I546">
        <v>1E-4</v>
      </c>
      <c r="J546" t="b">
        <v>1</v>
      </c>
      <c r="K546">
        <v>8</v>
      </c>
      <c r="L546">
        <v>1500</v>
      </c>
      <c r="M546">
        <v>0.1</v>
      </c>
      <c r="N546">
        <v>0.154</v>
      </c>
      <c r="O546" t="s">
        <v>298</v>
      </c>
      <c r="P546" t="s">
        <v>303</v>
      </c>
      <c r="Q546">
        <v>-7.7460682139857703E-4</v>
      </c>
      <c r="R546">
        <v>1.5861252314516999E-2</v>
      </c>
      <c r="S546">
        <v>3.9830897418246299E-3</v>
      </c>
      <c r="T546">
        <v>-8.5182508925691597E-2</v>
      </c>
      <c r="U546">
        <v>7.9861245932768901</v>
      </c>
      <c r="V546" s="1">
        <v>9.9999999999999795E-15</v>
      </c>
      <c r="W546">
        <v>1.36439260789654</v>
      </c>
      <c r="X546">
        <v>2.4999999999999898</v>
      </c>
      <c r="Y546">
        <v>62.872128205840902</v>
      </c>
      <c r="Z546">
        <v>0.499999999999999</v>
      </c>
      <c r="AA546">
        <v>113.398998018477</v>
      </c>
      <c r="AB546" s="9">
        <f t="shared" si="71"/>
        <v>-0.33415684512150073</v>
      </c>
      <c r="AC546" s="9">
        <f t="shared" si="72"/>
        <v>-0.33788992072145196</v>
      </c>
      <c r="AD546" s="2">
        <f t="shared" si="73"/>
        <v>1.1171626900516873E-2</v>
      </c>
      <c r="AE546" s="8">
        <f t="shared" si="74"/>
        <v>2.745793024866012E-4</v>
      </c>
      <c r="AF546" s="2">
        <f t="shared" si="75"/>
        <v>-1.2465936126597051E-3</v>
      </c>
      <c r="AG546" s="8">
        <f t="shared" si="76"/>
        <v>1.5211729151463063E-3</v>
      </c>
      <c r="AH546" s="7">
        <f t="shared" si="77"/>
        <v>-0.81949500957279919</v>
      </c>
      <c r="AI546">
        <f t="shared" si="78"/>
        <v>8</v>
      </c>
      <c r="AJ546" s="10">
        <f t="shared" si="79"/>
        <v>9.7355066569363602E-2</v>
      </c>
    </row>
    <row r="547" spans="1:36" hidden="1" x14ac:dyDescent="0.25">
      <c r="A547" t="b">
        <v>0</v>
      </c>
      <c r="B547">
        <v>1000</v>
      </c>
      <c r="C547">
        <v>9.7355066569363602E-2</v>
      </c>
      <c r="D547" t="s">
        <v>52</v>
      </c>
      <c r="E547" t="b">
        <v>1</v>
      </c>
      <c r="F547" t="s">
        <v>53</v>
      </c>
      <c r="G547">
        <v>7.4999999999999997E-2</v>
      </c>
      <c r="H547">
        <v>0.5</v>
      </c>
      <c r="I547">
        <v>1E-4</v>
      </c>
      <c r="J547" t="b">
        <v>1</v>
      </c>
      <c r="K547">
        <v>8</v>
      </c>
      <c r="L547">
        <v>1500</v>
      </c>
      <c r="M547">
        <v>0.1</v>
      </c>
      <c r="N547">
        <v>0.154</v>
      </c>
      <c r="O547" t="s">
        <v>299</v>
      </c>
      <c r="P547" t="s">
        <v>300</v>
      </c>
      <c r="Q547">
        <v>-3.6139422697022703E-4</v>
      </c>
      <c r="R547">
        <v>7.1185732631042099E-3</v>
      </c>
      <c r="S547">
        <v>1.85857284599273E-3</v>
      </c>
      <c r="T547">
        <v>-3.9755574850661397E-2</v>
      </c>
      <c r="U547">
        <v>7.9893220773464799</v>
      </c>
      <c r="V547" s="1">
        <v>9.9999999999999905E-15</v>
      </c>
      <c r="W547">
        <v>1.30658661542733</v>
      </c>
      <c r="X547">
        <v>2.4999999999999898</v>
      </c>
      <c r="Y547">
        <v>60.748406962336098</v>
      </c>
      <c r="Z547">
        <v>0.499999999999999</v>
      </c>
      <c r="AA547">
        <v>108.99950250023601</v>
      </c>
      <c r="AB547" s="9">
        <f t="shared" si="71"/>
        <v>-0.33422464897241599</v>
      </c>
      <c r="AC547" s="9">
        <f t="shared" si="72"/>
        <v>-0.33788992072145196</v>
      </c>
      <c r="AD547" s="2">
        <f t="shared" si="73"/>
        <v>1.096649143115247E-2</v>
      </c>
      <c r="AE547" s="8">
        <f t="shared" si="74"/>
        <v>2.9719351076886867E-4</v>
      </c>
      <c r="AF547" s="2">
        <f t="shared" si="75"/>
        <v>-1.2239794043774376E-3</v>
      </c>
      <c r="AG547" s="8">
        <f t="shared" si="76"/>
        <v>1.5211729151463063E-3</v>
      </c>
      <c r="AH547" s="7">
        <f t="shared" si="77"/>
        <v>-0.80462871261398672</v>
      </c>
      <c r="AI547">
        <f t="shared" si="78"/>
        <v>8</v>
      </c>
      <c r="AJ547" s="10">
        <f t="shared" si="79"/>
        <v>9.7355066569363602E-2</v>
      </c>
    </row>
    <row r="548" spans="1:36" hidden="1" x14ac:dyDescent="0.25">
      <c r="A548" t="b">
        <v>0</v>
      </c>
      <c r="B548">
        <v>1000</v>
      </c>
      <c r="C548">
        <v>9.7355066569363602E-2</v>
      </c>
      <c r="D548" t="s">
        <v>52</v>
      </c>
      <c r="E548" t="b">
        <v>1</v>
      </c>
      <c r="F548" t="s">
        <v>53</v>
      </c>
      <c r="G548">
        <v>7.4999999999999997E-2</v>
      </c>
      <c r="H548">
        <v>0.5</v>
      </c>
      <c r="I548">
        <v>1E-4</v>
      </c>
      <c r="J548" t="b">
        <v>1</v>
      </c>
      <c r="K548">
        <v>8</v>
      </c>
      <c r="L548">
        <v>1500</v>
      </c>
      <c r="M548">
        <v>0.1</v>
      </c>
      <c r="N548">
        <v>0.154</v>
      </c>
      <c r="O548" t="s">
        <v>299</v>
      </c>
      <c r="P548" t="s">
        <v>301</v>
      </c>
      <c r="Q548">
        <v>-3.0968478512342798E-4</v>
      </c>
      <c r="R548">
        <v>6.63743702575674E-3</v>
      </c>
      <c r="S548">
        <v>1.5924504383855499E-3</v>
      </c>
      <c r="T548">
        <v>-3.4057049500862503E-2</v>
      </c>
      <c r="U548">
        <v>7.9898572422647796</v>
      </c>
      <c r="V548" s="1">
        <v>9.9999999999999905E-15</v>
      </c>
      <c r="W548">
        <v>1.4447681820187199</v>
      </c>
      <c r="X548">
        <v>2.4999999999999898</v>
      </c>
      <c r="Y548">
        <v>65.338646189514606</v>
      </c>
      <c r="Z548">
        <v>0.499999999999999</v>
      </c>
      <c r="AA548">
        <v>118.861851008458</v>
      </c>
      <c r="AB548" s="9">
        <f t="shared" ref="AB548:AB611" si="80">T548/S548/K548^2</f>
        <v>-0.33416512415323241</v>
      </c>
      <c r="AC548" s="9">
        <f t="shared" ref="AC548:AC611" si="81">(1+10*C548/K548^2)/(-3-3*C548/K548^2)</f>
        <v>-0.33788992072145196</v>
      </c>
      <c r="AD548" s="2">
        <f t="shared" ref="AD548:AD611" si="82">(AC548/AB548-1)</f>
        <v>1.1146574848761137E-2</v>
      </c>
      <c r="AE548" s="8">
        <f t="shared" ref="AE548:AE611" si="83">-(1+3*AB548)/(10+3*AB548)</f>
        <v>2.7734050306116862E-4</v>
      </c>
      <c r="AF548" s="2">
        <f t="shared" ref="AF548:AF611" si="84">(AE548-C548/K548^2)</f>
        <v>-1.2438324120851376E-3</v>
      </c>
      <c r="AG548" s="8">
        <f t="shared" ref="AG548:AG611" si="85">C548/K548^2</f>
        <v>1.5211729151463063E-3</v>
      </c>
      <c r="AH548" s="7">
        <f t="shared" ref="AH548:AH611" si="86">AF548/AG548</f>
        <v>-0.81767983093855301</v>
      </c>
      <c r="AI548">
        <f t="shared" ref="AI548:AI611" si="87">K548</f>
        <v>8</v>
      </c>
      <c r="AJ548" s="10">
        <f t="shared" ref="AJ548:AJ611" si="88">C548</f>
        <v>9.7355066569363602E-2</v>
      </c>
    </row>
    <row r="549" spans="1:36" hidden="1" x14ac:dyDescent="0.25">
      <c r="A549" t="b">
        <v>0</v>
      </c>
      <c r="B549">
        <v>1000</v>
      </c>
      <c r="C549">
        <v>9.7355066569363602E-2</v>
      </c>
      <c r="D549" t="s">
        <v>52</v>
      </c>
      <c r="E549" t="b">
        <v>1</v>
      </c>
      <c r="F549" t="s">
        <v>53</v>
      </c>
      <c r="G549">
        <v>7.4999999999999997E-2</v>
      </c>
      <c r="H549">
        <v>0.5</v>
      </c>
      <c r="I549">
        <v>1E-4</v>
      </c>
      <c r="J549" t="b">
        <v>1</v>
      </c>
      <c r="K549">
        <v>8</v>
      </c>
      <c r="L549">
        <v>1500</v>
      </c>
      <c r="M549">
        <v>0.1</v>
      </c>
      <c r="N549">
        <v>0.154</v>
      </c>
      <c r="O549" t="s">
        <v>299</v>
      </c>
      <c r="P549" t="s">
        <v>302</v>
      </c>
      <c r="Q549">
        <v>-3.61394226970219E-4</v>
      </c>
      <c r="R549">
        <v>7.0472929092819598E-3</v>
      </c>
      <c r="S549">
        <v>1.8585728459927201E-3</v>
      </c>
      <c r="T549">
        <v>-3.9755574850661203E-2</v>
      </c>
      <c r="U549">
        <v>7.9893220773436804</v>
      </c>
      <c r="V549" s="1">
        <v>9.9999999999999905E-15</v>
      </c>
      <c r="W549">
        <v>1.2926319285062999</v>
      </c>
      <c r="X549">
        <v>2.4999999999999898</v>
      </c>
      <c r="Y549">
        <v>60.202850980303801</v>
      </c>
      <c r="Z549">
        <v>0.499999999999999</v>
      </c>
      <c r="AA549">
        <v>107.890158821139</v>
      </c>
      <c r="AB549" s="9">
        <f t="shared" si="80"/>
        <v>-0.33422464897241616</v>
      </c>
      <c r="AC549" s="9">
        <f t="shared" si="81"/>
        <v>-0.33788992072145196</v>
      </c>
      <c r="AD549" s="2">
        <f t="shared" si="82"/>
        <v>1.0966491431152026E-2</v>
      </c>
      <c r="AE549" s="8">
        <f t="shared" si="83"/>
        <v>2.9719351076894272E-4</v>
      </c>
      <c r="AF549" s="2">
        <f t="shared" si="84"/>
        <v>-1.2239794043773637E-3</v>
      </c>
      <c r="AG549" s="8">
        <f t="shared" si="85"/>
        <v>1.5211729151463063E-3</v>
      </c>
      <c r="AH549" s="7">
        <f t="shared" si="86"/>
        <v>-0.80462871261393809</v>
      </c>
      <c r="AI549">
        <f t="shared" si="87"/>
        <v>8</v>
      </c>
      <c r="AJ549" s="10">
        <f t="shared" si="88"/>
        <v>9.7355066569363602E-2</v>
      </c>
    </row>
    <row r="550" spans="1:36" hidden="1" x14ac:dyDescent="0.25">
      <c r="A550" t="b">
        <v>0</v>
      </c>
      <c r="B550">
        <v>1000</v>
      </c>
      <c r="C550">
        <v>9.7355066569363602E-2</v>
      </c>
      <c r="D550" t="s">
        <v>52</v>
      </c>
      <c r="E550" t="b">
        <v>1</v>
      </c>
      <c r="F550" t="s">
        <v>53</v>
      </c>
      <c r="G550">
        <v>7.4999999999999997E-2</v>
      </c>
      <c r="H550">
        <v>0.5</v>
      </c>
      <c r="I550">
        <v>1E-4</v>
      </c>
      <c r="J550" t="b">
        <v>1</v>
      </c>
      <c r="K550">
        <v>8</v>
      </c>
      <c r="L550">
        <v>1500</v>
      </c>
      <c r="M550">
        <v>0.1</v>
      </c>
      <c r="N550">
        <v>0.154</v>
      </c>
      <c r="O550" t="s">
        <v>299</v>
      </c>
      <c r="P550" t="s">
        <v>303</v>
      </c>
      <c r="Q550">
        <v>-7.2291563268055603E-4</v>
      </c>
      <c r="R550">
        <v>1.4103370215279401E-2</v>
      </c>
      <c r="S550">
        <v>3.71693745015692E-3</v>
      </c>
      <c r="T550">
        <v>-7.9479431450505303E-2</v>
      </c>
      <c r="U550">
        <v>7.9855895009718196</v>
      </c>
      <c r="V550" s="1">
        <v>9.9999999999999795E-15</v>
      </c>
      <c r="W550">
        <v>1.3092875748544599</v>
      </c>
      <c r="X550">
        <v>2.4999999999999898</v>
      </c>
      <c r="Y550">
        <v>59.9766828292844</v>
      </c>
      <c r="Z550">
        <v>0.499999999999999</v>
      </c>
      <c r="AA550">
        <v>108.045119289531</v>
      </c>
      <c r="AB550" s="9">
        <f t="shared" si="80"/>
        <v>-0.33411003899506481</v>
      </c>
      <c r="AC550" s="9">
        <f t="shared" si="81"/>
        <v>-0.33788992072145196</v>
      </c>
      <c r="AD550" s="2">
        <f t="shared" si="82"/>
        <v>1.1313283904178073E-2</v>
      </c>
      <c r="AE550" s="8">
        <f t="shared" si="83"/>
        <v>2.5896893478977276E-4</v>
      </c>
      <c r="AF550" s="2">
        <f t="shared" si="84"/>
        <v>-1.2622039803565335E-3</v>
      </c>
      <c r="AG550" s="8">
        <f t="shared" si="85"/>
        <v>1.5211729151463063E-3</v>
      </c>
      <c r="AH550" s="7">
        <f t="shared" si="86"/>
        <v>-0.82975706955388095</v>
      </c>
      <c r="AI550">
        <f t="shared" si="87"/>
        <v>8</v>
      </c>
      <c r="AJ550" s="10">
        <f t="shared" si="88"/>
        <v>9.7355066569363602E-2</v>
      </c>
    </row>
    <row r="551" spans="1:36" hidden="1" x14ac:dyDescent="0.25">
      <c r="A551" t="b">
        <v>0</v>
      </c>
      <c r="B551">
        <v>1000</v>
      </c>
      <c r="C551">
        <v>9.7355066569363602E-2</v>
      </c>
      <c r="D551" t="s">
        <v>52</v>
      </c>
      <c r="E551" t="b">
        <v>1</v>
      </c>
      <c r="F551" t="s">
        <v>53</v>
      </c>
      <c r="G551">
        <v>7.4999999999999997E-2</v>
      </c>
      <c r="H551">
        <v>0.5</v>
      </c>
      <c r="I551">
        <v>1E-4</v>
      </c>
      <c r="J551" t="b">
        <v>1</v>
      </c>
      <c r="K551">
        <v>8</v>
      </c>
      <c r="L551">
        <v>1500</v>
      </c>
      <c r="M551">
        <v>0.1</v>
      </c>
      <c r="N551">
        <v>0.154</v>
      </c>
      <c r="O551" t="s">
        <v>300</v>
      </c>
      <c r="P551" t="s">
        <v>303</v>
      </c>
      <c r="Q551">
        <v>-3.6152140571187101E-4</v>
      </c>
      <c r="R551">
        <v>7.1484079877824E-3</v>
      </c>
      <c r="S551">
        <v>1.85836460416419E-3</v>
      </c>
      <c r="T551">
        <v>-3.9723856599844301E-2</v>
      </c>
      <c r="U551">
        <v>7.9818574344896396</v>
      </c>
      <c r="V551" s="1">
        <v>9.9999999999999905E-15</v>
      </c>
      <c r="W551">
        <v>1.32252273619976</v>
      </c>
      <c r="X551">
        <v>2.4999999999999898</v>
      </c>
      <c r="Y551">
        <v>60.7959720153493</v>
      </c>
      <c r="Z551">
        <v>0.499999999999999</v>
      </c>
      <c r="AA551">
        <v>109.49255262646599</v>
      </c>
      <c r="AB551" s="9">
        <f t="shared" si="80"/>
        <v>-0.33399541617492434</v>
      </c>
      <c r="AC551" s="9">
        <f t="shared" si="81"/>
        <v>-0.33788992072145196</v>
      </c>
      <c r="AD551" s="2">
        <f t="shared" si="82"/>
        <v>1.1660353280082081E-2</v>
      </c>
      <c r="AE551" s="8">
        <f t="shared" si="83"/>
        <v>2.2074299724729587E-4</v>
      </c>
      <c r="AF551" s="2">
        <f t="shared" si="84"/>
        <v>-1.3004299178990104E-3</v>
      </c>
      <c r="AG551" s="8">
        <f t="shared" si="85"/>
        <v>1.5211729151463063E-3</v>
      </c>
      <c r="AH551" s="7">
        <f t="shared" si="86"/>
        <v>-0.85488632156846889</v>
      </c>
      <c r="AI551">
        <f t="shared" si="87"/>
        <v>8</v>
      </c>
      <c r="AJ551" s="10">
        <f t="shared" si="88"/>
        <v>9.7355066569363602E-2</v>
      </c>
    </row>
    <row r="552" spans="1:36" hidden="1" x14ac:dyDescent="0.25">
      <c r="A552" t="b">
        <v>0</v>
      </c>
      <c r="B552">
        <v>1000</v>
      </c>
      <c r="C552">
        <v>9.7355066569363602E-2</v>
      </c>
      <c r="D552" t="s">
        <v>52</v>
      </c>
      <c r="E552" t="b">
        <v>1</v>
      </c>
      <c r="F552" t="s">
        <v>53</v>
      </c>
      <c r="G552">
        <v>7.4999999999999997E-2</v>
      </c>
      <c r="H552">
        <v>0.5</v>
      </c>
      <c r="I552">
        <v>1E-4</v>
      </c>
      <c r="J552" t="b">
        <v>1</v>
      </c>
      <c r="K552">
        <v>8</v>
      </c>
      <c r="L552">
        <v>1500</v>
      </c>
      <c r="M552">
        <v>0.1</v>
      </c>
      <c r="N552">
        <v>0.154</v>
      </c>
      <c r="O552" t="s">
        <v>301</v>
      </c>
      <c r="P552" t="s">
        <v>302</v>
      </c>
      <c r="Q552" s="1">
        <v>-5.1709441775987397E-5</v>
      </c>
      <c r="R552">
        <v>1.0696425814139599E-3</v>
      </c>
      <c r="S552">
        <v>2.6612240760717001E-4</v>
      </c>
      <c r="T552">
        <v>-5.6985253497985602E-3</v>
      </c>
      <c r="U552">
        <v>7.9861251757798097</v>
      </c>
      <c r="V552" s="1">
        <v>9.9999999956344706E-15</v>
      </c>
      <c r="W552">
        <v>1.3845843950048899</v>
      </c>
      <c r="X552">
        <v>2.4999999999992202</v>
      </c>
      <c r="Y552">
        <v>63.3862098032291</v>
      </c>
      <c r="Z552">
        <v>0.49999999999959699</v>
      </c>
      <c r="AA552">
        <v>114.60334228972999</v>
      </c>
      <c r="AB552" s="9">
        <f t="shared" si="80"/>
        <v>-0.33458083966396357</v>
      </c>
      <c r="AC552" s="9">
        <f t="shared" si="81"/>
        <v>-0.33788992072145196</v>
      </c>
      <c r="AD552" s="2">
        <f t="shared" si="82"/>
        <v>9.8902288033344554E-3</v>
      </c>
      <c r="AE552" s="8">
        <f t="shared" si="83"/>
        <v>4.1600843459532982E-4</v>
      </c>
      <c r="AF552" s="2">
        <f t="shared" si="84"/>
        <v>-1.1051644805509765E-3</v>
      </c>
      <c r="AG552" s="8">
        <f t="shared" si="85"/>
        <v>1.5211729151463063E-3</v>
      </c>
      <c r="AH552" s="7">
        <f t="shared" si="86"/>
        <v>-0.72652127154438706</v>
      </c>
      <c r="AI552">
        <f t="shared" si="87"/>
        <v>8</v>
      </c>
      <c r="AJ552" s="10">
        <f t="shared" si="88"/>
        <v>9.7355066569363602E-2</v>
      </c>
    </row>
    <row r="553" spans="1:36" hidden="1" x14ac:dyDescent="0.25">
      <c r="A553" t="b">
        <v>0</v>
      </c>
      <c r="B553">
        <v>1000</v>
      </c>
      <c r="C553">
        <v>9.7355066569363602E-2</v>
      </c>
      <c r="D553" t="s">
        <v>52</v>
      </c>
      <c r="E553" t="b">
        <v>1</v>
      </c>
      <c r="F553" t="s">
        <v>53</v>
      </c>
      <c r="G553">
        <v>7.4999999999999997E-2</v>
      </c>
      <c r="H553">
        <v>0.5</v>
      </c>
      <c r="I553">
        <v>1E-4</v>
      </c>
      <c r="J553" t="b">
        <v>1</v>
      </c>
      <c r="K553">
        <v>8</v>
      </c>
      <c r="L553">
        <v>1500</v>
      </c>
      <c r="M553">
        <v>0.1</v>
      </c>
      <c r="N553">
        <v>0.154</v>
      </c>
      <c r="O553" t="s">
        <v>301</v>
      </c>
      <c r="P553" t="s">
        <v>303</v>
      </c>
      <c r="Q553">
        <v>-4.1323084755863802E-4</v>
      </c>
      <c r="R553">
        <v>8.7535354867983393E-3</v>
      </c>
      <c r="S553">
        <v>2.1244870117713699E-3</v>
      </c>
      <c r="T553">
        <v>-4.5422381949642897E-2</v>
      </c>
      <c r="U553">
        <v>7.9823925994079401</v>
      </c>
      <c r="V553" s="1">
        <v>9.9999999999999905E-15</v>
      </c>
      <c r="W553">
        <v>1.4143067613704401</v>
      </c>
      <c r="X553">
        <v>2.4999999999999898</v>
      </c>
      <c r="Y553">
        <v>64.838029747836899</v>
      </c>
      <c r="Z553">
        <v>0.499999999999999</v>
      </c>
      <c r="AA553">
        <v>117.374480960128</v>
      </c>
      <c r="AB553" s="9">
        <f t="shared" si="80"/>
        <v>-0.33406874884653259</v>
      </c>
      <c r="AC553" s="9">
        <f t="shared" si="81"/>
        <v>-0.33788992072145196</v>
      </c>
      <c r="AD553" s="2">
        <f t="shared" si="82"/>
        <v>1.1438279959179232E-2</v>
      </c>
      <c r="AE553" s="8">
        <f t="shared" si="83"/>
        <v>2.4519861202078477E-4</v>
      </c>
      <c r="AF553" s="2">
        <f t="shared" si="84"/>
        <v>-1.2759743031255215E-3</v>
      </c>
      <c r="AG553" s="8">
        <f t="shared" si="85"/>
        <v>1.5211729151463063E-3</v>
      </c>
      <c r="AH553" s="7">
        <f t="shared" si="86"/>
        <v>-0.83880950707224389</v>
      </c>
      <c r="AI553">
        <f t="shared" si="87"/>
        <v>8</v>
      </c>
      <c r="AJ553" s="10">
        <f t="shared" si="88"/>
        <v>9.7355066569363602E-2</v>
      </c>
    </row>
    <row r="554" spans="1:36" hidden="1" x14ac:dyDescent="0.25">
      <c r="A554" t="b">
        <v>0</v>
      </c>
      <c r="B554">
        <v>1000</v>
      </c>
      <c r="C554">
        <v>9.7355066569363602E-2</v>
      </c>
      <c r="D554" t="s">
        <v>52</v>
      </c>
      <c r="E554" t="b">
        <v>1</v>
      </c>
      <c r="F554" t="s">
        <v>53</v>
      </c>
      <c r="G554">
        <v>7.4999999999999997E-2</v>
      </c>
      <c r="H554">
        <v>0.5</v>
      </c>
      <c r="I554">
        <v>1E-4</v>
      </c>
      <c r="J554" t="b">
        <v>1</v>
      </c>
      <c r="K554">
        <v>8</v>
      </c>
      <c r="L554">
        <v>1500</v>
      </c>
      <c r="M554">
        <v>0.1</v>
      </c>
      <c r="N554">
        <v>0.154</v>
      </c>
      <c r="O554" t="s">
        <v>302</v>
      </c>
      <c r="P554" t="s">
        <v>303</v>
      </c>
      <c r="Q554">
        <v>-3.6152140571187502E-4</v>
      </c>
      <c r="R554">
        <v>7.0357934093543302E-3</v>
      </c>
      <c r="S554">
        <v>1.8583646041641999E-3</v>
      </c>
      <c r="T554">
        <v>-3.9723856599844398E-2</v>
      </c>
      <c r="U554">
        <v>7.9818574344868498</v>
      </c>
      <c r="V554" s="1">
        <v>9.9999999999999905E-15</v>
      </c>
      <c r="W554">
        <v>1.3097309836158999</v>
      </c>
      <c r="X554">
        <v>2.4999999999999898</v>
      </c>
      <c r="Y554">
        <v>59.7961104370264</v>
      </c>
      <c r="Z554">
        <v>0.499999999999999</v>
      </c>
      <c r="AA554">
        <v>107.797183264043</v>
      </c>
      <c r="AB554" s="9">
        <f t="shared" si="80"/>
        <v>-0.3339954161749234</v>
      </c>
      <c r="AC554" s="9">
        <f t="shared" si="81"/>
        <v>-0.33788992072145196</v>
      </c>
      <c r="AD554" s="2">
        <f t="shared" si="82"/>
        <v>1.1660353280084745E-2</v>
      </c>
      <c r="AE554" s="8">
        <f t="shared" si="83"/>
        <v>2.20742997246975E-4</v>
      </c>
      <c r="AF554" s="2">
        <f t="shared" si="84"/>
        <v>-1.3004299178993313E-3</v>
      </c>
      <c r="AG554" s="8">
        <f t="shared" si="85"/>
        <v>1.5211729151463063E-3</v>
      </c>
      <c r="AH554" s="7">
        <f t="shared" si="86"/>
        <v>-0.85488632156867983</v>
      </c>
      <c r="AI554">
        <f t="shared" si="87"/>
        <v>8</v>
      </c>
      <c r="AJ554" s="10">
        <f t="shared" si="88"/>
        <v>9.7355066569363602E-2</v>
      </c>
    </row>
    <row r="555" spans="1:36" hidden="1" x14ac:dyDescent="0.25">
      <c r="A555" t="b">
        <v>0</v>
      </c>
      <c r="B555">
        <v>1000</v>
      </c>
      <c r="C555">
        <v>9.7355066569367196E-2</v>
      </c>
      <c r="D555" t="s">
        <v>52</v>
      </c>
      <c r="E555" t="b">
        <v>1</v>
      </c>
      <c r="F555" t="s">
        <v>53</v>
      </c>
      <c r="G555">
        <v>7.4999999999999997E-2</v>
      </c>
      <c r="H555">
        <v>0.5</v>
      </c>
      <c r="I555">
        <v>1E-4</v>
      </c>
      <c r="J555" t="b">
        <v>1</v>
      </c>
      <c r="K555">
        <v>4</v>
      </c>
      <c r="L555">
        <v>1500</v>
      </c>
      <c r="M555">
        <v>0.1</v>
      </c>
      <c r="N555">
        <v>0.154</v>
      </c>
      <c r="O555" t="s">
        <v>304</v>
      </c>
      <c r="P555" t="s">
        <v>305</v>
      </c>
      <c r="Q555" s="1">
        <v>-1.9528179137870401E-5</v>
      </c>
      <c r="R555" s="1">
        <v>4.0824069671028401E-5</v>
      </c>
      <c r="S555" s="1">
        <v>6.6941024444049698E-5</v>
      </c>
      <c r="T555">
        <v>-3.7303853937707698E-4</v>
      </c>
      <c r="U555">
        <v>4.00690183191805</v>
      </c>
      <c r="V555" s="1">
        <v>9.9999999999999905E-15</v>
      </c>
      <c r="W555">
        <v>0.1389618716255</v>
      </c>
      <c r="X555">
        <v>2.4999999999999898</v>
      </c>
      <c r="Y555">
        <v>6.4107386237173403</v>
      </c>
      <c r="Z555">
        <v>0.49999999995394201</v>
      </c>
      <c r="AA555">
        <v>11.578721731388599</v>
      </c>
      <c r="AB555" s="9">
        <f t="shared" si="80"/>
        <v>-0.34829028842476495</v>
      </c>
      <c r="AC555" s="9">
        <f t="shared" si="81"/>
        <v>-0.35147700963917916</v>
      </c>
      <c r="AD555" s="2">
        <f t="shared" si="82"/>
        <v>9.1496126085715002E-3</v>
      </c>
      <c r="AE555" s="8">
        <f t="shared" si="83"/>
        <v>5.0106329679040678E-3</v>
      </c>
      <c r="AF555" s="2">
        <f t="shared" si="84"/>
        <v>-1.074058692681382E-3</v>
      </c>
      <c r="AG555" s="8">
        <f t="shared" si="85"/>
        <v>6.0846916605854498E-3</v>
      </c>
      <c r="AH555" s="7">
        <f t="shared" si="86"/>
        <v>-0.17651817916078913</v>
      </c>
      <c r="AI555">
        <f t="shared" si="87"/>
        <v>4</v>
      </c>
      <c r="AJ555" s="10">
        <f t="shared" si="88"/>
        <v>9.7355066569367196E-2</v>
      </c>
    </row>
    <row r="556" spans="1:36" hidden="1" x14ac:dyDescent="0.25">
      <c r="A556" t="b">
        <v>0</v>
      </c>
      <c r="B556">
        <v>1000</v>
      </c>
      <c r="C556">
        <v>9.7355066569367196E-2</v>
      </c>
      <c r="D556" t="s">
        <v>52</v>
      </c>
      <c r="E556" t="b">
        <v>1</v>
      </c>
      <c r="F556" t="s">
        <v>53</v>
      </c>
      <c r="G556">
        <v>7.4999999999999997E-2</v>
      </c>
      <c r="H556">
        <v>0.5</v>
      </c>
      <c r="I556">
        <v>1E-4</v>
      </c>
      <c r="J556" t="b">
        <v>1</v>
      </c>
      <c r="K556">
        <v>4</v>
      </c>
      <c r="L556">
        <v>1500</v>
      </c>
      <c r="M556">
        <v>0.1</v>
      </c>
      <c r="N556">
        <v>0.154</v>
      </c>
      <c r="O556" t="s">
        <v>304</v>
      </c>
      <c r="P556" t="s">
        <v>306</v>
      </c>
      <c r="Q556">
        <v>-1.56111604682776E-4</v>
      </c>
      <c r="R556">
        <v>3.2607799028799898E-4</v>
      </c>
      <c r="S556">
        <v>5.3510780450952903E-4</v>
      </c>
      <c r="T556">
        <v>-2.9805331860184199E-3</v>
      </c>
      <c r="U556">
        <v>4.00641370083149</v>
      </c>
      <c r="V556" s="1">
        <v>9.9999999999997002E-15</v>
      </c>
      <c r="W556">
        <v>0.14171919964393101</v>
      </c>
      <c r="X556">
        <v>2.4999999999999898</v>
      </c>
      <c r="Y556">
        <v>6.3612613501622404</v>
      </c>
      <c r="Z556">
        <v>0.49999999966022601</v>
      </c>
      <c r="AA556">
        <v>11.587178755217799</v>
      </c>
      <c r="AB556" s="9">
        <f t="shared" si="80"/>
        <v>-0.34812298111946893</v>
      </c>
      <c r="AC556" s="9">
        <f t="shared" si="81"/>
        <v>-0.35147700963917916</v>
      </c>
      <c r="AD556" s="2">
        <f t="shared" si="82"/>
        <v>9.6346081747449297E-3</v>
      </c>
      <c r="AE556" s="8">
        <f t="shared" si="83"/>
        <v>4.9543067459777079E-3</v>
      </c>
      <c r="AF556" s="2">
        <f t="shared" si="84"/>
        <v>-1.1303849146077419E-3</v>
      </c>
      <c r="AG556" s="8">
        <f t="shared" si="85"/>
        <v>6.0846916605854498E-3</v>
      </c>
      <c r="AH556" s="7">
        <f t="shared" si="86"/>
        <v>-0.18577521716178133</v>
      </c>
      <c r="AI556">
        <f t="shared" si="87"/>
        <v>4</v>
      </c>
      <c r="AJ556" s="10">
        <f t="shared" si="88"/>
        <v>9.7355066569367196E-2</v>
      </c>
    </row>
    <row r="557" spans="1:36" hidden="1" x14ac:dyDescent="0.25">
      <c r="A557" t="b">
        <v>0</v>
      </c>
      <c r="B557">
        <v>1000</v>
      </c>
      <c r="C557">
        <v>9.7355066569367196E-2</v>
      </c>
      <c r="D557" t="s">
        <v>52</v>
      </c>
      <c r="E557" t="b">
        <v>1</v>
      </c>
      <c r="F557" t="s">
        <v>53</v>
      </c>
      <c r="G557">
        <v>7.4999999999999997E-2</v>
      </c>
      <c r="H557">
        <v>0.5</v>
      </c>
      <c r="I557">
        <v>1E-4</v>
      </c>
      <c r="J557" t="b">
        <v>1</v>
      </c>
      <c r="K557">
        <v>4</v>
      </c>
      <c r="L557">
        <v>1500</v>
      </c>
      <c r="M557">
        <v>0.1</v>
      </c>
      <c r="N557">
        <v>0.154</v>
      </c>
      <c r="O557" t="s">
        <v>304</v>
      </c>
      <c r="P557" t="s">
        <v>307</v>
      </c>
      <c r="Q557" s="1">
        <v>-1.95281791378681E-5</v>
      </c>
      <c r="R557" s="1">
        <v>4.1288305103401197E-5</v>
      </c>
      <c r="S557" s="1">
        <v>6.6941024444053601E-5</v>
      </c>
      <c r="T557">
        <v>-3.7303853937731599E-4</v>
      </c>
      <c r="U557">
        <v>4.0069018319121099</v>
      </c>
      <c r="V557" s="1">
        <v>9.9999999999999905E-15</v>
      </c>
      <c r="W557">
        <v>0.13976736637648199</v>
      </c>
      <c r="X557">
        <v>2.4999999999999898</v>
      </c>
      <c r="Y557">
        <v>6.48989935484519</v>
      </c>
      <c r="Z557">
        <v>0.49999999995393402</v>
      </c>
      <c r="AA557">
        <v>11.7072116146122</v>
      </c>
      <c r="AB557" s="9">
        <f t="shared" si="80"/>
        <v>-0.34829028842496784</v>
      </c>
      <c r="AC557" s="9">
        <f t="shared" si="81"/>
        <v>-0.35147700963917916</v>
      </c>
      <c r="AD557" s="2">
        <f t="shared" si="82"/>
        <v>9.149612607983526E-3</v>
      </c>
      <c r="AE557" s="8">
        <f t="shared" si="83"/>
        <v>5.0106329679723725E-3</v>
      </c>
      <c r="AF557" s="2">
        <f t="shared" si="84"/>
        <v>-1.0740586926130773E-3</v>
      </c>
      <c r="AG557" s="8">
        <f t="shared" si="85"/>
        <v>6.0846916605854498E-3</v>
      </c>
      <c r="AH557" s="7">
        <f t="shared" si="86"/>
        <v>-0.17651817914956347</v>
      </c>
      <c r="AI557">
        <f t="shared" si="87"/>
        <v>4</v>
      </c>
      <c r="AJ557" s="10">
        <f t="shared" si="88"/>
        <v>9.7355066569367196E-2</v>
      </c>
    </row>
    <row r="558" spans="1:36" hidden="1" x14ac:dyDescent="0.25">
      <c r="A558" t="b">
        <v>0</v>
      </c>
      <c r="B558">
        <v>1000</v>
      </c>
      <c r="C558">
        <v>9.7355066569367196E-2</v>
      </c>
      <c r="D558" t="s">
        <v>52</v>
      </c>
      <c r="E558" t="b">
        <v>1</v>
      </c>
      <c r="F558" t="s">
        <v>53</v>
      </c>
      <c r="G558">
        <v>7.4999999999999997E-2</v>
      </c>
      <c r="H558">
        <v>0.5</v>
      </c>
      <c r="I558">
        <v>1E-4</v>
      </c>
      <c r="J558" t="b">
        <v>1</v>
      </c>
      <c r="K558">
        <v>4</v>
      </c>
      <c r="L558">
        <v>1500</v>
      </c>
      <c r="M558">
        <v>0.1</v>
      </c>
      <c r="N558">
        <v>0.154</v>
      </c>
      <c r="O558" t="s">
        <v>304</v>
      </c>
      <c r="P558" t="s">
        <v>308</v>
      </c>
      <c r="Q558" s="1">
        <v>-3.9056347087813297E-5</v>
      </c>
      <c r="R558" s="1">
        <v>8.2215975667441205E-5</v>
      </c>
      <c r="S558">
        <v>1.3388192549821599E-4</v>
      </c>
      <c r="T558">
        <v>-7.4607235481193696E-4</v>
      </c>
      <c r="U558">
        <v>4.0068320061206002</v>
      </c>
      <c r="V558" s="1">
        <v>9.9999999999999306E-15</v>
      </c>
      <c r="W558">
        <v>0.14147504161321101</v>
      </c>
      <c r="X558">
        <v>2.4999999999999898</v>
      </c>
      <c r="Y558">
        <v>6.4273390663365504</v>
      </c>
      <c r="Z558">
        <v>0.49999999984486698</v>
      </c>
      <c r="AA558">
        <v>11.670597893179901</v>
      </c>
      <c r="AB558" s="9">
        <f t="shared" si="80"/>
        <v>-0.34828840414584128</v>
      </c>
      <c r="AC558" s="9">
        <f t="shared" si="81"/>
        <v>-0.35147700963917916</v>
      </c>
      <c r="AD558" s="2">
        <f t="shared" si="82"/>
        <v>9.1550722199831291E-3</v>
      </c>
      <c r="AE558" s="8">
        <f t="shared" si="83"/>
        <v>5.0099985652740479E-3</v>
      </c>
      <c r="AF558" s="2">
        <f t="shared" si="84"/>
        <v>-1.0746930953114018E-3</v>
      </c>
      <c r="AG558" s="8">
        <f t="shared" si="85"/>
        <v>6.0846916605854498E-3</v>
      </c>
      <c r="AH558" s="7">
        <f t="shared" si="86"/>
        <v>-0.17662244124429441</v>
      </c>
      <c r="AI558">
        <f t="shared" si="87"/>
        <v>4</v>
      </c>
      <c r="AJ558" s="10">
        <f t="shared" si="88"/>
        <v>9.7355066569367196E-2</v>
      </c>
    </row>
    <row r="559" spans="1:36" hidden="1" x14ac:dyDescent="0.25">
      <c r="A559" t="b">
        <v>0</v>
      </c>
      <c r="B559">
        <v>1000</v>
      </c>
      <c r="C559">
        <v>9.7355066569367196E-2</v>
      </c>
      <c r="D559" t="s">
        <v>52</v>
      </c>
      <c r="E559" t="b">
        <v>1</v>
      </c>
      <c r="F559" t="s">
        <v>53</v>
      </c>
      <c r="G559">
        <v>7.4999999999999997E-2</v>
      </c>
      <c r="H559">
        <v>0.5</v>
      </c>
      <c r="I559">
        <v>1E-4</v>
      </c>
      <c r="J559" t="b">
        <v>1</v>
      </c>
      <c r="K559">
        <v>4</v>
      </c>
      <c r="L559">
        <v>1500</v>
      </c>
      <c r="M559">
        <v>0.1</v>
      </c>
      <c r="N559">
        <v>0.154</v>
      </c>
      <c r="O559" t="s">
        <v>304</v>
      </c>
      <c r="P559" t="s">
        <v>309</v>
      </c>
      <c r="Q559">
        <v>-1.75639694499738E-4</v>
      </c>
      <c r="R559">
        <v>3.3993499051520698E-4</v>
      </c>
      <c r="S559">
        <v>6.0204784307146396E-4</v>
      </c>
      <c r="T559">
        <v>-3.3535339859066802E-3</v>
      </c>
      <c r="U559">
        <v>4.0063438641878797</v>
      </c>
      <c r="V559" s="1">
        <v>9.9999999999996908E-15</v>
      </c>
      <c r="W559">
        <v>0.12788090602391999</v>
      </c>
      <c r="X559">
        <v>2.4999999999999898</v>
      </c>
      <c r="Y559">
        <v>5.9801007982565402</v>
      </c>
      <c r="Z559">
        <v>0.499999999655658</v>
      </c>
      <c r="AA559">
        <v>10.7054887708073</v>
      </c>
      <c r="AB559" s="9">
        <f t="shared" si="80"/>
        <v>-0.34813823607418554</v>
      </c>
      <c r="AC559" s="9">
        <f t="shared" si="81"/>
        <v>-0.35147700963917916</v>
      </c>
      <c r="AD559" s="2">
        <f t="shared" si="82"/>
        <v>9.5903673283452839E-3</v>
      </c>
      <c r="AE559" s="8">
        <f t="shared" si="83"/>
        <v>4.9594422670884326E-3</v>
      </c>
      <c r="AF559" s="2">
        <f t="shared" si="84"/>
        <v>-1.1252493934970171E-3</v>
      </c>
      <c r="AG559" s="8">
        <f t="shared" si="85"/>
        <v>6.0846916605854498E-3</v>
      </c>
      <c r="AH559" s="7">
        <f t="shared" si="86"/>
        <v>-0.18493121036617149</v>
      </c>
      <c r="AI559">
        <f t="shared" si="87"/>
        <v>4</v>
      </c>
      <c r="AJ559" s="10">
        <f t="shared" si="88"/>
        <v>9.7355066569367196E-2</v>
      </c>
    </row>
    <row r="560" spans="1:36" hidden="1" x14ac:dyDescent="0.25">
      <c r="A560" t="b">
        <v>0</v>
      </c>
      <c r="B560">
        <v>1000</v>
      </c>
      <c r="C560">
        <v>9.7355066569367196E-2</v>
      </c>
      <c r="D560" t="s">
        <v>52</v>
      </c>
      <c r="E560" t="b">
        <v>1</v>
      </c>
      <c r="F560" t="s">
        <v>53</v>
      </c>
      <c r="G560">
        <v>7.4999999999999997E-2</v>
      </c>
      <c r="H560">
        <v>0.5</v>
      </c>
      <c r="I560">
        <v>1E-4</v>
      </c>
      <c r="J560" t="b">
        <v>1</v>
      </c>
      <c r="K560">
        <v>4</v>
      </c>
      <c r="L560">
        <v>1500</v>
      </c>
      <c r="M560">
        <v>0.1</v>
      </c>
      <c r="N560">
        <v>0.154</v>
      </c>
      <c r="O560" t="s">
        <v>304</v>
      </c>
      <c r="P560" t="s">
        <v>310</v>
      </c>
      <c r="Q560">
        <v>-1.56111604682777E-4</v>
      </c>
      <c r="R560">
        <v>3.2930692812257702E-4</v>
      </c>
      <c r="S560">
        <v>5.3510780450953803E-4</v>
      </c>
      <c r="T560">
        <v>-2.98053318601871E-3</v>
      </c>
      <c r="U560">
        <v>4.0064137008335896</v>
      </c>
      <c r="V560" s="1">
        <v>9.9999999999997002E-15</v>
      </c>
      <c r="W560">
        <v>0.13980787575707099</v>
      </c>
      <c r="X560">
        <v>2.4999999999999898</v>
      </c>
      <c r="Y560">
        <v>6.4704447434674801</v>
      </c>
      <c r="Z560">
        <v>0.49999999966022501</v>
      </c>
      <c r="AA560">
        <v>11.6822090635691</v>
      </c>
      <c r="AB560" s="9">
        <f t="shared" si="80"/>
        <v>-0.34812298111949697</v>
      </c>
      <c r="AC560" s="9">
        <f t="shared" si="81"/>
        <v>-0.35147700963917916</v>
      </c>
      <c r="AD560" s="2">
        <f t="shared" si="82"/>
        <v>9.6346081746636614E-3</v>
      </c>
      <c r="AE560" s="8">
        <f t="shared" si="83"/>
        <v>4.9543067459871257E-3</v>
      </c>
      <c r="AF560" s="2">
        <f t="shared" si="84"/>
        <v>-1.1303849145983241E-3</v>
      </c>
      <c r="AG560" s="8">
        <f t="shared" si="85"/>
        <v>6.0846916605854498E-3</v>
      </c>
      <c r="AH560" s="7">
        <f t="shared" si="86"/>
        <v>-0.18577521716023357</v>
      </c>
      <c r="AI560">
        <f t="shared" si="87"/>
        <v>4</v>
      </c>
      <c r="AJ560" s="10">
        <f t="shared" si="88"/>
        <v>9.7355066569367196E-2</v>
      </c>
    </row>
    <row r="561" spans="1:36" hidden="1" x14ac:dyDescent="0.25">
      <c r="A561" t="b">
        <v>0</v>
      </c>
      <c r="B561">
        <v>1000</v>
      </c>
      <c r="C561">
        <v>9.7355066569367196E-2</v>
      </c>
      <c r="D561" t="s">
        <v>52</v>
      </c>
      <c r="E561" t="b">
        <v>1</v>
      </c>
      <c r="F561" t="s">
        <v>53</v>
      </c>
      <c r="G561">
        <v>7.4999999999999997E-2</v>
      </c>
      <c r="H561">
        <v>0.5</v>
      </c>
      <c r="I561">
        <v>1E-4</v>
      </c>
      <c r="J561" t="b">
        <v>1</v>
      </c>
      <c r="K561">
        <v>4</v>
      </c>
      <c r="L561">
        <v>1500</v>
      </c>
      <c r="M561">
        <v>0.1</v>
      </c>
      <c r="N561">
        <v>0.154</v>
      </c>
      <c r="O561" t="s">
        <v>304</v>
      </c>
      <c r="P561" t="s">
        <v>311</v>
      </c>
      <c r="Q561">
        <v>-1.7563969449975201E-4</v>
      </c>
      <c r="R561">
        <v>3.46723009438814E-4</v>
      </c>
      <c r="S561">
        <v>6.0204784307146299E-4</v>
      </c>
      <c r="T561">
        <v>-3.3535339859066598E-3</v>
      </c>
      <c r="U561">
        <v>4.0063438641935996</v>
      </c>
      <c r="V561" s="1">
        <v>9.9999999999996908E-15</v>
      </c>
      <c r="W561">
        <v>0.13165346653500001</v>
      </c>
      <c r="X561">
        <v>2.4999999999999898</v>
      </c>
      <c r="Y561">
        <v>6.0723027562716601</v>
      </c>
      <c r="Z561">
        <v>0.49999999965565001</v>
      </c>
      <c r="AA561">
        <v>10.929359049262199</v>
      </c>
      <c r="AB561" s="9">
        <f t="shared" si="80"/>
        <v>-0.34813823607418398</v>
      </c>
      <c r="AC561" s="9">
        <f t="shared" si="81"/>
        <v>-0.35147700963917916</v>
      </c>
      <c r="AD561" s="2">
        <f t="shared" si="82"/>
        <v>9.5903673283497248E-3</v>
      </c>
      <c r="AE561" s="8">
        <f t="shared" si="83"/>
        <v>4.9594422670879105E-3</v>
      </c>
      <c r="AF561" s="2">
        <f t="shared" si="84"/>
        <v>-1.1252493934975393E-3</v>
      </c>
      <c r="AG561" s="8">
        <f t="shared" si="85"/>
        <v>6.0846916605854498E-3</v>
      </c>
      <c r="AH561" s="7">
        <f t="shared" si="86"/>
        <v>-0.18493121036625731</v>
      </c>
      <c r="AI561">
        <f t="shared" si="87"/>
        <v>4</v>
      </c>
      <c r="AJ561" s="10">
        <f t="shared" si="88"/>
        <v>9.7355066569367196E-2</v>
      </c>
    </row>
    <row r="562" spans="1:36" hidden="1" x14ac:dyDescent="0.25">
      <c r="A562" t="b">
        <v>0</v>
      </c>
      <c r="B562">
        <v>1000</v>
      </c>
      <c r="C562">
        <v>9.7355066569367196E-2</v>
      </c>
      <c r="D562" t="s">
        <v>52</v>
      </c>
      <c r="E562" t="b">
        <v>1</v>
      </c>
      <c r="F562" t="s">
        <v>53</v>
      </c>
      <c r="G562">
        <v>7.4999999999999997E-2</v>
      </c>
      <c r="H562">
        <v>0.5</v>
      </c>
      <c r="I562">
        <v>1E-4</v>
      </c>
      <c r="J562" t="b">
        <v>1</v>
      </c>
      <c r="K562">
        <v>4</v>
      </c>
      <c r="L562">
        <v>1500</v>
      </c>
      <c r="M562">
        <v>0.1</v>
      </c>
      <c r="N562">
        <v>0.154</v>
      </c>
      <c r="O562" t="s">
        <v>304</v>
      </c>
      <c r="P562" t="s">
        <v>312</v>
      </c>
      <c r="Q562">
        <v>-3.12222496153049E-4</v>
      </c>
      <c r="R562">
        <v>6.5629623602759797E-4</v>
      </c>
      <c r="S562">
        <v>1.07020773184537E-3</v>
      </c>
      <c r="T562">
        <v>-5.9607648719660804E-3</v>
      </c>
      <c r="U562">
        <v>4.0058556464874204</v>
      </c>
      <c r="V562" s="1">
        <v>9.9999999999999905E-15</v>
      </c>
      <c r="W562">
        <v>0.14169214422370299</v>
      </c>
      <c r="X562">
        <v>2.4999999999999898</v>
      </c>
      <c r="Y562">
        <v>6.4125314280373402</v>
      </c>
      <c r="Z562">
        <v>0.499999999999999</v>
      </c>
      <c r="AA562">
        <v>11.6558330822673</v>
      </c>
      <c r="AB562" s="9">
        <f t="shared" si="80"/>
        <v>-0.34810793588221617</v>
      </c>
      <c r="AC562" s="9">
        <f t="shared" si="81"/>
        <v>-0.35147700963917916</v>
      </c>
      <c r="AD562" s="2">
        <f t="shared" si="82"/>
        <v>9.6782446180800896E-3</v>
      </c>
      <c r="AE562" s="8">
        <f t="shared" si="83"/>
        <v>4.9492418768438363E-3</v>
      </c>
      <c r="AF562" s="2">
        <f t="shared" si="84"/>
        <v>-1.1354497837416135E-3</v>
      </c>
      <c r="AG562" s="8">
        <f t="shared" si="85"/>
        <v>6.0846916605854498E-3</v>
      </c>
      <c r="AH562" s="7">
        <f t="shared" si="86"/>
        <v>-0.18660761252647667</v>
      </c>
      <c r="AI562">
        <f t="shared" si="87"/>
        <v>4</v>
      </c>
      <c r="AJ562" s="10">
        <f t="shared" si="88"/>
        <v>9.7355066569367196E-2</v>
      </c>
    </row>
    <row r="563" spans="1:36" hidden="1" x14ac:dyDescent="0.25">
      <c r="A563" t="b">
        <v>0</v>
      </c>
      <c r="B563">
        <v>1000</v>
      </c>
      <c r="C563">
        <v>9.7355066569367196E-2</v>
      </c>
      <c r="D563" t="s">
        <v>52</v>
      </c>
      <c r="E563" t="b">
        <v>1</v>
      </c>
      <c r="F563" t="s">
        <v>53</v>
      </c>
      <c r="G563">
        <v>7.4999999999999997E-2</v>
      </c>
      <c r="H563">
        <v>0.5</v>
      </c>
      <c r="I563">
        <v>1E-4</v>
      </c>
      <c r="J563" t="b">
        <v>1</v>
      </c>
      <c r="K563">
        <v>4</v>
      </c>
      <c r="L563">
        <v>1500</v>
      </c>
      <c r="M563">
        <v>0.1</v>
      </c>
      <c r="N563">
        <v>0.154</v>
      </c>
      <c r="O563" t="s">
        <v>305</v>
      </c>
      <c r="P563" t="s">
        <v>306</v>
      </c>
      <c r="Q563">
        <v>-1.36583425566305E-4</v>
      </c>
      <c r="R563">
        <v>3.1026155217701498E-4</v>
      </c>
      <c r="S563">
        <v>4.6816678006547701E-4</v>
      </c>
      <c r="T563">
        <v>-2.6074946466412602E-3</v>
      </c>
      <c r="U563">
        <v>4.0063438765844301</v>
      </c>
      <c r="V563" s="1">
        <v>9.9999999999997097E-15</v>
      </c>
      <c r="W563">
        <v>0.15260391807047599</v>
      </c>
      <c r="X563">
        <v>2.4999999999999898</v>
      </c>
      <c r="Y563">
        <v>6.9026050060403303</v>
      </c>
      <c r="Z563">
        <v>0.49999999966459402</v>
      </c>
      <c r="AA563">
        <v>12.6022952370033</v>
      </c>
      <c r="AB563" s="9">
        <f t="shared" si="80"/>
        <v>-0.34809905861386892</v>
      </c>
      <c r="AC563" s="9">
        <f t="shared" si="81"/>
        <v>-0.35147700963917916</v>
      </c>
      <c r="AD563" s="2">
        <f t="shared" si="82"/>
        <v>9.7039935665474975E-3</v>
      </c>
      <c r="AE563" s="8">
        <f t="shared" si="83"/>
        <v>4.9462534332998772E-3</v>
      </c>
      <c r="AF563" s="2">
        <f t="shared" si="84"/>
        <v>-1.1384382272855726E-3</v>
      </c>
      <c r="AG563" s="8">
        <f t="shared" si="85"/>
        <v>6.0846916605854498E-3</v>
      </c>
      <c r="AH563" s="7">
        <f t="shared" si="86"/>
        <v>-0.18709875385469174</v>
      </c>
      <c r="AI563">
        <f t="shared" si="87"/>
        <v>4</v>
      </c>
      <c r="AJ563" s="10">
        <f t="shared" si="88"/>
        <v>9.7355066569367196E-2</v>
      </c>
    </row>
    <row r="564" spans="1:36" hidden="1" x14ac:dyDescent="0.25">
      <c r="A564" t="b">
        <v>0</v>
      </c>
      <c r="B564">
        <v>1000</v>
      </c>
      <c r="C564">
        <v>9.7355066569367196E-2</v>
      </c>
      <c r="D564" t="s">
        <v>52</v>
      </c>
      <c r="E564" t="b">
        <v>1</v>
      </c>
      <c r="F564" t="s">
        <v>53</v>
      </c>
      <c r="G564">
        <v>7.4999999999999997E-2</v>
      </c>
      <c r="H564">
        <v>0.5</v>
      </c>
      <c r="I564">
        <v>1E-4</v>
      </c>
      <c r="J564" t="b">
        <v>1</v>
      </c>
      <c r="K564">
        <v>4</v>
      </c>
      <c r="L564">
        <v>1500</v>
      </c>
      <c r="M564">
        <v>0.1</v>
      </c>
      <c r="N564">
        <v>0.154</v>
      </c>
      <c r="O564" t="s">
        <v>305</v>
      </c>
      <c r="P564" t="s">
        <v>307</v>
      </c>
      <c r="Q564" s="1">
        <v>-1E-10</v>
      </c>
      <c r="R564" s="1">
        <v>3.5857858307243102E-12</v>
      </c>
      <c r="S564" s="1">
        <v>2.37860535453962E-17</v>
      </c>
      <c r="T564" s="1">
        <v>-4.5379313390803798E-16</v>
      </c>
      <c r="U564">
        <v>4.0068320076650403</v>
      </c>
      <c r="V564">
        <v>0</v>
      </c>
      <c r="W564">
        <v>6.84745463255476E-2</v>
      </c>
      <c r="X564">
        <v>2</v>
      </c>
      <c r="Y564">
        <v>4.0005663010063896E-3</v>
      </c>
      <c r="Z564">
        <v>2.5000000000000001E-4</v>
      </c>
      <c r="AA564">
        <v>4.7933528459131796E-3</v>
      </c>
      <c r="AB564" s="9">
        <f t="shared" si="80"/>
        <v>-1.1923823687322803</v>
      </c>
      <c r="AC564" s="9">
        <f t="shared" si="81"/>
        <v>-0.35147700963917916</v>
      </c>
      <c r="AD564" s="2">
        <f t="shared" si="82"/>
        <v>-0.70523129253172101</v>
      </c>
      <c r="AE564" s="8">
        <f t="shared" si="83"/>
        <v>0.40124647859883283</v>
      </c>
      <c r="AF564" s="2">
        <f t="shared" si="84"/>
        <v>0.39516178693824738</v>
      </c>
      <c r="AG564" s="8">
        <f t="shared" si="85"/>
        <v>6.0846916605854498E-3</v>
      </c>
      <c r="AH564" s="7">
        <f t="shared" si="86"/>
        <v>64.943600921961291</v>
      </c>
      <c r="AI564">
        <f t="shared" si="87"/>
        <v>4</v>
      </c>
      <c r="AJ564" s="10">
        <f t="shared" si="88"/>
        <v>9.7355066569367196E-2</v>
      </c>
    </row>
    <row r="565" spans="1:36" hidden="1" x14ac:dyDescent="0.25">
      <c r="A565" t="b">
        <v>0</v>
      </c>
      <c r="B565">
        <v>1000</v>
      </c>
      <c r="C565">
        <v>9.7355066569367196E-2</v>
      </c>
      <c r="D565" t="s">
        <v>52</v>
      </c>
      <c r="E565" t="b">
        <v>1</v>
      </c>
      <c r="F565" t="s">
        <v>53</v>
      </c>
      <c r="G565">
        <v>7.4999999999999997E-2</v>
      </c>
      <c r="H565">
        <v>0.5</v>
      </c>
      <c r="I565">
        <v>1E-4</v>
      </c>
      <c r="J565" t="b">
        <v>1</v>
      </c>
      <c r="K565">
        <v>4</v>
      </c>
      <c r="L565">
        <v>1500</v>
      </c>
      <c r="M565">
        <v>0.1</v>
      </c>
      <c r="N565">
        <v>0.154</v>
      </c>
      <c r="O565" t="s">
        <v>305</v>
      </c>
      <c r="P565" t="s">
        <v>308</v>
      </c>
      <c r="Q565" s="1">
        <v>-1.9528167965107999E-5</v>
      </c>
      <c r="R565" s="1">
        <v>4.1293685773082498E-5</v>
      </c>
      <c r="S565" s="1">
        <v>6.6940901054169001E-5</v>
      </c>
      <c r="T565">
        <v>-3.7303381543482398E-4</v>
      </c>
      <c r="U565">
        <v>4.0067621818735404</v>
      </c>
      <c r="V565" s="1">
        <v>9.9999999999999905E-15</v>
      </c>
      <c r="W565">
        <v>0.14099864962664499</v>
      </c>
      <c r="X565">
        <v>2.4999999999999898</v>
      </c>
      <c r="Y565">
        <v>6.4713984976005197</v>
      </c>
      <c r="Z565">
        <v>0.49999999995391398</v>
      </c>
      <c r="AA565">
        <v>11.7167557604016</v>
      </c>
      <c r="AB565" s="9">
        <f t="shared" si="80"/>
        <v>-0.34828651986339659</v>
      </c>
      <c r="AC565" s="9">
        <f t="shared" si="81"/>
        <v>-0.35147700963917916</v>
      </c>
      <c r="AD565" s="2">
        <f t="shared" si="82"/>
        <v>9.1605319006717867E-3</v>
      </c>
      <c r="AE565" s="8">
        <f t="shared" si="83"/>
        <v>5.0093641622595076E-3</v>
      </c>
      <c r="AF565" s="2">
        <f t="shared" si="84"/>
        <v>-1.0753274983259422E-3</v>
      </c>
      <c r="AG565" s="8">
        <f t="shared" si="85"/>
        <v>6.0846916605854498E-3</v>
      </c>
      <c r="AH565" s="7">
        <f t="shared" si="86"/>
        <v>-0.17672670339099444</v>
      </c>
      <c r="AI565">
        <f t="shared" si="87"/>
        <v>4</v>
      </c>
      <c r="AJ565" s="10">
        <f t="shared" si="88"/>
        <v>9.7355066569367196E-2</v>
      </c>
    </row>
    <row r="566" spans="1:36" hidden="1" x14ac:dyDescent="0.25">
      <c r="A566" t="b">
        <v>0</v>
      </c>
      <c r="B566">
        <v>1000</v>
      </c>
      <c r="C566">
        <v>9.7355066569367196E-2</v>
      </c>
      <c r="D566" t="s">
        <v>52</v>
      </c>
      <c r="E566" t="b">
        <v>1</v>
      </c>
      <c r="F566" t="s">
        <v>53</v>
      </c>
      <c r="G566">
        <v>7.4999999999999997E-2</v>
      </c>
      <c r="H566">
        <v>0.5</v>
      </c>
      <c r="I566">
        <v>1E-4</v>
      </c>
      <c r="J566" t="b">
        <v>1</v>
      </c>
      <c r="K566">
        <v>4</v>
      </c>
      <c r="L566">
        <v>1500</v>
      </c>
      <c r="M566">
        <v>0.1</v>
      </c>
      <c r="N566">
        <v>0.154</v>
      </c>
      <c r="O566" t="s">
        <v>305</v>
      </c>
      <c r="P566" t="s">
        <v>309</v>
      </c>
      <c r="Q566">
        <v>-1.5611151538382501E-4</v>
      </c>
      <c r="R566">
        <v>3.35175469942883E-4</v>
      </c>
      <c r="S566">
        <v>5.3510681862741199E-4</v>
      </c>
      <c r="T566">
        <v>-2.9804954465294299E-3</v>
      </c>
      <c r="U566">
        <v>4.0062740399408199</v>
      </c>
      <c r="V566" s="1">
        <v>9.9999999999997002E-15</v>
      </c>
      <c r="W566">
        <v>0.143143468848688</v>
      </c>
      <c r="X566">
        <v>2.4999999999999898</v>
      </c>
      <c r="Y566">
        <v>6.5639398566429703</v>
      </c>
      <c r="Z566">
        <v>0.49999999966014302</v>
      </c>
      <c r="AA566">
        <v>11.898149241621301</v>
      </c>
      <c r="AB566" s="9">
        <f t="shared" si="80"/>
        <v>-0.34811921456339057</v>
      </c>
      <c r="AC566" s="9">
        <f t="shared" si="81"/>
        <v>-0.35147700963917916</v>
      </c>
      <c r="AD566" s="2">
        <f t="shared" si="82"/>
        <v>9.6455321490942492E-3</v>
      </c>
      <c r="AE566" s="8">
        <f t="shared" si="83"/>
        <v>4.9530387576184037E-3</v>
      </c>
      <c r="AF566" s="2">
        <f t="shared" si="84"/>
        <v>-1.1316529029670461E-3</v>
      </c>
      <c r="AG566" s="8">
        <f t="shared" si="85"/>
        <v>6.0846916605854498E-3</v>
      </c>
      <c r="AH566" s="7">
        <f t="shared" si="86"/>
        <v>-0.18598360707371686</v>
      </c>
      <c r="AI566">
        <f t="shared" si="87"/>
        <v>4</v>
      </c>
      <c r="AJ566" s="10">
        <f t="shared" si="88"/>
        <v>9.7355066569367196E-2</v>
      </c>
    </row>
    <row r="567" spans="1:36" hidden="1" x14ac:dyDescent="0.25">
      <c r="A567" t="b">
        <v>0</v>
      </c>
      <c r="B567">
        <v>1000</v>
      </c>
      <c r="C567">
        <v>9.7355066569367196E-2</v>
      </c>
      <c r="D567" t="s">
        <v>52</v>
      </c>
      <c r="E567" t="b">
        <v>1</v>
      </c>
      <c r="F567" t="s">
        <v>53</v>
      </c>
      <c r="G567">
        <v>7.4999999999999997E-2</v>
      </c>
      <c r="H567">
        <v>0.5</v>
      </c>
      <c r="I567">
        <v>1E-4</v>
      </c>
      <c r="J567" t="b">
        <v>1</v>
      </c>
      <c r="K567">
        <v>4</v>
      </c>
      <c r="L567">
        <v>1500</v>
      </c>
      <c r="M567">
        <v>0.1</v>
      </c>
      <c r="N567">
        <v>0.154</v>
      </c>
      <c r="O567" t="s">
        <v>305</v>
      </c>
      <c r="P567" t="s">
        <v>310</v>
      </c>
      <c r="Q567">
        <v>-1.36583425566303E-4</v>
      </c>
      <c r="R567">
        <v>3.0195058831738699E-4</v>
      </c>
      <c r="S567">
        <v>4.6816678006548698E-4</v>
      </c>
      <c r="T567">
        <v>-2.6074946466415898E-3</v>
      </c>
      <c r="U567">
        <v>4.00634387658652</v>
      </c>
      <c r="V567" s="1">
        <v>9.9999999999997097E-15</v>
      </c>
      <c r="W567">
        <v>0.14967160591892301</v>
      </c>
      <c r="X567">
        <v>2.4999999999999898</v>
      </c>
      <c r="Y567">
        <v>6.7114300094547099</v>
      </c>
      <c r="Z567">
        <v>0.49999999966459802</v>
      </c>
      <c r="AA567">
        <v>12.268926872573999</v>
      </c>
      <c r="AB567" s="9">
        <f t="shared" si="80"/>
        <v>-0.3480990586139055</v>
      </c>
      <c r="AC567" s="9">
        <f t="shared" si="81"/>
        <v>-0.35147700963917916</v>
      </c>
      <c r="AD567" s="2">
        <f t="shared" si="82"/>
        <v>9.7039935664413601E-3</v>
      </c>
      <c r="AE567" s="8">
        <f t="shared" si="83"/>
        <v>4.9462534333121859E-3</v>
      </c>
      <c r="AF567" s="2">
        <f t="shared" si="84"/>
        <v>-1.1384382272732639E-3</v>
      </c>
      <c r="AG567" s="8">
        <f t="shared" si="85"/>
        <v>6.0846916605854498E-3</v>
      </c>
      <c r="AH567" s="7">
        <f t="shared" si="86"/>
        <v>-0.18709875385266883</v>
      </c>
      <c r="AI567">
        <f t="shared" si="87"/>
        <v>4</v>
      </c>
      <c r="AJ567" s="10">
        <f t="shared" si="88"/>
        <v>9.7355066569367196E-2</v>
      </c>
    </row>
    <row r="568" spans="1:36" hidden="1" x14ac:dyDescent="0.25">
      <c r="A568" t="b">
        <v>0</v>
      </c>
      <c r="B568">
        <v>1000</v>
      </c>
      <c r="C568">
        <v>9.7355066569367196E-2</v>
      </c>
      <c r="D568" t="s">
        <v>52</v>
      </c>
      <c r="E568" t="b">
        <v>1</v>
      </c>
      <c r="F568" t="s">
        <v>53</v>
      </c>
      <c r="G568">
        <v>7.4999999999999997E-2</v>
      </c>
      <c r="H568">
        <v>0.5</v>
      </c>
      <c r="I568">
        <v>1E-4</v>
      </c>
      <c r="J568" t="b">
        <v>1</v>
      </c>
      <c r="K568">
        <v>4</v>
      </c>
      <c r="L568">
        <v>1500</v>
      </c>
      <c r="M568">
        <v>0.1</v>
      </c>
      <c r="N568">
        <v>0.154</v>
      </c>
      <c r="O568" t="s">
        <v>305</v>
      </c>
      <c r="P568" t="s">
        <v>311</v>
      </c>
      <c r="Q568">
        <v>-1.5611151538382401E-4</v>
      </c>
      <c r="R568">
        <v>3.2470964457602001E-4</v>
      </c>
      <c r="S568">
        <v>5.3510681862741004E-4</v>
      </c>
      <c r="T568">
        <v>-2.98049544652937E-3</v>
      </c>
      <c r="U568">
        <v>4.0062740399465397</v>
      </c>
      <c r="V568" s="1">
        <v>9.9999999999997002E-15</v>
      </c>
      <c r="W568">
        <v>0.14019093136529301</v>
      </c>
      <c r="X568">
        <v>2.4999999999999898</v>
      </c>
      <c r="Y568">
        <v>6.3512982591337197</v>
      </c>
      <c r="Z568">
        <v>0.49999999966015002</v>
      </c>
      <c r="AA568">
        <v>11.531806121621401</v>
      </c>
      <c r="AB568" s="9">
        <f t="shared" si="80"/>
        <v>-0.34811921456338485</v>
      </c>
      <c r="AC568" s="9">
        <f t="shared" si="81"/>
        <v>-0.35147700963917916</v>
      </c>
      <c r="AD568" s="2">
        <f t="shared" si="82"/>
        <v>9.6455321491106805E-3</v>
      </c>
      <c r="AE568" s="8">
        <f t="shared" si="83"/>
        <v>4.9530387576164859E-3</v>
      </c>
      <c r="AF568" s="2">
        <f t="shared" si="84"/>
        <v>-1.1316529029689638E-3</v>
      </c>
      <c r="AG568" s="8">
        <f t="shared" si="85"/>
        <v>6.0846916605854498E-3</v>
      </c>
      <c r="AH568" s="7">
        <f t="shared" si="86"/>
        <v>-0.18598360707403205</v>
      </c>
      <c r="AI568">
        <f t="shared" si="87"/>
        <v>4</v>
      </c>
      <c r="AJ568" s="10">
        <f t="shared" si="88"/>
        <v>9.7355066569367196E-2</v>
      </c>
    </row>
    <row r="569" spans="1:36" hidden="1" x14ac:dyDescent="0.25">
      <c r="A569" t="b">
        <v>0</v>
      </c>
      <c r="B569">
        <v>1000</v>
      </c>
      <c r="C569">
        <v>9.7355066569367196E-2</v>
      </c>
      <c r="D569" t="s">
        <v>52</v>
      </c>
      <c r="E569" t="b">
        <v>1</v>
      </c>
      <c r="F569" t="s">
        <v>53</v>
      </c>
      <c r="G569">
        <v>7.4999999999999997E-2</v>
      </c>
      <c r="H569">
        <v>0.5</v>
      </c>
      <c r="I569">
        <v>1E-4</v>
      </c>
      <c r="J569" t="b">
        <v>1</v>
      </c>
      <c r="K569">
        <v>4</v>
      </c>
      <c r="L569">
        <v>1500</v>
      </c>
      <c r="M569">
        <v>0.1</v>
      </c>
      <c r="N569">
        <v>0.154</v>
      </c>
      <c r="O569" t="s">
        <v>305</v>
      </c>
      <c r="P569" t="s">
        <v>312</v>
      </c>
      <c r="Q569">
        <v>-2.92694317002653E-4</v>
      </c>
      <c r="R569">
        <v>6.5472802695048203E-4</v>
      </c>
      <c r="S569">
        <v>1.0032667074013201E-3</v>
      </c>
      <c r="T569">
        <v>-5.5877263325889801E-3</v>
      </c>
      <c r="U569">
        <v>4.00578582224035</v>
      </c>
      <c r="V569" s="1">
        <v>9.9999999999999905E-15</v>
      </c>
      <c r="W569">
        <v>0.15216983769776901</v>
      </c>
      <c r="X569">
        <v>2.4999999999999898</v>
      </c>
      <c r="Y569">
        <v>6.7742740638121397</v>
      </c>
      <c r="Z569">
        <v>0.499999999999999</v>
      </c>
      <c r="AA569">
        <v>12.4205061387347</v>
      </c>
      <c r="AB569" s="9">
        <f t="shared" si="80"/>
        <v>-0.34809576876262616</v>
      </c>
      <c r="AC569" s="9">
        <f t="shared" si="81"/>
        <v>-0.35147700963917916</v>
      </c>
      <c r="AD569" s="2">
        <f t="shared" si="82"/>
        <v>9.7135362735729647E-3</v>
      </c>
      <c r="AE569" s="8">
        <f t="shared" si="83"/>
        <v>4.9451459423182293E-3</v>
      </c>
      <c r="AF569" s="2">
        <f t="shared" si="84"/>
        <v>-1.1395457182672205E-3</v>
      </c>
      <c r="AG569" s="8">
        <f t="shared" si="85"/>
        <v>6.0846916605854498E-3</v>
      </c>
      <c r="AH569" s="7">
        <f t="shared" si="86"/>
        <v>-0.18728076652573994</v>
      </c>
      <c r="AI569">
        <f t="shared" si="87"/>
        <v>4</v>
      </c>
      <c r="AJ569" s="10">
        <f t="shared" si="88"/>
        <v>9.7355066569367196E-2</v>
      </c>
    </row>
    <row r="570" spans="1:36" hidden="1" x14ac:dyDescent="0.25">
      <c r="A570" t="b">
        <v>0</v>
      </c>
      <c r="B570">
        <v>1000</v>
      </c>
      <c r="C570">
        <v>9.7355066569367196E-2</v>
      </c>
      <c r="D570" t="s">
        <v>52</v>
      </c>
      <c r="E570" t="b">
        <v>1</v>
      </c>
      <c r="F570" t="s">
        <v>53</v>
      </c>
      <c r="G570">
        <v>7.4999999999999997E-2</v>
      </c>
      <c r="H570">
        <v>0.5</v>
      </c>
      <c r="I570">
        <v>1E-4</v>
      </c>
      <c r="J570" t="b">
        <v>1</v>
      </c>
      <c r="K570">
        <v>4</v>
      </c>
      <c r="L570">
        <v>1500</v>
      </c>
      <c r="M570">
        <v>0.1</v>
      </c>
      <c r="N570">
        <v>0.154</v>
      </c>
      <c r="O570" t="s">
        <v>306</v>
      </c>
      <c r="P570" t="s">
        <v>309</v>
      </c>
      <c r="Q570" s="1">
        <v>-1.95280898389331E-5</v>
      </c>
      <c r="R570" s="1">
        <v>4.0912415892256801E-5</v>
      </c>
      <c r="S570" s="1">
        <v>6.6940038561933993E-5</v>
      </c>
      <c r="T570">
        <v>-3.73000799888384E-4</v>
      </c>
      <c r="U570">
        <v>4.0057859088542598</v>
      </c>
      <c r="V570" s="1">
        <v>9.9999999999999905E-15</v>
      </c>
      <c r="W570">
        <v>0.13810402791156701</v>
      </c>
      <c r="X570">
        <v>2.4999999999999898</v>
      </c>
      <c r="Y570">
        <v>6.4412521108344496</v>
      </c>
      <c r="Z570">
        <v>0.49999999995383498</v>
      </c>
      <c r="AA570">
        <v>11.5966892207018</v>
      </c>
      <c r="AB570" s="9">
        <f t="shared" si="80"/>
        <v>-0.34826018170657097</v>
      </c>
      <c r="AC570" s="9">
        <f t="shared" si="81"/>
        <v>-0.35147700963917916</v>
      </c>
      <c r="AD570" s="2">
        <f t="shared" si="82"/>
        <v>9.2368525073547314E-3</v>
      </c>
      <c r="AE570" s="8">
        <f t="shared" si="83"/>
        <v>5.0004966763052472E-3</v>
      </c>
      <c r="AF570" s="2">
        <f t="shared" si="84"/>
        <v>-1.0841949842802026E-3</v>
      </c>
      <c r="AG570" s="8">
        <f t="shared" si="85"/>
        <v>6.0846916605854498E-3</v>
      </c>
      <c r="AH570" s="7">
        <f t="shared" si="86"/>
        <v>-0.17818404690959883</v>
      </c>
      <c r="AI570">
        <f t="shared" si="87"/>
        <v>4</v>
      </c>
      <c r="AJ570" s="10">
        <f t="shared" si="88"/>
        <v>9.7355066569367196E-2</v>
      </c>
    </row>
    <row r="571" spans="1:36" hidden="1" x14ac:dyDescent="0.25">
      <c r="A571" t="b">
        <v>0</v>
      </c>
      <c r="B571">
        <v>1000</v>
      </c>
      <c r="C571">
        <v>9.7355066569367196E-2</v>
      </c>
      <c r="D571" t="s">
        <v>52</v>
      </c>
      <c r="E571" t="b">
        <v>1</v>
      </c>
      <c r="F571" t="s">
        <v>53</v>
      </c>
      <c r="G571">
        <v>7.4999999999999997E-2</v>
      </c>
      <c r="H571">
        <v>0.5</v>
      </c>
      <c r="I571">
        <v>1E-4</v>
      </c>
      <c r="J571" t="b">
        <v>1</v>
      </c>
      <c r="K571">
        <v>4</v>
      </c>
      <c r="L571">
        <v>1500</v>
      </c>
      <c r="M571">
        <v>0.1</v>
      </c>
      <c r="N571">
        <v>0.154</v>
      </c>
      <c r="O571" t="s">
        <v>306</v>
      </c>
      <c r="P571" t="s">
        <v>311</v>
      </c>
      <c r="Q571" s="1">
        <v>-1.9528089838934401E-5</v>
      </c>
      <c r="R571" s="1">
        <v>4.0958291873067697E-5</v>
      </c>
      <c r="S571" s="1">
        <v>6.6940038561932706E-5</v>
      </c>
      <c r="T571">
        <v>-3.7300079988825699E-4</v>
      </c>
      <c r="U571">
        <v>4.0057859088599796</v>
      </c>
      <c r="V571" s="1">
        <v>9.9999999999999905E-15</v>
      </c>
      <c r="W571">
        <v>0.14050749854119299</v>
      </c>
      <c r="X571">
        <v>2.4999999999999898</v>
      </c>
      <c r="Y571">
        <v>6.4126374150863503</v>
      </c>
      <c r="Z571">
        <v>0.49999999995384198</v>
      </c>
      <c r="AA571">
        <v>11.624472127406101</v>
      </c>
      <c r="AB571" s="9">
        <f t="shared" si="80"/>
        <v>-0.34826018170645906</v>
      </c>
      <c r="AC571" s="9">
        <f t="shared" si="81"/>
        <v>-0.35147700963917916</v>
      </c>
      <c r="AD571" s="2">
        <f t="shared" si="82"/>
        <v>9.2368525076791386E-3</v>
      </c>
      <c r="AE571" s="8">
        <f t="shared" si="83"/>
        <v>5.0004966762675698E-3</v>
      </c>
      <c r="AF571" s="2">
        <f t="shared" si="84"/>
        <v>-1.0841949843178799E-3</v>
      </c>
      <c r="AG571" s="8">
        <f t="shared" si="85"/>
        <v>6.0846916605854498E-3</v>
      </c>
      <c r="AH571" s="7">
        <f t="shared" si="86"/>
        <v>-0.17818404691579098</v>
      </c>
      <c r="AI571">
        <f t="shared" si="87"/>
        <v>4</v>
      </c>
      <c r="AJ571" s="10">
        <f t="shared" si="88"/>
        <v>9.7355066569367196E-2</v>
      </c>
    </row>
    <row r="572" spans="1:36" hidden="1" x14ac:dyDescent="0.25">
      <c r="A572" t="b">
        <v>0</v>
      </c>
      <c r="B572">
        <v>1000</v>
      </c>
      <c r="C572">
        <v>9.7355066569367196E-2</v>
      </c>
      <c r="D572" t="s">
        <v>52</v>
      </c>
      <c r="E572" t="b">
        <v>1</v>
      </c>
      <c r="F572" t="s">
        <v>53</v>
      </c>
      <c r="G572">
        <v>7.4999999999999997E-2</v>
      </c>
      <c r="H572">
        <v>0.5</v>
      </c>
      <c r="I572">
        <v>1E-4</v>
      </c>
      <c r="J572" t="b">
        <v>1</v>
      </c>
      <c r="K572">
        <v>4</v>
      </c>
      <c r="L572">
        <v>1500</v>
      </c>
      <c r="M572">
        <v>0.1</v>
      </c>
      <c r="N572">
        <v>0.154</v>
      </c>
      <c r="O572" t="s">
        <v>306</v>
      </c>
      <c r="P572" t="s">
        <v>312</v>
      </c>
      <c r="Q572">
        <v>-1.5611089095568E-4</v>
      </c>
      <c r="R572">
        <v>3.27898507981871E-4</v>
      </c>
      <c r="S572">
        <v>5.3509992733584996E-4</v>
      </c>
      <c r="T572">
        <v>-2.9802316859477399E-3</v>
      </c>
      <c r="U572">
        <v>4.0052976911537996</v>
      </c>
      <c r="V572" s="1">
        <v>9.9999999999997002E-15</v>
      </c>
      <c r="W572">
        <v>0.139653819815373</v>
      </c>
      <c r="X572">
        <v>2.4999999999999898</v>
      </c>
      <c r="Y572">
        <v>6.4366315408821597</v>
      </c>
      <c r="Z572">
        <v>0.49999999965956399</v>
      </c>
      <c r="AA572">
        <v>11.6350000901045</v>
      </c>
      <c r="AB572" s="9">
        <f t="shared" si="80"/>
        <v>-0.34809289042348673</v>
      </c>
      <c r="AC572" s="9">
        <f t="shared" si="81"/>
        <v>-0.35147700963917916</v>
      </c>
      <c r="AD572" s="2">
        <f t="shared" si="82"/>
        <v>9.721885475958203E-3</v>
      </c>
      <c r="AE572" s="8">
        <f t="shared" si="83"/>
        <v>4.9441769842051937E-3</v>
      </c>
      <c r="AF572" s="2">
        <f t="shared" si="84"/>
        <v>-1.1405146763802561E-3</v>
      </c>
      <c r="AG572" s="8">
        <f t="shared" si="85"/>
        <v>6.0846916605854498E-3</v>
      </c>
      <c r="AH572" s="7">
        <f t="shared" si="86"/>
        <v>-0.18744001175410741</v>
      </c>
      <c r="AI572">
        <f t="shared" si="87"/>
        <v>4</v>
      </c>
      <c r="AJ572" s="10">
        <f t="shared" si="88"/>
        <v>9.7355066569367196E-2</v>
      </c>
    </row>
    <row r="573" spans="1:36" hidden="1" x14ac:dyDescent="0.25">
      <c r="A573" t="b">
        <v>0</v>
      </c>
      <c r="B573">
        <v>1000</v>
      </c>
      <c r="C573">
        <v>9.7355066569367196E-2</v>
      </c>
      <c r="D573" t="s">
        <v>52</v>
      </c>
      <c r="E573" t="b">
        <v>1</v>
      </c>
      <c r="F573" t="s">
        <v>53</v>
      </c>
      <c r="G573">
        <v>7.4999999999999997E-2</v>
      </c>
      <c r="H573">
        <v>0.5</v>
      </c>
      <c r="I573">
        <v>1E-4</v>
      </c>
      <c r="J573" t="b">
        <v>1</v>
      </c>
      <c r="K573">
        <v>4</v>
      </c>
      <c r="L573">
        <v>1500</v>
      </c>
      <c r="M573">
        <v>0.1</v>
      </c>
      <c r="N573">
        <v>0.154</v>
      </c>
      <c r="O573" t="s">
        <v>307</v>
      </c>
      <c r="P573" t="s">
        <v>308</v>
      </c>
      <c r="Q573" s="1">
        <v>-1.9528167965109401E-5</v>
      </c>
      <c r="R573" s="1">
        <v>4.1813796094812902E-5</v>
      </c>
      <c r="S573" s="1">
        <v>6.6940901054163201E-5</v>
      </c>
      <c r="T573">
        <v>-3.7303381543452702E-4</v>
      </c>
      <c r="U573">
        <v>4.0067621818675896</v>
      </c>
      <c r="V573" s="1">
        <v>9.9999999999999905E-15</v>
      </c>
      <c r="W573">
        <v>0.14215335410546101</v>
      </c>
      <c r="X573">
        <v>2.4999999999999898</v>
      </c>
      <c r="Y573">
        <v>6.5564296604828698</v>
      </c>
      <c r="Z573">
        <v>0.49999999995392003</v>
      </c>
      <c r="AA573">
        <v>11.8620975773916</v>
      </c>
      <c r="AB573" s="9">
        <f t="shared" si="80"/>
        <v>-0.34828651986314951</v>
      </c>
      <c r="AC573" s="9">
        <f t="shared" si="81"/>
        <v>-0.35147700963917916</v>
      </c>
      <c r="AD573" s="2">
        <f t="shared" si="82"/>
        <v>9.1605319013876585E-3</v>
      </c>
      <c r="AE573" s="8">
        <f t="shared" si="83"/>
        <v>5.0093641621763267E-3</v>
      </c>
      <c r="AF573" s="2">
        <f t="shared" si="84"/>
        <v>-1.0753274984091231E-3</v>
      </c>
      <c r="AG573" s="8">
        <f t="shared" si="85"/>
        <v>6.0846916605854498E-3</v>
      </c>
      <c r="AH573" s="7">
        <f t="shared" si="86"/>
        <v>-0.17672670340466495</v>
      </c>
      <c r="AI573">
        <f t="shared" si="87"/>
        <v>4</v>
      </c>
      <c r="AJ573" s="10">
        <f t="shared" si="88"/>
        <v>9.7355066569367196E-2</v>
      </c>
    </row>
    <row r="574" spans="1:36" hidden="1" x14ac:dyDescent="0.25">
      <c r="A574" t="b">
        <v>0</v>
      </c>
      <c r="B574">
        <v>1000</v>
      </c>
      <c r="C574">
        <v>9.7355066569367196E-2</v>
      </c>
      <c r="D574" t="s">
        <v>52</v>
      </c>
      <c r="E574" t="b">
        <v>1</v>
      </c>
      <c r="F574" t="s">
        <v>53</v>
      </c>
      <c r="G574">
        <v>7.4999999999999997E-2</v>
      </c>
      <c r="H574">
        <v>0.5</v>
      </c>
      <c r="I574">
        <v>1E-4</v>
      </c>
      <c r="J574" t="b">
        <v>1</v>
      </c>
      <c r="K574">
        <v>4</v>
      </c>
      <c r="L574">
        <v>1500</v>
      </c>
      <c r="M574">
        <v>0.1</v>
      </c>
      <c r="N574">
        <v>0.154</v>
      </c>
      <c r="O574" t="s">
        <v>307</v>
      </c>
      <c r="P574" t="s">
        <v>309</v>
      </c>
      <c r="Q574">
        <v>-1.5611151538382699E-4</v>
      </c>
      <c r="R574">
        <v>3.2861271808685001E-4</v>
      </c>
      <c r="S574">
        <v>5.3510681862741004E-4</v>
      </c>
      <c r="T574">
        <v>-2.98049544652936E-3</v>
      </c>
      <c r="U574">
        <v>4.00627403993487</v>
      </c>
      <c r="V574" s="1">
        <v>9.9999999999997002E-15</v>
      </c>
      <c r="W574">
        <v>0.14025531391923199</v>
      </c>
      <c r="X574">
        <v>2.4999999999999898</v>
      </c>
      <c r="Y574">
        <v>6.44524524168376</v>
      </c>
      <c r="Z574">
        <v>0.49999999966013697</v>
      </c>
      <c r="AA574">
        <v>11.662468448444301</v>
      </c>
      <c r="AB574" s="9">
        <f t="shared" si="80"/>
        <v>-0.34811921456338368</v>
      </c>
      <c r="AC574" s="9">
        <f t="shared" si="81"/>
        <v>-0.35147700963917916</v>
      </c>
      <c r="AD574" s="2">
        <f t="shared" si="82"/>
        <v>9.6455321491142332E-3</v>
      </c>
      <c r="AE574" s="8">
        <f t="shared" si="83"/>
        <v>4.9530387576161121E-3</v>
      </c>
      <c r="AF574" s="2">
        <f t="shared" si="84"/>
        <v>-1.1316529029693377E-3</v>
      </c>
      <c r="AG574" s="8">
        <f t="shared" si="85"/>
        <v>6.0846916605854498E-3</v>
      </c>
      <c r="AH574" s="7">
        <f t="shared" si="86"/>
        <v>-0.18598360707409348</v>
      </c>
      <c r="AI574">
        <f t="shared" si="87"/>
        <v>4</v>
      </c>
      <c r="AJ574" s="10">
        <f t="shared" si="88"/>
        <v>9.7355066569367196E-2</v>
      </c>
    </row>
    <row r="575" spans="1:36" hidden="1" x14ac:dyDescent="0.25">
      <c r="A575" t="b">
        <v>0</v>
      </c>
      <c r="B575">
        <v>1000</v>
      </c>
      <c r="C575">
        <v>9.7355066569367196E-2</v>
      </c>
      <c r="D575" t="s">
        <v>52</v>
      </c>
      <c r="E575" t="b">
        <v>1</v>
      </c>
      <c r="F575" t="s">
        <v>53</v>
      </c>
      <c r="G575">
        <v>7.4999999999999997E-2</v>
      </c>
      <c r="H575">
        <v>0.5</v>
      </c>
      <c r="I575">
        <v>1E-4</v>
      </c>
      <c r="J575" t="b">
        <v>1</v>
      </c>
      <c r="K575">
        <v>4</v>
      </c>
      <c r="L575">
        <v>1500</v>
      </c>
      <c r="M575">
        <v>0.1</v>
      </c>
      <c r="N575">
        <v>0.154</v>
      </c>
      <c r="O575" t="s">
        <v>307</v>
      </c>
      <c r="P575" t="s">
        <v>310</v>
      </c>
      <c r="Q575">
        <v>-1.3658342556630601E-4</v>
      </c>
      <c r="R575">
        <v>3.1012491467612298E-4</v>
      </c>
      <c r="S575">
        <v>4.6816678006548199E-4</v>
      </c>
      <c r="T575">
        <v>-2.60749464664135E-3</v>
      </c>
      <c r="U575">
        <v>4.0063438765805799</v>
      </c>
      <c r="V575" s="1">
        <v>9.9999999999997097E-15</v>
      </c>
      <c r="W575">
        <v>0.15230461301829201</v>
      </c>
      <c r="X575">
        <v>2.4999999999999898</v>
      </c>
      <c r="Y575">
        <v>6.9036786438421096</v>
      </c>
      <c r="Z575">
        <v>0.49999999966459002</v>
      </c>
      <c r="AA575">
        <v>12.5947696130974</v>
      </c>
      <c r="AB575" s="9">
        <f t="shared" si="80"/>
        <v>-0.34809905861387719</v>
      </c>
      <c r="AC575" s="9">
        <f t="shared" si="81"/>
        <v>-0.35147700963917916</v>
      </c>
      <c r="AD575" s="2">
        <f t="shared" si="82"/>
        <v>9.7039935665235166E-3</v>
      </c>
      <c r="AE575" s="8">
        <f t="shared" si="83"/>
        <v>4.9462534333026432E-3</v>
      </c>
      <c r="AF575" s="2">
        <f t="shared" si="84"/>
        <v>-1.1384382272828066E-3</v>
      </c>
      <c r="AG575" s="8">
        <f t="shared" si="85"/>
        <v>6.0846916605854498E-3</v>
      </c>
      <c r="AH575" s="7">
        <f t="shared" si="86"/>
        <v>-0.18709875385423716</v>
      </c>
      <c r="AI575">
        <f t="shared" si="87"/>
        <v>4</v>
      </c>
      <c r="AJ575" s="10">
        <f t="shared" si="88"/>
        <v>9.7355066569367196E-2</v>
      </c>
    </row>
    <row r="576" spans="1:36" hidden="1" x14ac:dyDescent="0.25">
      <c r="A576" t="b">
        <v>0</v>
      </c>
      <c r="B576">
        <v>1000</v>
      </c>
      <c r="C576">
        <v>9.7355066569367196E-2</v>
      </c>
      <c r="D576" t="s">
        <v>52</v>
      </c>
      <c r="E576" t="b">
        <v>1</v>
      </c>
      <c r="F576" t="s">
        <v>53</v>
      </c>
      <c r="G576">
        <v>7.4999999999999997E-2</v>
      </c>
      <c r="H576">
        <v>0.5</v>
      </c>
      <c r="I576">
        <v>1E-4</v>
      </c>
      <c r="J576" t="b">
        <v>1</v>
      </c>
      <c r="K576">
        <v>4</v>
      </c>
      <c r="L576">
        <v>1500</v>
      </c>
      <c r="M576">
        <v>0.1</v>
      </c>
      <c r="N576">
        <v>0.154</v>
      </c>
      <c r="O576" t="s">
        <v>307</v>
      </c>
      <c r="P576" t="s">
        <v>311</v>
      </c>
      <c r="Q576">
        <v>-1.56111515383832E-4</v>
      </c>
      <c r="R576">
        <v>3.28072551190562E-4</v>
      </c>
      <c r="S576">
        <v>5.35106818627407E-4</v>
      </c>
      <c r="T576">
        <v>-2.9804954465292299E-3</v>
      </c>
      <c r="U576">
        <v>4.0062740399405996</v>
      </c>
      <c r="V576" s="1">
        <v>9.9999999999997002E-15</v>
      </c>
      <c r="W576">
        <v>0.14185333800843899</v>
      </c>
      <c r="X576">
        <v>2.4999999999999898</v>
      </c>
      <c r="Y576">
        <v>6.4098027894210396</v>
      </c>
      <c r="Z576">
        <v>0.49999999966015102</v>
      </c>
      <c r="AA576">
        <v>11.6533952596277</v>
      </c>
      <c r="AB576" s="9">
        <f t="shared" si="80"/>
        <v>-0.34811921456337047</v>
      </c>
      <c r="AC576" s="9">
        <f t="shared" si="81"/>
        <v>-0.35147700963917916</v>
      </c>
      <c r="AD576" s="2">
        <f t="shared" si="82"/>
        <v>9.6455321491524249E-3</v>
      </c>
      <c r="AE576" s="8">
        <f t="shared" si="83"/>
        <v>4.9530387576116513E-3</v>
      </c>
      <c r="AF576" s="2">
        <f t="shared" si="84"/>
        <v>-1.1316529029737985E-3</v>
      </c>
      <c r="AG576" s="8">
        <f t="shared" si="85"/>
        <v>6.0846916605854498E-3</v>
      </c>
      <c r="AH576" s="7">
        <f t="shared" si="86"/>
        <v>-0.18598360707482661</v>
      </c>
      <c r="AI576">
        <f t="shared" si="87"/>
        <v>4</v>
      </c>
      <c r="AJ576" s="10">
        <f t="shared" si="88"/>
        <v>9.7355066569367196E-2</v>
      </c>
    </row>
    <row r="577" spans="1:36" hidden="1" x14ac:dyDescent="0.25">
      <c r="A577" t="b">
        <v>0</v>
      </c>
      <c r="B577">
        <v>1000</v>
      </c>
      <c r="C577">
        <v>9.7355066569367196E-2</v>
      </c>
      <c r="D577" t="s">
        <v>52</v>
      </c>
      <c r="E577" t="b">
        <v>1</v>
      </c>
      <c r="F577" t="s">
        <v>53</v>
      </c>
      <c r="G577">
        <v>7.4999999999999997E-2</v>
      </c>
      <c r="H577">
        <v>0.5</v>
      </c>
      <c r="I577">
        <v>1E-4</v>
      </c>
      <c r="J577" t="b">
        <v>1</v>
      </c>
      <c r="K577">
        <v>4</v>
      </c>
      <c r="L577">
        <v>1500</v>
      </c>
      <c r="M577">
        <v>0.1</v>
      </c>
      <c r="N577">
        <v>0.154</v>
      </c>
      <c r="O577" t="s">
        <v>307</v>
      </c>
      <c r="P577" t="s">
        <v>312</v>
      </c>
      <c r="Q577">
        <v>-2.9269431700265403E-4</v>
      </c>
      <c r="R577">
        <v>6.7601208611908802E-4</v>
      </c>
      <c r="S577">
        <v>1.0032667074013201E-3</v>
      </c>
      <c r="T577">
        <v>-5.5877263325887E-3</v>
      </c>
      <c r="U577">
        <v>4.0057858222344098</v>
      </c>
      <c r="V577" s="1">
        <v>9.9999999999999905E-15</v>
      </c>
      <c r="W577">
        <v>0.15708772506684701</v>
      </c>
      <c r="X577">
        <v>2.4999999999999898</v>
      </c>
      <c r="Y577">
        <v>6.98167395222114</v>
      </c>
      <c r="Z577">
        <v>0.499999999999999</v>
      </c>
      <c r="AA577">
        <v>12.8273776827132</v>
      </c>
      <c r="AB577" s="9">
        <f t="shared" si="80"/>
        <v>-0.34809576876260873</v>
      </c>
      <c r="AC577" s="9">
        <f t="shared" si="81"/>
        <v>-0.35147700963917916</v>
      </c>
      <c r="AD577" s="2">
        <f t="shared" si="82"/>
        <v>9.7135362736233688E-3</v>
      </c>
      <c r="AE577" s="8">
        <f t="shared" si="83"/>
        <v>4.9451459423123737E-3</v>
      </c>
      <c r="AF577" s="2">
        <f t="shared" si="84"/>
        <v>-1.1395457182730761E-3</v>
      </c>
      <c r="AG577" s="8">
        <f t="shared" si="85"/>
        <v>6.0846916605854498E-3</v>
      </c>
      <c r="AH577" s="7">
        <f t="shared" si="86"/>
        <v>-0.18728076652670228</v>
      </c>
      <c r="AI577">
        <f t="shared" si="87"/>
        <v>4</v>
      </c>
      <c r="AJ577" s="10">
        <f t="shared" si="88"/>
        <v>9.7355066569367196E-2</v>
      </c>
    </row>
    <row r="578" spans="1:36" hidden="1" x14ac:dyDescent="0.25">
      <c r="A578" t="b">
        <v>0</v>
      </c>
      <c r="B578">
        <v>1000</v>
      </c>
      <c r="C578">
        <v>9.7355066569367196E-2</v>
      </c>
      <c r="D578" t="s">
        <v>52</v>
      </c>
      <c r="E578" t="b">
        <v>1</v>
      </c>
      <c r="F578" t="s">
        <v>53</v>
      </c>
      <c r="G578">
        <v>7.4999999999999997E-2</v>
      </c>
      <c r="H578">
        <v>0.5</v>
      </c>
      <c r="I578">
        <v>1E-4</v>
      </c>
      <c r="J578" t="b">
        <v>1</v>
      </c>
      <c r="K578">
        <v>4</v>
      </c>
      <c r="L578">
        <v>1500</v>
      </c>
      <c r="M578">
        <v>0.1</v>
      </c>
      <c r="N578">
        <v>0.154</v>
      </c>
      <c r="O578" t="s">
        <v>308</v>
      </c>
      <c r="P578" t="s">
        <v>309</v>
      </c>
      <c r="Q578">
        <v>-1.3658334744011001E-4</v>
      </c>
      <c r="R578">
        <v>3.0489540967200402E-4</v>
      </c>
      <c r="S578">
        <v>4.6816591757324703E-4</v>
      </c>
      <c r="T578">
        <v>-2.6074616310948198E-3</v>
      </c>
      <c r="U578">
        <v>4.0062042141433603</v>
      </c>
      <c r="V578" s="1">
        <v>9.9999999999997097E-15</v>
      </c>
      <c r="W578">
        <v>0.15115195864998701</v>
      </c>
      <c r="X578">
        <v>2.4999999999999898</v>
      </c>
      <c r="Y578">
        <v>6.77256102935893</v>
      </c>
      <c r="Z578">
        <v>0.49999999966450398</v>
      </c>
      <c r="AA578">
        <v>12.389739181871001</v>
      </c>
      <c r="AB578" s="9">
        <f t="shared" si="80"/>
        <v>-0.34809529234457631</v>
      </c>
      <c r="AC578" s="9">
        <f t="shared" si="81"/>
        <v>-0.35147700963917916</v>
      </c>
      <c r="AD578" s="2">
        <f t="shared" si="82"/>
        <v>9.7149182105435994E-3</v>
      </c>
      <c r="AE578" s="8">
        <f t="shared" si="83"/>
        <v>4.944985561805843E-3</v>
      </c>
      <c r="AF578" s="2">
        <f t="shared" si="84"/>
        <v>-1.1397060987796068E-3</v>
      </c>
      <c r="AG578" s="8">
        <f t="shared" si="85"/>
        <v>6.0846916605854498E-3</v>
      </c>
      <c r="AH578" s="7">
        <f t="shared" si="86"/>
        <v>-0.18730712456018647</v>
      </c>
      <c r="AI578">
        <f t="shared" si="87"/>
        <v>4</v>
      </c>
      <c r="AJ578" s="10">
        <f t="shared" si="88"/>
        <v>9.7355066569367196E-2</v>
      </c>
    </row>
    <row r="579" spans="1:36" hidden="1" x14ac:dyDescent="0.25">
      <c r="A579" t="b">
        <v>0</v>
      </c>
      <c r="B579">
        <v>1000</v>
      </c>
      <c r="C579">
        <v>9.7355066569367196E-2</v>
      </c>
      <c r="D579" t="s">
        <v>52</v>
      </c>
      <c r="E579" t="b">
        <v>1</v>
      </c>
      <c r="F579" t="s">
        <v>53</v>
      </c>
      <c r="G579">
        <v>7.4999999999999997E-2</v>
      </c>
      <c r="H579">
        <v>0.5</v>
      </c>
      <c r="I579">
        <v>1E-4</v>
      </c>
      <c r="J579" t="b">
        <v>1</v>
      </c>
      <c r="K579">
        <v>4</v>
      </c>
      <c r="L579">
        <v>1500</v>
      </c>
      <c r="M579">
        <v>0.1</v>
      </c>
      <c r="N579">
        <v>0.154</v>
      </c>
      <c r="O579" t="s">
        <v>308</v>
      </c>
      <c r="P579" t="s">
        <v>310</v>
      </c>
      <c r="Q579">
        <v>-1.17055257622045E-4</v>
      </c>
      <c r="R579">
        <v>2.5368689950162502E-4</v>
      </c>
      <c r="S579">
        <v>4.0122587901131302E-4</v>
      </c>
      <c r="T579">
        <v>-2.2344608312064602E-3</v>
      </c>
      <c r="U579">
        <v>4.0062740507890702</v>
      </c>
      <c r="V579" s="1">
        <v>9.9999999999997207E-15</v>
      </c>
      <c r="W579">
        <v>0.145218785057113</v>
      </c>
      <c r="X579">
        <v>2.4999999999999898</v>
      </c>
      <c r="Y579">
        <v>6.6106620048365698</v>
      </c>
      <c r="Z579">
        <v>0.49999999966877401</v>
      </c>
      <c r="AA579">
        <v>12.0155971586927</v>
      </c>
      <c r="AB579" s="9">
        <f t="shared" si="80"/>
        <v>-0.34806778240360231</v>
      </c>
      <c r="AC579" s="9">
        <f t="shared" si="81"/>
        <v>-0.35147700963917916</v>
      </c>
      <c r="AD579" s="2">
        <f t="shared" si="82"/>
        <v>9.7947222004697299E-3</v>
      </c>
      <c r="AE579" s="8">
        <f t="shared" si="83"/>
        <v>4.9357247517495054E-3</v>
      </c>
      <c r="AF579" s="2">
        <f t="shared" si="84"/>
        <v>-1.1489669088359444E-3</v>
      </c>
      <c r="AG579" s="8">
        <f t="shared" si="85"/>
        <v>6.0846916605854498E-3</v>
      </c>
      <c r="AH579" s="7">
        <f t="shared" si="86"/>
        <v>-0.18882910966196673</v>
      </c>
      <c r="AI579">
        <f t="shared" si="87"/>
        <v>4</v>
      </c>
      <c r="AJ579" s="10">
        <f t="shared" si="88"/>
        <v>9.7355066569367196E-2</v>
      </c>
    </row>
    <row r="580" spans="1:36" hidden="1" x14ac:dyDescent="0.25">
      <c r="A580" t="b">
        <v>0</v>
      </c>
      <c r="B580">
        <v>1000</v>
      </c>
      <c r="C580">
        <v>9.7355066569367196E-2</v>
      </c>
      <c r="D580" t="s">
        <v>52</v>
      </c>
      <c r="E580" t="b">
        <v>1</v>
      </c>
      <c r="F580" t="s">
        <v>53</v>
      </c>
      <c r="G580">
        <v>7.4999999999999997E-2</v>
      </c>
      <c r="H580">
        <v>0.5</v>
      </c>
      <c r="I580">
        <v>1E-4</v>
      </c>
      <c r="J580" t="b">
        <v>1</v>
      </c>
      <c r="K580">
        <v>4</v>
      </c>
      <c r="L580">
        <v>1500</v>
      </c>
      <c r="M580">
        <v>0.1</v>
      </c>
      <c r="N580">
        <v>0.154</v>
      </c>
      <c r="O580" t="s">
        <v>308</v>
      </c>
      <c r="P580" t="s">
        <v>311</v>
      </c>
      <c r="Q580">
        <v>-1.3658334744012099E-4</v>
      </c>
      <c r="R580">
        <v>3.0419548605278602E-4</v>
      </c>
      <c r="S580">
        <v>4.6816591757323998E-4</v>
      </c>
      <c r="T580">
        <v>-2.60746163109455E-3</v>
      </c>
      <c r="U580">
        <v>4.0062042141490899</v>
      </c>
      <c r="V580" s="1">
        <v>9.9999999999997097E-15</v>
      </c>
      <c r="W580">
        <v>0.14961874478359299</v>
      </c>
      <c r="X580">
        <v>2.4999999999999898</v>
      </c>
      <c r="Y580">
        <v>6.7757154298414104</v>
      </c>
      <c r="Z580">
        <v>0.49999999966452002</v>
      </c>
      <c r="AA580">
        <v>12.3538187294509</v>
      </c>
      <c r="AB580" s="9">
        <f t="shared" si="80"/>
        <v>-0.34809529234454556</v>
      </c>
      <c r="AC580" s="9">
        <f t="shared" si="81"/>
        <v>-0.35147700963917916</v>
      </c>
      <c r="AD580" s="2">
        <f t="shared" si="82"/>
        <v>9.7149182106328613E-3</v>
      </c>
      <c r="AE580" s="8">
        <f t="shared" si="83"/>
        <v>4.9449855617955023E-3</v>
      </c>
      <c r="AF580" s="2">
        <f t="shared" si="84"/>
        <v>-1.1397060987899475E-3</v>
      </c>
      <c r="AG580" s="8">
        <f t="shared" si="85"/>
        <v>6.0846916605854498E-3</v>
      </c>
      <c r="AH580" s="7">
        <f t="shared" si="86"/>
        <v>-0.18730712456188595</v>
      </c>
      <c r="AI580">
        <f t="shared" si="87"/>
        <v>4</v>
      </c>
      <c r="AJ580" s="10">
        <f t="shared" si="88"/>
        <v>9.7355066569367196E-2</v>
      </c>
    </row>
    <row r="581" spans="1:36" hidden="1" x14ac:dyDescent="0.25">
      <c r="A581" t="b">
        <v>0</v>
      </c>
      <c r="B581">
        <v>1000</v>
      </c>
      <c r="C581">
        <v>9.7355066569367196E-2</v>
      </c>
      <c r="D581" t="s">
        <v>52</v>
      </c>
      <c r="E581" t="b">
        <v>1</v>
      </c>
      <c r="F581" t="s">
        <v>53</v>
      </c>
      <c r="G581">
        <v>7.4999999999999997E-2</v>
      </c>
      <c r="H581">
        <v>0.5</v>
      </c>
      <c r="I581">
        <v>1E-4</v>
      </c>
      <c r="J581" t="b">
        <v>1</v>
      </c>
      <c r="K581">
        <v>4</v>
      </c>
      <c r="L581">
        <v>1500</v>
      </c>
      <c r="M581">
        <v>0.1</v>
      </c>
      <c r="N581">
        <v>0.154</v>
      </c>
      <c r="O581" t="s">
        <v>308</v>
      </c>
      <c r="P581" t="s">
        <v>312</v>
      </c>
      <c r="Q581">
        <v>-2.7316614902501599E-4</v>
      </c>
      <c r="R581">
        <v>6.1296101254105096E-4</v>
      </c>
      <c r="S581">
        <v>9.3632580634715897E-4</v>
      </c>
      <c r="T581">
        <v>-5.2146925171539498E-3</v>
      </c>
      <c r="U581">
        <v>4.0057159964429001</v>
      </c>
      <c r="V581" s="1">
        <v>9.9999999999999905E-15</v>
      </c>
      <c r="W581">
        <v>0.152460125644759</v>
      </c>
      <c r="X581">
        <v>2.4999999999999898</v>
      </c>
      <c r="Y581">
        <v>6.7971284025132999</v>
      </c>
      <c r="Z581">
        <v>0.499999999999999</v>
      </c>
      <c r="AA581">
        <v>12.4585014687975</v>
      </c>
      <c r="AB581" s="9">
        <f t="shared" si="80"/>
        <v>-0.34808213136152955</v>
      </c>
      <c r="AC581" s="9">
        <f t="shared" si="81"/>
        <v>-0.35147700963917916</v>
      </c>
      <c r="AD581" s="2">
        <f t="shared" si="82"/>
        <v>9.7530955248132933E-3</v>
      </c>
      <c r="AE581" s="8">
        <f t="shared" si="83"/>
        <v>4.9405550924674089E-3</v>
      </c>
      <c r="AF581" s="2">
        <f t="shared" si="84"/>
        <v>-1.1441365681180409E-3</v>
      </c>
      <c r="AG581" s="8">
        <f t="shared" si="85"/>
        <v>6.0846916605854498E-3</v>
      </c>
      <c r="AH581" s="7">
        <f t="shared" si="86"/>
        <v>-0.18803525830723125</v>
      </c>
      <c r="AI581">
        <f t="shared" si="87"/>
        <v>4</v>
      </c>
      <c r="AJ581" s="10">
        <f t="shared" si="88"/>
        <v>9.7355066569367196E-2</v>
      </c>
    </row>
    <row r="582" spans="1:36" hidden="1" x14ac:dyDescent="0.25">
      <c r="A582" t="b">
        <v>0</v>
      </c>
      <c r="B582">
        <v>1000</v>
      </c>
      <c r="C582">
        <v>9.7355066569367196E-2</v>
      </c>
      <c r="D582" t="s">
        <v>52</v>
      </c>
      <c r="E582" t="b">
        <v>1</v>
      </c>
      <c r="F582" t="s">
        <v>53</v>
      </c>
      <c r="G582">
        <v>7.4999999999999997E-2</v>
      </c>
      <c r="H582">
        <v>0.5</v>
      </c>
      <c r="I582">
        <v>1E-4</v>
      </c>
      <c r="J582" t="b">
        <v>1</v>
      </c>
      <c r="K582">
        <v>4</v>
      </c>
      <c r="L582">
        <v>1500</v>
      </c>
      <c r="M582">
        <v>0.1</v>
      </c>
      <c r="N582">
        <v>0.154</v>
      </c>
      <c r="O582" t="s">
        <v>309</v>
      </c>
      <c r="P582" t="s">
        <v>312</v>
      </c>
      <c r="Q582">
        <v>-1.36582801138165E-4</v>
      </c>
      <c r="R582">
        <v>3.0550910710775499E-4</v>
      </c>
      <c r="S582">
        <v>4.6815988877390701E-4</v>
      </c>
      <c r="T582">
        <v>-2.6072308860590498E-3</v>
      </c>
      <c r="U582">
        <v>4.0052278545101796</v>
      </c>
      <c r="V582" s="1">
        <v>9.9999999999997097E-15</v>
      </c>
      <c r="W582">
        <v>0.15201741990034601</v>
      </c>
      <c r="X582">
        <v>2.4999999999999898</v>
      </c>
      <c r="Y582">
        <v>6.7772699190490799</v>
      </c>
      <c r="Z582">
        <v>0.49999999966393799</v>
      </c>
      <c r="AA582">
        <v>12.418603014159601</v>
      </c>
      <c r="AB582" s="9">
        <f t="shared" si="80"/>
        <v>-0.34806897020899319</v>
      </c>
      <c r="AC582" s="9">
        <f t="shared" si="81"/>
        <v>-0.35147700963917916</v>
      </c>
      <c r="AD582" s="2">
        <f t="shared" si="82"/>
        <v>9.7912762178704593E-3</v>
      </c>
      <c r="AE582" s="8">
        <f t="shared" si="83"/>
        <v>4.9361246051380595E-3</v>
      </c>
      <c r="AF582" s="2">
        <f t="shared" si="84"/>
        <v>-1.1485670554473902E-3</v>
      </c>
      <c r="AG582" s="8">
        <f t="shared" si="85"/>
        <v>6.0846916605854498E-3</v>
      </c>
      <c r="AH582" s="7">
        <f t="shared" si="86"/>
        <v>-0.18876339501102654</v>
      </c>
      <c r="AI582">
        <f t="shared" si="87"/>
        <v>4</v>
      </c>
      <c r="AJ582" s="10">
        <f t="shared" si="88"/>
        <v>9.7355066569367196E-2</v>
      </c>
    </row>
    <row r="583" spans="1:36" hidden="1" x14ac:dyDescent="0.25">
      <c r="A583" t="b">
        <v>0</v>
      </c>
      <c r="B583">
        <v>1000</v>
      </c>
      <c r="C583">
        <v>9.7355066569367196E-2</v>
      </c>
      <c r="D583" t="s">
        <v>52</v>
      </c>
      <c r="E583" t="b">
        <v>1</v>
      </c>
      <c r="F583" t="s">
        <v>53</v>
      </c>
      <c r="G583">
        <v>7.4999999999999997E-2</v>
      </c>
      <c r="H583">
        <v>0.5</v>
      </c>
      <c r="I583">
        <v>1E-4</v>
      </c>
      <c r="J583" t="b">
        <v>1</v>
      </c>
      <c r="K583">
        <v>4</v>
      </c>
      <c r="L583">
        <v>1500</v>
      </c>
      <c r="M583">
        <v>0.1</v>
      </c>
      <c r="N583">
        <v>0.154</v>
      </c>
      <c r="O583" t="s">
        <v>310</v>
      </c>
      <c r="P583" t="s">
        <v>311</v>
      </c>
      <c r="Q583" s="1">
        <v>-1.95280898389323E-5</v>
      </c>
      <c r="R583" s="1">
        <v>4.1108911026376401E-5</v>
      </c>
      <c r="S583" s="1">
        <v>6.6940038561925794E-5</v>
      </c>
      <c r="T583">
        <v>-3.7300079988803402E-4</v>
      </c>
      <c r="U583">
        <v>4.0057859088620802</v>
      </c>
      <c r="V583" s="1">
        <v>9.9999999999999905E-15</v>
      </c>
      <c r="W583">
        <v>0.13982962869218499</v>
      </c>
      <c r="X583">
        <v>2.4999999999999898</v>
      </c>
      <c r="Y583">
        <v>6.4534425874388299</v>
      </c>
      <c r="Z583">
        <v>0.49999999995383598</v>
      </c>
      <c r="AA583">
        <v>11.6601546629231</v>
      </c>
      <c r="AB583" s="9">
        <f t="shared" si="80"/>
        <v>-0.34826018170628686</v>
      </c>
      <c r="AC583" s="9">
        <f t="shared" si="81"/>
        <v>-0.35147700963917916</v>
      </c>
      <c r="AD583" s="2">
        <f t="shared" si="82"/>
        <v>9.2368525081780728E-3</v>
      </c>
      <c r="AE583" s="8">
        <f t="shared" si="83"/>
        <v>5.0004966762095841E-3</v>
      </c>
      <c r="AF583" s="2">
        <f t="shared" si="84"/>
        <v>-1.0841949843758657E-3</v>
      </c>
      <c r="AG583" s="8">
        <f t="shared" si="85"/>
        <v>6.0846916605854498E-3</v>
      </c>
      <c r="AH583" s="7">
        <f t="shared" si="86"/>
        <v>-0.17818404692532075</v>
      </c>
      <c r="AI583">
        <f t="shared" si="87"/>
        <v>4</v>
      </c>
      <c r="AJ583" s="10">
        <f t="shared" si="88"/>
        <v>9.7355066569367196E-2</v>
      </c>
    </row>
    <row r="584" spans="1:36" hidden="1" x14ac:dyDescent="0.25">
      <c r="A584" t="b">
        <v>0</v>
      </c>
      <c r="B584">
        <v>1000</v>
      </c>
      <c r="C584">
        <v>9.7355066569367196E-2</v>
      </c>
      <c r="D584" t="s">
        <v>52</v>
      </c>
      <c r="E584" t="b">
        <v>1</v>
      </c>
      <c r="F584" t="s">
        <v>53</v>
      </c>
      <c r="G584">
        <v>7.4999999999999997E-2</v>
      </c>
      <c r="H584">
        <v>0.5</v>
      </c>
      <c r="I584">
        <v>1E-4</v>
      </c>
      <c r="J584" t="b">
        <v>1</v>
      </c>
      <c r="K584">
        <v>4</v>
      </c>
      <c r="L584">
        <v>1500</v>
      </c>
      <c r="M584">
        <v>0.1</v>
      </c>
      <c r="N584">
        <v>0.154</v>
      </c>
      <c r="O584" t="s">
        <v>310</v>
      </c>
      <c r="P584" t="s">
        <v>312</v>
      </c>
      <c r="Q584">
        <v>-1.5611089095566701E-4</v>
      </c>
      <c r="R584">
        <v>3.3910124893424899E-4</v>
      </c>
      <c r="S584">
        <v>5.35099927335844E-4</v>
      </c>
      <c r="T584">
        <v>-2.9802316859476102E-3</v>
      </c>
      <c r="U584">
        <v>4.0052976911558904</v>
      </c>
      <c r="V584" s="1">
        <v>9.9999999999997002E-15</v>
      </c>
      <c r="W584">
        <v>0.14560173552557801</v>
      </c>
      <c r="X584">
        <v>2.4999999999999898</v>
      </c>
      <c r="Y584">
        <v>6.6235538454390097</v>
      </c>
      <c r="Z584">
        <v>0.49999999965956299</v>
      </c>
      <c r="AA584">
        <v>12.0443026933329</v>
      </c>
      <c r="AB584" s="9">
        <f t="shared" si="80"/>
        <v>-0.34809289042347547</v>
      </c>
      <c r="AC584" s="9">
        <f t="shared" si="81"/>
        <v>-0.35147700963917916</v>
      </c>
      <c r="AD584" s="2">
        <f t="shared" si="82"/>
        <v>9.7218854759908435E-3</v>
      </c>
      <c r="AE584" s="8">
        <f t="shared" si="83"/>
        <v>4.9441769842014059E-3</v>
      </c>
      <c r="AF584" s="2">
        <f t="shared" si="84"/>
        <v>-1.1405146763840439E-3</v>
      </c>
      <c r="AG584" s="8">
        <f t="shared" si="85"/>
        <v>6.0846916605854498E-3</v>
      </c>
      <c r="AH584" s="7">
        <f t="shared" si="86"/>
        <v>-0.18744001175472993</v>
      </c>
      <c r="AI584">
        <f t="shared" si="87"/>
        <v>4</v>
      </c>
      <c r="AJ584" s="10">
        <f t="shared" si="88"/>
        <v>9.7355066569367196E-2</v>
      </c>
    </row>
    <row r="585" spans="1:36" hidden="1" x14ac:dyDescent="0.25">
      <c r="A585" t="b">
        <v>0</v>
      </c>
      <c r="B585">
        <v>1000</v>
      </c>
      <c r="C585">
        <v>9.7355066569367196E-2</v>
      </c>
      <c r="D585" t="s">
        <v>52</v>
      </c>
      <c r="E585" t="b">
        <v>1</v>
      </c>
      <c r="F585" t="s">
        <v>53</v>
      </c>
      <c r="G585">
        <v>7.4999999999999997E-2</v>
      </c>
      <c r="H585">
        <v>0.5</v>
      </c>
      <c r="I585">
        <v>1E-4</v>
      </c>
      <c r="J585" t="b">
        <v>1</v>
      </c>
      <c r="K585">
        <v>4</v>
      </c>
      <c r="L585">
        <v>1500</v>
      </c>
      <c r="M585">
        <v>0.1</v>
      </c>
      <c r="N585">
        <v>0.154</v>
      </c>
      <c r="O585" t="s">
        <v>311</v>
      </c>
      <c r="P585" t="s">
        <v>312</v>
      </c>
      <c r="Q585">
        <v>-1.3658280113815999E-4</v>
      </c>
      <c r="R585">
        <v>3.1300286055077701E-4</v>
      </c>
      <c r="S585">
        <v>4.68159888773914E-4</v>
      </c>
      <c r="T585">
        <v>-2.6072308860594501E-3</v>
      </c>
      <c r="U585">
        <v>4.0052278545159101</v>
      </c>
      <c r="V585" s="1">
        <v>9.9999999999997097E-15</v>
      </c>
      <c r="W585">
        <v>0.15527278465852901</v>
      </c>
      <c r="X585">
        <v>2.4999999999999898</v>
      </c>
      <c r="Y585">
        <v>6.9389320824783702</v>
      </c>
      <c r="Z585">
        <v>0.49999999966393199</v>
      </c>
      <c r="AA585">
        <v>12.7236991926075</v>
      </c>
      <c r="AB585" s="9">
        <f t="shared" si="80"/>
        <v>-0.34806897020904143</v>
      </c>
      <c r="AC585" s="9">
        <f t="shared" si="81"/>
        <v>-0.35147700963917916</v>
      </c>
      <c r="AD585" s="2">
        <f t="shared" si="82"/>
        <v>9.7912762177305712E-3</v>
      </c>
      <c r="AE585" s="8">
        <f t="shared" si="83"/>
        <v>4.9361246051543052E-3</v>
      </c>
      <c r="AF585" s="2">
        <f t="shared" si="84"/>
        <v>-1.1485670554311446E-3</v>
      </c>
      <c r="AG585" s="8">
        <f t="shared" si="85"/>
        <v>6.0846916605854498E-3</v>
      </c>
      <c r="AH585" s="7">
        <f t="shared" si="86"/>
        <v>-0.18876339500835659</v>
      </c>
      <c r="AI585">
        <f t="shared" si="87"/>
        <v>4</v>
      </c>
      <c r="AJ585" s="10">
        <f t="shared" si="88"/>
        <v>9.7355066569367196E-2</v>
      </c>
    </row>
    <row r="586" spans="1:36" hidden="1" x14ac:dyDescent="0.25">
      <c r="A586" t="b">
        <v>0</v>
      </c>
      <c r="B586">
        <v>1000</v>
      </c>
      <c r="C586">
        <v>0.21842458697599701</v>
      </c>
      <c r="D586" t="s">
        <v>52</v>
      </c>
      <c r="E586" t="b">
        <v>1</v>
      </c>
      <c r="F586" t="s">
        <v>53</v>
      </c>
      <c r="G586">
        <v>7.4999999999999997E-2</v>
      </c>
      <c r="H586">
        <v>0.5</v>
      </c>
      <c r="I586">
        <v>1E-4</v>
      </c>
      <c r="J586" t="b">
        <v>1</v>
      </c>
      <c r="K586">
        <v>1</v>
      </c>
      <c r="L586">
        <v>1500</v>
      </c>
      <c r="M586">
        <v>0.25</v>
      </c>
      <c r="N586">
        <v>0.154</v>
      </c>
      <c r="O586" t="s">
        <v>313</v>
      </c>
      <c r="P586" t="s">
        <v>314</v>
      </c>
      <c r="Q586" s="1">
        <v>-1.7698527352707199E-6</v>
      </c>
      <c r="R586" s="1">
        <v>1.53884812796711E-7</v>
      </c>
      <c r="S586" s="1">
        <v>5.2918139576545604E-6</v>
      </c>
      <c r="T586" s="1">
        <v>-5.14382332003037E-6</v>
      </c>
      <c r="U586">
        <v>1.12365144000166</v>
      </c>
      <c r="V586" s="1">
        <v>-6.5172727741410896E-16</v>
      </c>
      <c r="W586">
        <v>5.8685978803001797E-3</v>
      </c>
      <c r="X586">
        <v>1.9011044977415199</v>
      </c>
      <c r="Y586">
        <v>0.37588909037086199</v>
      </c>
      <c r="Z586">
        <v>6.8013629603867901E-3</v>
      </c>
      <c r="AA586">
        <v>0.31263141597564997</v>
      </c>
      <c r="AB586" s="9">
        <f t="shared" si="80"/>
        <v>-0.97203404374975744</v>
      </c>
      <c r="AC586" s="9">
        <f t="shared" si="81"/>
        <v>-0.8711374518092353</v>
      </c>
      <c r="AD586" s="2">
        <f t="shared" si="82"/>
        <v>-0.10379944261139185</v>
      </c>
      <c r="AE586" s="8">
        <f t="shared" si="83"/>
        <v>0.2704869786028104</v>
      </c>
      <c r="AF586" s="2">
        <f t="shared" si="84"/>
        <v>5.2062391626813392E-2</v>
      </c>
      <c r="AG586" s="8">
        <f t="shared" si="85"/>
        <v>0.21842458697599701</v>
      </c>
      <c r="AH586" s="7">
        <f t="shared" si="86"/>
        <v>0.238354080681103</v>
      </c>
      <c r="AI586">
        <f t="shared" si="87"/>
        <v>1</v>
      </c>
      <c r="AJ586" s="10">
        <f t="shared" si="88"/>
        <v>0.21842458697599701</v>
      </c>
    </row>
    <row r="587" spans="1:36" hidden="1" x14ac:dyDescent="0.25">
      <c r="A587" t="b">
        <v>0</v>
      </c>
      <c r="B587">
        <v>1000</v>
      </c>
      <c r="C587">
        <v>0.21842458697599701</v>
      </c>
      <c r="D587" t="s">
        <v>52</v>
      </c>
      <c r="E587" t="b">
        <v>1</v>
      </c>
      <c r="F587" t="s">
        <v>53</v>
      </c>
      <c r="G587">
        <v>7.4999999999999997E-2</v>
      </c>
      <c r="H587">
        <v>0.5</v>
      </c>
      <c r="I587">
        <v>1E-4</v>
      </c>
      <c r="J587" t="b">
        <v>1</v>
      </c>
      <c r="K587">
        <v>1</v>
      </c>
      <c r="L587">
        <v>1500</v>
      </c>
      <c r="M587">
        <v>0.25</v>
      </c>
      <c r="N587">
        <v>0.154</v>
      </c>
      <c r="O587" t="s">
        <v>313</v>
      </c>
      <c r="P587" t="s">
        <v>315</v>
      </c>
      <c r="Q587" s="1">
        <v>-1.4153493915217201E-5</v>
      </c>
      <c r="R587" s="1">
        <v>1.23751288527896E-6</v>
      </c>
      <c r="S587" s="1">
        <v>4.2318530519806901E-5</v>
      </c>
      <c r="T587" s="1">
        <v>-4.1130611998826197E-5</v>
      </c>
      <c r="U587">
        <v>1.12362741941637</v>
      </c>
      <c r="V587" s="1">
        <v>-6.5220028374501802E-16</v>
      </c>
      <c r="W587">
        <v>5.8719239905418996E-3</v>
      </c>
      <c r="X587">
        <v>1.9010827222356399</v>
      </c>
      <c r="Y587">
        <v>0.37652853031127098</v>
      </c>
      <c r="Z587">
        <v>6.8028706030349396E-3</v>
      </c>
      <c r="AA587">
        <v>0.31438254602755</v>
      </c>
      <c r="AB587" s="9">
        <f t="shared" si="80"/>
        <v>-0.97192911695209483</v>
      </c>
      <c r="AC587" s="9">
        <f t="shared" si="81"/>
        <v>-0.8711374518092353</v>
      </c>
      <c r="AD587" s="2">
        <f t="shared" si="82"/>
        <v>-0.10370269126100007</v>
      </c>
      <c r="AE587" s="8">
        <f t="shared" si="83"/>
        <v>0.2704305256968606</v>
      </c>
      <c r="AF587" s="2">
        <f t="shared" si="84"/>
        <v>5.2005938720863593E-2</v>
      </c>
      <c r="AG587" s="8">
        <f t="shared" si="85"/>
        <v>0.21842458697599701</v>
      </c>
      <c r="AH587" s="7">
        <f t="shared" si="86"/>
        <v>0.23809562577576762</v>
      </c>
      <c r="AI587">
        <f t="shared" si="87"/>
        <v>1</v>
      </c>
      <c r="AJ587" s="10">
        <f t="shared" si="88"/>
        <v>0.21842458697599701</v>
      </c>
    </row>
    <row r="588" spans="1:36" hidden="1" x14ac:dyDescent="0.25">
      <c r="A588" t="b">
        <v>0</v>
      </c>
      <c r="B588">
        <v>1000</v>
      </c>
      <c r="C588">
        <v>0.21842458697599701</v>
      </c>
      <c r="D588" t="s">
        <v>52</v>
      </c>
      <c r="E588" t="b">
        <v>1</v>
      </c>
      <c r="F588" t="s">
        <v>53</v>
      </c>
      <c r="G588">
        <v>7.4999999999999997E-2</v>
      </c>
      <c r="H588">
        <v>0.5</v>
      </c>
      <c r="I588">
        <v>1E-4</v>
      </c>
      <c r="J588" t="b">
        <v>1</v>
      </c>
      <c r="K588">
        <v>1</v>
      </c>
      <c r="L588">
        <v>1500</v>
      </c>
      <c r="M588">
        <v>0.25</v>
      </c>
      <c r="N588">
        <v>0.154</v>
      </c>
      <c r="O588" t="s">
        <v>313</v>
      </c>
      <c r="P588" t="s">
        <v>316</v>
      </c>
      <c r="Q588" s="1">
        <v>-1.76985273526942E-6</v>
      </c>
      <c r="R588" s="1">
        <v>1.5386238780926399E-7</v>
      </c>
      <c r="S588" s="1">
        <v>5.2918139576472598E-6</v>
      </c>
      <c r="T588" s="1">
        <v>-5.1438233198300103E-6</v>
      </c>
      <c r="U588">
        <v>1.12365144004219</v>
      </c>
      <c r="V588" s="1">
        <v>-6.5172727766403301E-16</v>
      </c>
      <c r="W588">
        <v>5.8070788677063298E-3</v>
      </c>
      <c r="X588">
        <v>1.9011044977395199</v>
      </c>
      <c r="Y588">
        <v>0.375954247263595</v>
      </c>
      <c r="Z588">
        <v>6.8013629609889803E-3</v>
      </c>
      <c r="AA588">
        <v>0.312579485424478</v>
      </c>
      <c r="AB588" s="9">
        <f t="shared" si="80"/>
        <v>-0.97203404371323621</v>
      </c>
      <c r="AC588" s="9">
        <f t="shared" si="81"/>
        <v>-0.8711374518092353</v>
      </c>
      <c r="AD588" s="2">
        <f t="shared" si="82"/>
        <v>-0.10379944257771989</v>
      </c>
      <c r="AE588" s="8">
        <f t="shared" si="83"/>
        <v>0.27048697858316029</v>
      </c>
      <c r="AF588" s="2">
        <f t="shared" si="84"/>
        <v>5.2062391607163278E-2</v>
      </c>
      <c r="AG588" s="8">
        <f t="shared" si="85"/>
        <v>0.21842458697599701</v>
      </c>
      <c r="AH588" s="7">
        <f t="shared" si="86"/>
        <v>0.23835408059114008</v>
      </c>
      <c r="AI588">
        <f t="shared" si="87"/>
        <v>1</v>
      </c>
      <c r="AJ588" s="10">
        <f t="shared" si="88"/>
        <v>0.21842458697599701</v>
      </c>
    </row>
    <row r="589" spans="1:36" hidden="1" x14ac:dyDescent="0.25">
      <c r="A589" t="b">
        <v>0</v>
      </c>
      <c r="B589">
        <v>1000</v>
      </c>
      <c r="C589">
        <v>0.21842458697599701</v>
      </c>
      <c r="D589" t="s">
        <v>52</v>
      </c>
      <c r="E589" t="b">
        <v>1</v>
      </c>
      <c r="F589" t="s">
        <v>53</v>
      </c>
      <c r="G589">
        <v>7.4999999999999997E-2</v>
      </c>
      <c r="H589">
        <v>0.5</v>
      </c>
      <c r="I589">
        <v>1E-4</v>
      </c>
      <c r="J589" t="b">
        <v>1</v>
      </c>
      <c r="K589">
        <v>1</v>
      </c>
      <c r="L589">
        <v>1500</v>
      </c>
      <c r="M589">
        <v>0.25</v>
      </c>
      <c r="N589">
        <v>0.154</v>
      </c>
      <c r="O589" t="s">
        <v>313</v>
      </c>
      <c r="P589" t="s">
        <v>317</v>
      </c>
      <c r="Q589" s="1">
        <v>-3.5396993792136498E-6</v>
      </c>
      <c r="R589" s="1">
        <v>3.1226197726004498E-7</v>
      </c>
      <c r="S589" s="1">
        <v>1.05836092970853E-5</v>
      </c>
      <c r="T589" s="1">
        <v>-1.0287592864736699E-5</v>
      </c>
      <c r="U589">
        <v>1.1236480066821699</v>
      </c>
      <c r="V589" s="1">
        <v>-6.5219758969446595E-16</v>
      </c>
      <c r="W589">
        <v>5.9271611159717498E-3</v>
      </c>
      <c r="X589">
        <v>1.9011037804242601</v>
      </c>
      <c r="Y589">
        <v>0.37740101207586901</v>
      </c>
      <c r="Z589">
        <v>6.8014099495369703E-3</v>
      </c>
      <c r="AA589">
        <v>0.31721584695564797</v>
      </c>
      <c r="AB589" s="9">
        <f t="shared" si="80"/>
        <v>-0.97203067270915577</v>
      </c>
      <c r="AC589" s="9">
        <f t="shared" si="81"/>
        <v>-0.8711374518092353</v>
      </c>
      <c r="AD589" s="2">
        <f t="shared" si="82"/>
        <v>-0.1037963345526125</v>
      </c>
      <c r="AE589" s="8">
        <f t="shared" si="83"/>
        <v>0.27048516483142898</v>
      </c>
      <c r="AF589" s="2">
        <f t="shared" si="84"/>
        <v>5.2060577855431972E-2</v>
      </c>
      <c r="AG589" s="8">
        <f t="shared" si="85"/>
        <v>0.21842458697599701</v>
      </c>
      <c r="AH589" s="7">
        <f t="shared" si="86"/>
        <v>0.23834577680191738</v>
      </c>
      <c r="AI589">
        <f t="shared" si="87"/>
        <v>1</v>
      </c>
      <c r="AJ589" s="10">
        <f t="shared" si="88"/>
        <v>0.21842458697599701</v>
      </c>
    </row>
    <row r="590" spans="1:36" hidden="1" x14ac:dyDescent="0.25">
      <c r="A590" t="b">
        <v>0</v>
      </c>
      <c r="B590">
        <v>1000</v>
      </c>
      <c r="C590">
        <v>0.21842458697599701</v>
      </c>
      <c r="D590" t="s">
        <v>52</v>
      </c>
      <c r="E590" t="b">
        <v>1</v>
      </c>
      <c r="F590" t="s">
        <v>53</v>
      </c>
      <c r="G590">
        <v>7.4999999999999997E-2</v>
      </c>
      <c r="H590">
        <v>0.5</v>
      </c>
      <c r="I590">
        <v>1E-4</v>
      </c>
      <c r="J590" t="b">
        <v>1</v>
      </c>
      <c r="K590">
        <v>1</v>
      </c>
      <c r="L590">
        <v>1500</v>
      </c>
      <c r="M590">
        <v>0.25</v>
      </c>
      <c r="N590">
        <v>0.154</v>
      </c>
      <c r="O590" t="s">
        <v>313</v>
      </c>
      <c r="P590" t="s">
        <v>318</v>
      </c>
      <c r="Q590" s="1">
        <v>-1.5923297940736501E-5</v>
      </c>
      <c r="R590" s="1">
        <v>1.38893047027205E-6</v>
      </c>
      <c r="S590" s="1">
        <v>4.7610195596165702E-5</v>
      </c>
      <c r="T590" s="1">
        <v>-4.6274005336014302E-5</v>
      </c>
      <c r="U590">
        <v>1.12362398618521</v>
      </c>
      <c r="V590" s="1">
        <v>-6.5207427031229296E-16</v>
      </c>
      <c r="W590">
        <v>6.0086583979029901E-3</v>
      </c>
      <c r="X590">
        <v>1.90108386742407</v>
      </c>
      <c r="Y590">
        <v>0.37611557285596497</v>
      </c>
      <c r="Z590">
        <v>6.80278655252777E-3</v>
      </c>
      <c r="AA590">
        <v>0.31363386894968198</v>
      </c>
      <c r="AB590" s="9">
        <f t="shared" si="80"/>
        <v>-0.97193478742483874</v>
      </c>
      <c r="AC590" s="9">
        <f t="shared" si="81"/>
        <v>-0.8711374518092353</v>
      </c>
      <c r="AD590" s="2">
        <f t="shared" si="82"/>
        <v>-0.10370792044872479</v>
      </c>
      <c r="AE590" s="8">
        <f t="shared" si="83"/>
        <v>0.2704335764066535</v>
      </c>
      <c r="AF590" s="2">
        <f t="shared" si="84"/>
        <v>5.2008989430656488E-2</v>
      </c>
      <c r="AG590" s="8">
        <f t="shared" si="85"/>
        <v>0.21842458697599701</v>
      </c>
      <c r="AH590" s="7">
        <f t="shared" si="86"/>
        <v>0.23810959265484077</v>
      </c>
      <c r="AI590">
        <f t="shared" si="87"/>
        <v>1</v>
      </c>
      <c r="AJ590" s="10">
        <f t="shared" si="88"/>
        <v>0.21842458697599701</v>
      </c>
    </row>
    <row r="591" spans="1:36" hidden="1" x14ac:dyDescent="0.25">
      <c r="A591" t="b">
        <v>0</v>
      </c>
      <c r="B591">
        <v>1000</v>
      </c>
      <c r="C591">
        <v>0.21842458697599701</v>
      </c>
      <c r="D591" t="s">
        <v>52</v>
      </c>
      <c r="E591" t="b">
        <v>1</v>
      </c>
      <c r="F591" t="s">
        <v>53</v>
      </c>
      <c r="G591">
        <v>7.4999999999999997E-2</v>
      </c>
      <c r="H591">
        <v>0.5</v>
      </c>
      <c r="I591">
        <v>1E-4</v>
      </c>
      <c r="J591" t="b">
        <v>1</v>
      </c>
      <c r="K591">
        <v>1</v>
      </c>
      <c r="L591">
        <v>1500</v>
      </c>
      <c r="M591">
        <v>0.25</v>
      </c>
      <c r="N591">
        <v>0.154</v>
      </c>
      <c r="O591" t="s">
        <v>313</v>
      </c>
      <c r="P591" t="s">
        <v>319</v>
      </c>
      <c r="Q591" s="1">
        <v>-1.41534939151043E-5</v>
      </c>
      <c r="R591" s="1">
        <v>1.2282469963758001E-6</v>
      </c>
      <c r="S591" s="1">
        <v>4.2318530519815101E-5</v>
      </c>
      <c r="T591" s="1">
        <v>-4.1130611999128703E-5</v>
      </c>
      <c r="U591">
        <v>1.12362741946994</v>
      </c>
      <c r="V591" s="1">
        <v>-6.5196644126929797E-16</v>
      </c>
      <c r="W591">
        <v>5.76754064718804E-3</v>
      </c>
      <c r="X591">
        <v>1.90108272206494</v>
      </c>
      <c r="Y591">
        <v>0.37593784432126998</v>
      </c>
      <c r="Z591">
        <v>6.8028705985977798E-3</v>
      </c>
      <c r="AA591">
        <v>0.31201682035697398</v>
      </c>
      <c r="AB591" s="9">
        <f t="shared" si="80"/>
        <v>-0.97192911695905482</v>
      </c>
      <c r="AC591" s="9">
        <f t="shared" si="81"/>
        <v>-0.8711374518092353</v>
      </c>
      <c r="AD591" s="2">
        <f t="shared" si="82"/>
        <v>-0.10370269126741849</v>
      </c>
      <c r="AE591" s="8">
        <f t="shared" si="83"/>
        <v>0.27043052570060511</v>
      </c>
      <c r="AF591" s="2">
        <f t="shared" si="84"/>
        <v>5.2005938724608097E-2</v>
      </c>
      <c r="AG591" s="8">
        <f t="shared" si="85"/>
        <v>0.21842458697599701</v>
      </c>
      <c r="AH591" s="7">
        <f t="shared" si="86"/>
        <v>0.23809562579291088</v>
      </c>
      <c r="AI591">
        <f t="shared" si="87"/>
        <v>1</v>
      </c>
      <c r="AJ591" s="10">
        <f t="shared" si="88"/>
        <v>0.21842458697599701</v>
      </c>
    </row>
    <row r="592" spans="1:36" hidden="1" x14ac:dyDescent="0.25">
      <c r="A592" t="b">
        <v>0</v>
      </c>
      <c r="B592">
        <v>1000</v>
      </c>
      <c r="C592">
        <v>0.21842458697599701</v>
      </c>
      <c r="D592" t="s">
        <v>52</v>
      </c>
      <c r="E592" t="b">
        <v>1</v>
      </c>
      <c r="F592" t="s">
        <v>53</v>
      </c>
      <c r="G592">
        <v>7.4999999999999997E-2</v>
      </c>
      <c r="H592">
        <v>0.5</v>
      </c>
      <c r="I592">
        <v>1E-4</v>
      </c>
      <c r="J592" t="b">
        <v>1</v>
      </c>
      <c r="K592">
        <v>1</v>
      </c>
      <c r="L592">
        <v>1500</v>
      </c>
      <c r="M592">
        <v>0.25</v>
      </c>
      <c r="N592">
        <v>0.154</v>
      </c>
      <c r="O592" t="s">
        <v>313</v>
      </c>
      <c r="P592" t="s">
        <v>320</v>
      </c>
      <c r="Q592" s="1">
        <v>-1.5923297940737199E-5</v>
      </c>
      <c r="R592" s="1">
        <v>1.3779294881620399E-6</v>
      </c>
      <c r="S592" s="1">
        <v>4.7610195596168798E-5</v>
      </c>
      <c r="T592" s="1">
        <v>-4.62740053360451E-5</v>
      </c>
      <c r="U592">
        <v>1.1236239862120601</v>
      </c>
      <c r="V592" s="1">
        <v>-6.5207427061678498E-16</v>
      </c>
      <c r="W592">
        <v>6.0351263506460999E-3</v>
      </c>
      <c r="X592">
        <v>1.9010838674239099</v>
      </c>
      <c r="Y592">
        <v>0.37549507682279298</v>
      </c>
      <c r="Z592">
        <v>6.8027865525143996E-3</v>
      </c>
      <c r="AA592">
        <v>0.31113178619682602</v>
      </c>
      <c r="AB592" s="9">
        <f t="shared" si="80"/>
        <v>-0.97193478742542239</v>
      </c>
      <c r="AC592" s="9">
        <f t="shared" si="81"/>
        <v>-0.8711374518092353</v>
      </c>
      <c r="AD592" s="2">
        <f t="shared" si="82"/>
        <v>-0.10370792044926302</v>
      </c>
      <c r="AE592" s="8">
        <f t="shared" si="83"/>
        <v>0.27043357640696752</v>
      </c>
      <c r="AF592" s="2">
        <f t="shared" si="84"/>
        <v>5.2008989430970515E-2</v>
      </c>
      <c r="AG592" s="8">
        <f t="shared" si="85"/>
        <v>0.21842458697599701</v>
      </c>
      <c r="AH592" s="7">
        <f t="shared" si="86"/>
        <v>0.23810959265627846</v>
      </c>
      <c r="AI592">
        <f t="shared" si="87"/>
        <v>1</v>
      </c>
      <c r="AJ592" s="10">
        <f t="shared" si="88"/>
        <v>0.21842458697599701</v>
      </c>
    </row>
    <row r="593" spans="1:36" hidden="1" x14ac:dyDescent="0.25">
      <c r="A593" t="b">
        <v>0</v>
      </c>
      <c r="B593">
        <v>1000</v>
      </c>
      <c r="C593">
        <v>0.21842458697599701</v>
      </c>
      <c r="D593" t="s">
        <v>52</v>
      </c>
      <c r="E593" t="b">
        <v>1</v>
      </c>
      <c r="F593" t="s">
        <v>53</v>
      </c>
      <c r="G593">
        <v>7.4999999999999997E-2</v>
      </c>
      <c r="H593">
        <v>0.5</v>
      </c>
      <c r="I593">
        <v>1E-4</v>
      </c>
      <c r="J593" t="b">
        <v>1</v>
      </c>
      <c r="K593">
        <v>1</v>
      </c>
      <c r="L593">
        <v>1500</v>
      </c>
      <c r="M593">
        <v>0.25</v>
      </c>
      <c r="N593">
        <v>0.154</v>
      </c>
      <c r="O593" t="s">
        <v>313</v>
      </c>
      <c r="P593" t="s">
        <v>321</v>
      </c>
      <c r="Q593" s="1">
        <v>-2.83065983216657E-5</v>
      </c>
      <c r="R593" s="1">
        <v>2.4538354848927699E-6</v>
      </c>
      <c r="S593" s="1">
        <v>8.4635870504977894E-5</v>
      </c>
      <c r="T593" s="1">
        <v>-8.2257785895580894E-5</v>
      </c>
      <c r="U593">
        <v>1.12359996650501</v>
      </c>
      <c r="V593" s="1">
        <v>-6.5199670302094002E-16</v>
      </c>
      <c r="W593">
        <v>5.8518825573179402E-3</v>
      </c>
      <c r="X593">
        <v>1.90107698725549</v>
      </c>
      <c r="Y593">
        <v>0.37579684594134299</v>
      </c>
      <c r="Z593">
        <v>6.8032461900375298E-3</v>
      </c>
      <c r="AA593">
        <v>0.31167924496777999</v>
      </c>
      <c r="AB593" s="9">
        <f t="shared" si="80"/>
        <v>-0.97190216636033622</v>
      </c>
      <c r="AC593" s="9">
        <f t="shared" si="81"/>
        <v>-0.8711374518092353</v>
      </c>
      <c r="AD593" s="2">
        <f t="shared" si="82"/>
        <v>-0.10367783717208223</v>
      </c>
      <c r="AE593" s="8">
        <f t="shared" si="83"/>
        <v>0.2704160265003841</v>
      </c>
      <c r="AF593" s="2">
        <f t="shared" si="84"/>
        <v>5.199143952438709E-2</v>
      </c>
      <c r="AG593" s="8">
        <f t="shared" si="85"/>
        <v>0.21842458697599701</v>
      </c>
      <c r="AH593" s="7">
        <f t="shared" si="86"/>
        <v>0.23802924498651107</v>
      </c>
      <c r="AI593">
        <f t="shared" si="87"/>
        <v>1</v>
      </c>
      <c r="AJ593" s="10">
        <f t="shared" si="88"/>
        <v>0.21842458697599701</v>
      </c>
    </row>
    <row r="594" spans="1:36" hidden="1" x14ac:dyDescent="0.25">
      <c r="A594" t="b">
        <v>0</v>
      </c>
      <c r="B594">
        <v>1000</v>
      </c>
      <c r="C594">
        <v>0.21842458697599701</v>
      </c>
      <c r="D594" t="s">
        <v>52</v>
      </c>
      <c r="E594" t="b">
        <v>1</v>
      </c>
      <c r="F594" t="s">
        <v>53</v>
      </c>
      <c r="G594">
        <v>7.4999999999999997E-2</v>
      </c>
      <c r="H594">
        <v>0.5</v>
      </c>
      <c r="I594">
        <v>1E-4</v>
      </c>
      <c r="J594" t="b">
        <v>1</v>
      </c>
      <c r="K594">
        <v>1</v>
      </c>
      <c r="L594">
        <v>1500</v>
      </c>
      <c r="M594">
        <v>0.25</v>
      </c>
      <c r="N594">
        <v>0.154</v>
      </c>
      <c r="O594" t="s">
        <v>314</v>
      </c>
      <c r="P594" t="s">
        <v>315</v>
      </c>
      <c r="Q594" s="1">
        <v>-1.23836411858255E-5</v>
      </c>
      <c r="R594" s="1">
        <v>1.0823752772247299E-6</v>
      </c>
      <c r="S594" s="1">
        <v>3.7026716562150498E-5</v>
      </c>
      <c r="T594" s="1">
        <v>-3.5986788678838902E-5</v>
      </c>
      <c r="U594">
        <v>1.12362398612237</v>
      </c>
      <c r="V594" s="1">
        <v>-6.5184946283193505E-16</v>
      </c>
      <c r="W594">
        <v>5.6284707284609799E-3</v>
      </c>
      <c r="X594">
        <v>1.9010796572167901</v>
      </c>
      <c r="Y594">
        <v>0.37686782822572701</v>
      </c>
      <c r="Z594">
        <v>6.8030897860556303E-3</v>
      </c>
      <c r="AA594">
        <v>0.31425620728667503</v>
      </c>
      <c r="AB594" s="9">
        <f t="shared" si="80"/>
        <v>-0.97191412094113061</v>
      </c>
      <c r="AC594" s="9">
        <f t="shared" si="81"/>
        <v>-0.8711374518092353</v>
      </c>
      <c r="AD594" s="2">
        <f t="shared" si="82"/>
        <v>-0.10368886196890581</v>
      </c>
      <c r="AE594" s="8">
        <f t="shared" si="83"/>
        <v>0.27042245792558445</v>
      </c>
      <c r="AF594" s="2">
        <f t="shared" si="84"/>
        <v>5.1997870949587438E-2</v>
      </c>
      <c r="AG594" s="8">
        <f t="shared" si="85"/>
        <v>0.21842458697599701</v>
      </c>
      <c r="AH594" s="7">
        <f t="shared" si="86"/>
        <v>0.23805868958928858</v>
      </c>
      <c r="AI594">
        <f t="shared" si="87"/>
        <v>1</v>
      </c>
      <c r="AJ594" s="10">
        <f t="shared" si="88"/>
        <v>0.21842458697599701</v>
      </c>
    </row>
    <row r="595" spans="1:36" hidden="1" x14ac:dyDescent="0.25">
      <c r="A595" t="b">
        <v>0</v>
      </c>
      <c r="B595">
        <v>1000</v>
      </c>
      <c r="C595">
        <v>0.21842458697599701</v>
      </c>
      <c r="D595" t="s">
        <v>52</v>
      </c>
      <c r="E595" t="b">
        <v>1</v>
      </c>
      <c r="F595" t="s">
        <v>53</v>
      </c>
      <c r="G595">
        <v>7.4999999999999997E-2</v>
      </c>
      <c r="H595">
        <v>0.5</v>
      </c>
      <c r="I595">
        <v>1E-4</v>
      </c>
      <c r="J595" t="b">
        <v>1</v>
      </c>
      <c r="K595">
        <v>1</v>
      </c>
      <c r="L595">
        <v>1500</v>
      </c>
      <c r="M595">
        <v>0.25</v>
      </c>
      <c r="N595">
        <v>0.154</v>
      </c>
      <c r="O595" t="s">
        <v>314</v>
      </c>
      <c r="P595" t="s">
        <v>316</v>
      </c>
      <c r="Q595" s="1">
        <v>-1E-10</v>
      </c>
      <c r="R595" s="1">
        <v>3.5857860164163899E-12</v>
      </c>
      <c r="S595" s="1">
        <v>-5.8257693869681897E-18</v>
      </c>
      <c r="T595" s="1">
        <v>3.04459781613986E-16</v>
      </c>
      <c r="U595">
        <v>1.12364800674819</v>
      </c>
      <c r="V595">
        <v>0</v>
      </c>
      <c r="W595">
        <v>6.8474549871543097E-2</v>
      </c>
      <c r="X595">
        <v>2</v>
      </c>
      <c r="Y595">
        <v>4.0005665081781199E-3</v>
      </c>
      <c r="Z595">
        <v>2.5000000000000001E-4</v>
      </c>
      <c r="AA595">
        <v>4.7933530941398402E-3</v>
      </c>
      <c r="AB595" s="9">
        <f t="shared" si="80"/>
        <v>-52.260870863690513</v>
      </c>
      <c r="AC595" s="9">
        <f t="shared" si="81"/>
        <v>-0.8711374518092353</v>
      </c>
      <c r="AD595" s="2">
        <f t="shared" si="82"/>
        <v>-0.98333098095358229</v>
      </c>
      <c r="AE595" s="8">
        <f t="shared" si="83"/>
        <v>-1.0613151642495526</v>
      </c>
      <c r="AF595" s="2">
        <f t="shared" si="84"/>
        <v>-1.2797397512255497</v>
      </c>
      <c r="AG595" s="8">
        <f t="shared" si="85"/>
        <v>0.21842458697599701</v>
      </c>
      <c r="AH595" s="7">
        <f t="shared" si="86"/>
        <v>-5.8589546577289955</v>
      </c>
      <c r="AI595">
        <f t="shared" si="87"/>
        <v>1</v>
      </c>
      <c r="AJ595" s="10">
        <f t="shared" si="88"/>
        <v>0.21842458697599701</v>
      </c>
    </row>
    <row r="596" spans="1:36" hidden="1" x14ac:dyDescent="0.25">
      <c r="A596" t="b">
        <v>0</v>
      </c>
      <c r="B596">
        <v>1000</v>
      </c>
      <c r="C596">
        <v>0.21842458697599701</v>
      </c>
      <c r="D596" t="s">
        <v>52</v>
      </c>
      <c r="E596" t="b">
        <v>1</v>
      </c>
      <c r="F596" t="s">
        <v>53</v>
      </c>
      <c r="G596">
        <v>7.4999999999999997E-2</v>
      </c>
      <c r="H596">
        <v>0.5</v>
      </c>
      <c r="I596">
        <v>1E-4</v>
      </c>
      <c r="J596" t="b">
        <v>1</v>
      </c>
      <c r="K596">
        <v>1</v>
      </c>
      <c r="L596">
        <v>1500</v>
      </c>
      <c r="M596">
        <v>0.25</v>
      </c>
      <c r="N596">
        <v>0.154</v>
      </c>
      <c r="O596" t="s">
        <v>314</v>
      </c>
      <c r="P596" t="s">
        <v>317</v>
      </c>
      <c r="Q596" s="1">
        <v>-1.7698466447956401E-6</v>
      </c>
      <c r="R596" s="1">
        <v>1.5408947367614301E-7</v>
      </c>
      <c r="S596" s="1">
        <v>5.2917953394264701E-6</v>
      </c>
      <c r="T596" s="1">
        <v>-5.1437695445229E-6</v>
      </c>
      <c r="U596">
        <v>1.1236445733881699</v>
      </c>
      <c r="V596" s="1">
        <v>-6.5215055448259605E-16</v>
      </c>
      <c r="W596">
        <v>5.8609719334989097E-3</v>
      </c>
      <c r="X596">
        <v>1.90110311011061</v>
      </c>
      <c r="Y596">
        <v>0.37603158100252498</v>
      </c>
      <c r="Z596">
        <v>6.80146068337803E-3</v>
      </c>
      <c r="AA596">
        <v>0.31304595663135298</v>
      </c>
      <c r="AB596" s="9">
        <f t="shared" si="80"/>
        <v>-0.97202730162281492</v>
      </c>
      <c r="AC596" s="9">
        <f t="shared" si="81"/>
        <v>-0.8711374518092353</v>
      </c>
      <c r="AD596" s="2">
        <f t="shared" si="82"/>
        <v>-0.1037932264301038</v>
      </c>
      <c r="AE596" s="8">
        <f t="shared" si="83"/>
        <v>0.27048335104061666</v>
      </c>
      <c r="AF596" s="2">
        <f t="shared" si="84"/>
        <v>5.205876406461965E-2</v>
      </c>
      <c r="AG596" s="8">
        <f t="shared" si="85"/>
        <v>0.21842458697599701</v>
      </c>
      <c r="AH596" s="7">
        <f t="shared" si="86"/>
        <v>0.23833747283377243</v>
      </c>
      <c r="AI596">
        <f t="shared" si="87"/>
        <v>1</v>
      </c>
      <c r="AJ596" s="10">
        <f t="shared" si="88"/>
        <v>0.21842458697599701</v>
      </c>
    </row>
    <row r="597" spans="1:36" hidden="1" x14ac:dyDescent="0.25">
      <c r="A597" t="b">
        <v>0</v>
      </c>
      <c r="B597">
        <v>1000</v>
      </c>
      <c r="C597">
        <v>0.21842458697599701</v>
      </c>
      <c r="D597" t="s">
        <v>52</v>
      </c>
      <c r="E597" t="b">
        <v>1</v>
      </c>
      <c r="F597" t="s">
        <v>53</v>
      </c>
      <c r="G597">
        <v>7.4999999999999997E-2</v>
      </c>
      <c r="H597">
        <v>0.5</v>
      </c>
      <c r="I597">
        <v>1E-4</v>
      </c>
      <c r="J597" t="b">
        <v>1</v>
      </c>
      <c r="K597">
        <v>1</v>
      </c>
      <c r="L597">
        <v>1500</v>
      </c>
      <c r="M597">
        <v>0.25</v>
      </c>
      <c r="N597">
        <v>0.154</v>
      </c>
      <c r="O597" t="s">
        <v>314</v>
      </c>
      <c r="P597" t="s">
        <v>318</v>
      </c>
      <c r="Q597" s="1">
        <v>-1.41534452122899E-5</v>
      </c>
      <c r="R597" s="1">
        <v>1.23449548533645E-6</v>
      </c>
      <c r="S597" s="1">
        <v>4.2318381638513201E-5</v>
      </c>
      <c r="T597" s="1">
        <v>-4.1130182016159903E-5</v>
      </c>
      <c r="U597">
        <v>1.12362055289121</v>
      </c>
      <c r="V597" s="1">
        <v>-6.5171513786420796E-16</v>
      </c>
      <c r="W597">
        <v>5.7199606172354204E-3</v>
      </c>
      <c r="X597">
        <v>1.9010813342974999</v>
      </c>
      <c r="Y597">
        <v>0.37648322444418703</v>
      </c>
      <c r="Z597">
        <v>6.802968262519E-3</v>
      </c>
      <c r="AA597">
        <v>0.31360895224533902</v>
      </c>
      <c r="AB597" s="9">
        <f t="shared" si="80"/>
        <v>-0.9719223756592823</v>
      </c>
      <c r="AC597" s="9">
        <f t="shared" si="81"/>
        <v>-0.8711374518092353</v>
      </c>
      <c r="AD597" s="2">
        <f t="shared" si="82"/>
        <v>-0.10369647450670305</v>
      </c>
      <c r="AE597" s="8">
        <f t="shared" si="83"/>
        <v>0.27042689890579147</v>
      </c>
      <c r="AF597" s="2">
        <f t="shared" si="84"/>
        <v>5.2002311929794459E-2</v>
      </c>
      <c r="AG597" s="8">
        <f t="shared" si="85"/>
        <v>0.21842458697599701</v>
      </c>
      <c r="AH597" s="7">
        <f t="shared" si="86"/>
        <v>0.23807902145882995</v>
      </c>
      <c r="AI597">
        <f t="shared" si="87"/>
        <v>1</v>
      </c>
      <c r="AJ597" s="10">
        <f t="shared" si="88"/>
        <v>0.21842458697599701</v>
      </c>
    </row>
    <row r="598" spans="1:36" hidden="1" x14ac:dyDescent="0.25">
      <c r="A598" t="b">
        <v>0</v>
      </c>
      <c r="B598">
        <v>1000</v>
      </c>
      <c r="C598">
        <v>0.21842458697599701</v>
      </c>
      <c r="D598" t="s">
        <v>52</v>
      </c>
      <c r="E598" t="b">
        <v>1</v>
      </c>
      <c r="F598" t="s">
        <v>53</v>
      </c>
      <c r="G598">
        <v>7.4999999999999997E-2</v>
      </c>
      <c r="H598">
        <v>0.5</v>
      </c>
      <c r="I598">
        <v>1E-4</v>
      </c>
      <c r="J598" t="b">
        <v>1</v>
      </c>
      <c r="K598">
        <v>1</v>
      </c>
      <c r="L598">
        <v>1500</v>
      </c>
      <c r="M598">
        <v>0.25</v>
      </c>
      <c r="N598">
        <v>0.154</v>
      </c>
      <c r="O598" t="s">
        <v>314</v>
      </c>
      <c r="P598" t="s">
        <v>319</v>
      </c>
      <c r="Q598" s="1">
        <v>-1.23836411857977E-5</v>
      </c>
      <c r="R598" s="1">
        <v>1.07888425242004E-6</v>
      </c>
      <c r="S598" s="1">
        <v>3.7026716562158602E-5</v>
      </c>
      <c r="T598" s="1">
        <v>-3.59867886791001E-5</v>
      </c>
      <c r="U598">
        <v>1.1236239861759401</v>
      </c>
      <c r="V598" s="1">
        <v>-6.5203033935124099E-16</v>
      </c>
      <c r="W598">
        <v>5.5380867863154904E-3</v>
      </c>
      <c r="X598">
        <v>1.90107965701681</v>
      </c>
      <c r="Y598">
        <v>0.37663804888697699</v>
      </c>
      <c r="Z598">
        <v>6.8030897744884898E-3</v>
      </c>
      <c r="AA598">
        <v>0.31323840556332899</v>
      </c>
      <c r="AB598" s="9">
        <f t="shared" si="80"/>
        <v>-0.97191412094797214</v>
      </c>
      <c r="AC598" s="9">
        <f t="shared" si="81"/>
        <v>-0.8711374518092353</v>
      </c>
      <c r="AD598" s="2">
        <f t="shared" si="82"/>
        <v>-0.1036888619752151</v>
      </c>
      <c r="AE598" s="8">
        <f t="shared" si="83"/>
        <v>0.27042245792926517</v>
      </c>
      <c r="AF598" s="2">
        <f t="shared" si="84"/>
        <v>5.199787095326816E-2</v>
      </c>
      <c r="AG598" s="8">
        <f t="shared" si="85"/>
        <v>0.21842458697599701</v>
      </c>
      <c r="AH598" s="7">
        <f t="shared" si="86"/>
        <v>0.23805868960613982</v>
      </c>
      <c r="AI598">
        <f t="shared" si="87"/>
        <v>1</v>
      </c>
      <c r="AJ598" s="10">
        <f t="shared" si="88"/>
        <v>0.21842458697599701</v>
      </c>
    </row>
    <row r="599" spans="1:36" hidden="1" x14ac:dyDescent="0.25">
      <c r="A599" t="b">
        <v>0</v>
      </c>
      <c r="B599">
        <v>1000</v>
      </c>
      <c r="C599">
        <v>0.21842458697599701</v>
      </c>
      <c r="D599" t="s">
        <v>52</v>
      </c>
      <c r="E599" t="b">
        <v>1</v>
      </c>
      <c r="F599" t="s">
        <v>53</v>
      </c>
      <c r="G599">
        <v>7.4999999999999997E-2</v>
      </c>
      <c r="H599">
        <v>0.5</v>
      </c>
      <c r="I599">
        <v>1E-4</v>
      </c>
      <c r="J599" t="b">
        <v>1</v>
      </c>
      <c r="K599">
        <v>1</v>
      </c>
      <c r="L599">
        <v>1500</v>
      </c>
      <c r="M599">
        <v>0.25</v>
      </c>
      <c r="N599">
        <v>0.154</v>
      </c>
      <c r="O599" t="s">
        <v>314</v>
      </c>
      <c r="P599" t="s">
        <v>320</v>
      </c>
      <c r="Q599" s="1">
        <v>-1.4153445212290801E-5</v>
      </c>
      <c r="R599" s="1">
        <v>1.2306532498232E-6</v>
      </c>
      <c r="S599" s="1">
        <v>4.2318381638519503E-5</v>
      </c>
      <c r="T599" s="1">
        <v>-4.1130182016387898E-5</v>
      </c>
      <c r="U599">
        <v>1.1236205529180601</v>
      </c>
      <c r="V599" s="1">
        <v>-6.5171513726949095E-16</v>
      </c>
      <c r="W599">
        <v>5.8520137960518196E-3</v>
      </c>
      <c r="X599">
        <v>1.90108133429793</v>
      </c>
      <c r="Y599">
        <v>0.37601825834105002</v>
      </c>
      <c r="Z599">
        <v>6.8029682624315604E-3</v>
      </c>
      <c r="AA599">
        <v>0.31263371996922101</v>
      </c>
      <c r="AB599" s="9">
        <f t="shared" si="80"/>
        <v>-0.97192237566452522</v>
      </c>
      <c r="AC599" s="9">
        <f t="shared" si="81"/>
        <v>-0.8711374518092353</v>
      </c>
      <c r="AD599" s="2">
        <f t="shared" si="82"/>
        <v>-0.10369647451153807</v>
      </c>
      <c r="AE599" s="8">
        <f t="shared" si="83"/>
        <v>0.27042689890861216</v>
      </c>
      <c r="AF599" s="2">
        <f t="shared" si="84"/>
        <v>5.2002311932615147E-2</v>
      </c>
      <c r="AG599" s="8">
        <f t="shared" si="85"/>
        <v>0.21842458697599701</v>
      </c>
      <c r="AH599" s="7">
        <f t="shared" si="86"/>
        <v>0.23807902147174373</v>
      </c>
      <c r="AI599">
        <f t="shared" si="87"/>
        <v>1</v>
      </c>
      <c r="AJ599" s="10">
        <f t="shared" si="88"/>
        <v>0.21842458697599701</v>
      </c>
    </row>
    <row r="600" spans="1:36" hidden="1" x14ac:dyDescent="0.25">
      <c r="A600" t="b">
        <v>0</v>
      </c>
      <c r="B600">
        <v>1000</v>
      </c>
      <c r="C600">
        <v>0.21842458697599701</v>
      </c>
      <c r="D600" t="s">
        <v>52</v>
      </c>
      <c r="E600" t="b">
        <v>1</v>
      </c>
      <c r="F600" t="s">
        <v>53</v>
      </c>
      <c r="G600">
        <v>7.4999999999999997E-2</v>
      </c>
      <c r="H600">
        <v>0.5</v>
      </c>
      <c r="I600">
        <v>1E-4</v>
      </c>
      <c r="J600" t="b">
        <v>1</v>
      </c>
      <c r="K600">
        <v>1</v>
      </c>
      <c r="L600">
        <v>1500</v>
      </c>
      <c r="M600">
        <v>0.25</v>
      </c>
      <c r="N600">
        <v>0.154</v>
      </c>
      <c r="O600" t="s">
        <v>314</v>
      </c>
      <c r="P600" t="s">
        <v>321</v>
      </c>
      <c r="Q600" s="1">
        <v>-2.6536745599086199E-5</v>
      </c>
      <c r="R600" s="1">
        <v>2.32167380723886E-6</v>
      </c>
      <c r="S600" s="1">
        <v>7.9344056547325502E-5</v>
      </c>
      <c r="T600" s="1">
        <v>-7.7113962575653698E-5</v>
      </c>
      <c r="U600">
        <v>1.1235965332110101</v>
      </c>
      <c r="V600" s="1">
        <v>-6.5228003645035096E-16</v>
      </c>
      <c r="W600">
        <v>5.61316373652749E-3</v>
      </c>
      <c r="X600">
        <v>1.9010752001846301</v>
      </c>
      <c r="Y600">
        <v>0.37703028547454498</v>
      </c>
      <c r="Z600">
        <v>6.80337555776361E-3</v>
      </c>
      <c r="AA600">
        <v>0.31456483298217303</v>
      </c>
      <c r="AB600" s="9">
        <f t="shared" si="80"/>
        <v>-0.97189337086210559</v>
      </c>
      <c r="AC600" s="9">
        <f t="shared" si="81"/>
        <v>-0.8711374518092353</v>
      </c>
      <c r="AD600" s="2">
        <f t="shared" si="82"/>
        <v>-0.10366972558264909</v>
      </c>
      <c r="AE600" s="8">
        <f t="shared" si="83"/>
        <v>0.27041129466637992</v>
      </c>
      <c r="AF600" s="2">
        <f t="shared" si="84"/>
        <v>5.1986707690382911E-2</v>
      </c>
      <c r="AG600" s="8">
        <f t="shared" si="85"/>
        <v>0.21842458697599701</v>
      </c>
      <c r="AH600" s="7">
        <f t="shared" si="86"/>
        <v>0.23800758151872253</v>
      </c>
      <c r="AI600">
        <f t="shared" si="87"/>
        <v>1</v>
      </c>
      <c r="AJ600" s="10">
        <f t="shared" si="88"/>
        <v>0.21842458697599701</v>
      </c>
    </row>
    <row r="601" spans="1:36" hidden="1" x14ac:dyDescent="0.25">
      <c r="A601" t="b">
        <v>0</v>
      </c>
      <c r="B601">
        <v>1000</v>
      </c>
      <c r="C601">
        <v>0.21842458697599701</v>
      </c>
      <c r="D601" t="s">
        <v>52</v>
      </c>
      <c r="E601" t="b">
        <v>1</v>
      </c>
      <c r="F601" t="s">
        <v>53</v>
      </c>
      <c r="G601">
        <v>7.4999999999999997E-2</v>
      </c>
      <c r="H601">
        <v>0.5</v>
      </c>
      <c r="I601">
        <v>1E-4</v>
      </c>
      <c r="J601" t="b">
        <v>1</v>
      </c>
      <c r="K601">
        <v>1</v>
      </c>
      <c r="L601">
        <v>1500</v>
      </c>
      <c r="M601">
        <v>0.25</v>
      </c>
      <c r="N601">
        <v>0.154</v>
      </c>
      <c r="O601" t="s">
        <v>315</v>
      </c>
      <c r="P601" t="s">
        <v>318</v>
      </c>
      <c r="Q601" s="1">
        <v>-1.7698040323128601E-6</v>
      </c>
      <c r="R601" s="1">
        <v>1.5426883331642E-7</v>
      </c>
      <c r="S601" s="1">
        <v>5.29166507636322E-6</v>
      </c>
      <c r="T601" s="1">
        <v>-5.14339333743025E-6</v>
      </c>
      <c r="U601">
        <v>1.12359653230592</v>
      </c>
      <c r="V601" s="1">
        <v>-6.5141707847750099E-16</v>
      </c>
      <c r="W601">
        <v>5.8386877342973802E-3</v>
      </c>
      <c r="X601">
        <v>1.90109340288855</v>
      </c>
      <c r="Y601">
        <v>0.376209830280197</v>
      </c>
      <c r="Z601">
        <v>6.8021443971928797E-3</v>
      </c>
      <c r="AA601">
        <v>0.31341827505122999</v>
      </c>
      <c r="AB601" s="9">
        <f t="shared" si="80"/>
        <v>-0.97198013540288686</v>
      </c>
      <c r="AC601" s="9">
        <f t="shared" si="81"/>
        <v>-0.8711374518092353</v>
      </c>
      <c r="AD601" s="2">
        <f t="shared" si="82"/>
        <v>-0.10374973718146219</v>
      </c>
      <c r="AE601" s="8">
        <f t="shared" si="83"/>
        <v>0.27045797410962524</v>
      </c>
      <c r="AF601" s="2">
        <f t="shared" si="84"/>
        <v>5.2033387133628234E-2</v>
      </c>
      <c r="AG601" s="8">
        <f t="shared" si="85"/>
        <v>0.21842458697599701</v>
      </c>
      <c r="AH601" s="7">
        <f t="shared" si="86"/>
        <v>0.2382212911742681</v>
      </c>
      <c r="AI601">
        <f t="shared" si="87"/>
        <v>1</v>
      </c>
      <c r="AJ601" s="10">
        <f t="shared" si="88"/>
        <v>0.21842458697599701</v>
      </c>
    </row>
    <row r="602" spans="1:36" hidden="1" x14ac:dyDescent="0.25">
      <c r="A602" t="b">
        <v>0</v>
      </c>
      <c r="B602">
        <v>1000</v>
      </c>
      <c r="C602">
        <v>0.21842458697599701</v>
      </c>
      <c r="D602" t="s">
        <v>52</v>
      </c>
      <c r="E602" t="b">
        <v>1</v>
      </c>
      <c r="F602" t="s">
        <v>53</v>
      </c>
      <c r="G602">
        <v>7.4999999999999997E-2</v>
      </c>
      <c r="H602">
        <v>0.5</v>
      </c>
      <c r="I602">
        <v>1E-4</v>
      </c>
      <c r="J602" t="b">
        <v>1</v>
      </c>
      <c r="K602">
        <v>1</v>
      </c>
      <c r="L602">
        <v>1500</v>
      </c>
      <c r="M602">
        <v>0.25</v>
      </c>
      <c r="N602">
        <v>0.154</v>
      </c>
      <c r="O602" t="s">
        <v>315</v>
      </c>
      <c r="P602" t="s">
        <v>320</v>
      </c>
      <c r="Q602" s="1">
        <v>-1.7698040323137399E-6</v>
      </c>
      <c r="R602" s="1">
        <v>1.5572348677320001E-7</v>
      </c>
      <c r="S602" s="1">
        <v>5.2916650763678601E-6</v>
      </c>
      <c r="T602" s="1">
        <v>-5.1433933375449899E-6</v>
      </c>
      <c r="U602">
        <v>1.1235965323327699</v>
      </c>
      <c r="V602" s="1">
        <v>-6.5141707851684198E-16</v>
      </c>
      <c r="W602">
        <v>5.8335572199377699E-3</v>
      </c>
      <c r="X602">
        <v>1.9010934028890401</v>
      </c>
      <c r="Y602">
        <v>0.37727901564451799</v>
      </c>
      <c r="Z602">
        <v>6.8021443968181404E-3</v>
      </c>
      <c r="AA602">
        <v>0.31638531563945999</v>
      </c>
      <c r="AB602" s="9">
        <f t="shared" si="80"/>
        <v>-0.97198013542371764</v>
      </c>
      <c r="AC602" s="9">
        <f t="shared" si="81"/>
        <v>-0.8711374518092353</v>
      </c>
      <c r="AD602" s="2">
        <f t="shared" si="82"/>
        <v>-0.10374973720067004</v>
      </c>
      <c r="AE602" s="8">
        <f t="shared" si="83"/>
        <v>0.27045797412083261</v>
      </c>
      <c r="AF602" s="2">
        <f t="shared" si="84"/>
        <v>5.2033387144835602E-2</v>
      </c>
      <c r="AG602" s="8">
        <f t="shared" si="85"/>
        <v>0.21842458697599701</v>
      </c>
      <c r="AH602" s="7">
        <f t="shared" si="86"/>
        <v>0.23822129122557811</v>
      </c>
      <c r="AI602">
        <f t="shared" si="87"/>
        <v>1</v>
      </c>
      <c r="AJ602" s="10">
        <f t="shared" si="88"/>
        <v>0.21842458697599701</v>
      </c>
    </row>
    <row r="603" spans="1:36" hidden="1" x14ac:dyDescent="0.25">
      <c r="A603" t="b">
        <v>0</v>
      </c>
      <c r="B603">
        <v>1000</v>
      </c>
      <c r="C603">
        <v>0.21842458697599701</v>
      </c>
      <c r="D603" t="s">
        <v>52</v>
      </c>
      <c r="E603" t="b">
        <v>1</v>
      </c>
      <c r="F603" t="s">
        <v>53</v>
      </c>
      <c r="G603">
        <v>7.4999999999999997E-2</v>
      </c>
      <c r="H603">
        <v>0.5</v>
      </c>
      <c r="I603">
        <v>1E-4</v>
      </c>
      <c r="J603" t="b">
        <v>1</v>
      </c>
      <c r="K603">
        <v>1</v>
      </c>
      <c r="L603">
        <v>1500</v>
      </c>
      <c r="M603">
        <v>0.25</v>
      </c>
      <c r="N603">
        <v>0.154</v>
      </c>
      <c r="O603" t="s">
        <v>315</v>
      </c>
      <c r="P603" t="s">
        <v>321</v>
      </c>
      <c r="Q603" s="1">
        <v>-1.4153104460065501E-5</v>
      </c>
      <c r="R603" s="1">
        <v>1.2362865179532901E-6</v>
      </c>
      <c r="S603" s="1">
        <v>4.23173399851772E-5</v>
      </c>
      <c r="T603" s="1">
        <v>-4.1127173897182503E-5</v>
      </c>
      <c r="U603">
        <v>1.1235725126257201</v>
      </c>
      <c r="V603" s="1">
        <v>-6.5250882917453796E-16</v>
      </c>
      <c r="W603">
        <v>5.8286246211608998E-3</v>
      </c>
      <c r="X603">
        <v>1.9010716303816999</v>
      </c>
      <c r="Y603">
        <v>0.37655926618214602</v>
      </c>
      <c r="Z603">
        <v>6.8036518518012398E-3</v>
      </c>
      <c r="AA603">
        <v>0.31406898582673498</v>
      </c>
      <c r="AB603" s="9">
        <f t="shared" si="80"/>
        <v>-0.97187521502033014</v>
      </c>
      <c r="AC603" s="9">
        <f t="shared" si="81"/>
        <v>-0.8711374518092353</v>
      </c>
      <c r="AD603" s="2">
        <f t="shared" si="82"/>
        <v>-0.10365298101463316</v>
      </c>
      <c r="AE603" s="8">
        <f t="shared" si="83"/>
        <v>0.27040152723232003</v>
      </c>
      <c r="AF603" s="2">
        <f t="shared" si="84"/>
        <v>5.1976940256323018E-2</v>
      </c>
      <c r="AG603" s="8">
        <f t="shared" si="85"/>
        <v>0.21842458697599701</v>
      </c>
      <c r="AH603" s="7">
        <f t="shared" si="86"/>
        <v>0.23796286386950952</v>
      </c>
      <c r="AI603">
        <f t="shared" si="87"/>
        <v>1</v>
      </c>
      <c r="AJ603" s="10">
        <f t="shared" si="88"/>
        <v>0.21842458697599701</v>
      </c>
    </row>
    <row r="604" spans="1:36" hidden="1" x14ac:dyDescent="0.25">
      <c r="A604" t="b">
        <v>0</v>
      </c>
      <c r="B604">
        <v>1000</v>
      </c>
      <c r="C604">
        <v>0.21842458697599701</v>
      </c>
      <c r="D604" t="s">
        <v>52</v>
      </c>
      <c r="E604" t="b">
        <v>1</v>
      </c>
      <c r="F604" t="s">
        <v>53</v>
      </c>
      <c r="G604">
        <v>7.4999999999999997E-2</v>
      </c>
      <c r="H604">
        <v>0.5</v>
      </c>
      <c r="I604">
        <v>1E-4</v>
      </c>
      <c r="J604" t="b">
        <v>1</v>
      </c>
      <c r="K604">
        <v>1</v>
      </c>
      <c r="L604">
        <v>1500</v>
      </c>
      <c r="M604">
        <v>0.25</v>
      </c>
      <c r="N604">
        <v>0.154</v>
      </c>
      <c r="O604" t="s">
        <v>316</v>
      </c>
      <c r="P604" t="s">
        <v>317</v>
      </c>
      <c r="Q604" s="1">
        <v>-1.76984664479694E-6</v>
      </c>
      <c r="R604" s="1">
        <v>1.55782702261478E-7</v>
      </c>
      <c r="S604" s="1">
        <v>5.2917953394354402E-6</v>
      </c>
      <c r="T604" s="1">
        <v>-5.1437695448491101E-6</v>
      </c>
      <c r="U604">
        <v>1.12364457342869</v>
      </c>
      <c r="V604" s="1">
        <v>-6.5215055425883703E-16</v>
      </c>
      <c r="W604">
        <v>5.9525683100695803E-3</v>
      </c>
      <c r="X604">
        <v>1.90110311011612</v>
      </c>
      <c r="Y604">
        <v>0.377075749293727</v>
      </c>
      <c r="Z604">
        <v>6.8014606824136096E-3</v>
      </c>
      <c r="AA604">
        <v>0.31650649100490402</v>
      </c>
      <c r="AB604" s="9">
        <f t="shared" si="80"/>
        <v>-0.97202730168281182</v>
      </c>
      <c r="AC604" s="9">
        <f t="shared" si="81"/>
        <v>-0.8711374518092353</v>
      </c>
      <c r="AD604" s="2">
        <f t="shared" si="82"/>
        <v>-0.10379322648542078</v>
      </c>
      <c r="AE604" s="8">
        <f t="shared" si="83"/>
        <v>0.2704833510728975</v>
      </c>
      <c r="AF604" s="2">
        <f t="shared" si="84"/>
        <v>5.2058764096900495E-2</v>
      </c>
      <c r="AG604" s="8">
        <f t="shared" si="85"/>
        <v>0.21842458697599701</v>
      </c>
      <c r="AH604" s="7">
        <f t="shared" si="86"/>
        <v>0.23833747298156185</v>
      </c>
      <c r="AI604">
        <f t="shared" si="87"/>
        <v>1</v>
      </c>
      <c r="AJ604" s="10">
        <f t="shared" si="88"/>
        <v>0.21842458697599701</v>
      </c>
    </row>
    <row r="605" spans="1:36" hidden="1" x14ac:dyDescent="0.25">
      <c r="A605" t="b">
        <v>0</v>
      </c>
      <c r="B605">
        <v>1000</v>
      </c>
      <c r="C605">
        <v>0.21842458697599701</v>
      </c>
      <c r="D605" t="s">
        <v>52</v>
      </c>
      <c r="E605" t="b">
        <v>1</v>
      </c>
      <c r="F605" t="s">
        <v>53</v>
      </c>
      <c r="G605">
        <v>7.4999999999999997E-2</v>
      </c>
      <c r="H605">
        <v>0.5</v>
      </c>
      <c r="I605">
        <v>1E-4</v>
      </c>
      <c r="J605" t="b">
        <v>1</v>
      </c>
      <c r="K605">
        <v>1</v>
      </c>
      <c r="L605">
        <v>1500</v>
      </c>
      <c r="M605">
        <v>0.25</v>
      </c>
      <c r="N605">
        <v>0.154</v>
      </c>
      <c r="O605" t="s">
        <v>316</v>
      </c>
      <c r="P605" t="s">
        <v>318</v>
      </c>
      <c r="Q605" s="1">
        <v>-1.4153445212290701E-5</v>
      </c>
      <c r="R605" s="1">
        <v>1.2258354527227999E-6</v>
      </c>
      <c r="S605" s="1">
        <v>4.23183816385189E-5</v>
      </c>
      <c r="T605" s="1">
        <v>-4.1130182016370998E-5</v>
      </c>
      <c r="U605">
        <v>1.12362055293174</v>
      </c>
      <c r="V605" s="1">
        <v>-6.5171513783986303E-16</v>
      </c>
      <c r="W605">
        <v>5.87288036250892E-3</v>
      </c>
      <c r="X605">
        <v>1.90108133429796</v>
      </c>
      <c r="Y605">
        <v>0.37569821153384902</v>
      </c>
      <c r="Z605">
        <v>6.8029682624411404E-3</v>
      </c>
      <c r="AA605">
        <v>0.31140126599229401</v>
      </c>
      <c r="AB605" s="9">
        <f t="shared" si="80"/>
        <v>-0.97192237566413964</v>
      </c>
      <c r="AC605" s="9">
        <f t="shared" si="81"/>
        <v>-0.8711374518092353</v>
      </c>
      <c r="AD605" s="2">
        <f t="shared" si="82"/>
        <v>-0.10369647451118247</v>
      </c>
      <c r="AE605" s="8">
        <f t="shared" si="83"/>
        <v>0.27042689890840477</v>
      </c>
      <c r="AF605" s="2">
        <f t="shared" si="84"/>
        <v>5.2002311932407758E-2</v>
      </c>
      <c r="AG605" s="8">
        <f t="shared" si="85"/>
        <v>0.21842458697599701</v>
      </c>
      <c r="AH605" s="7">
        <f t="shared" si="86"/>
        <v>0.23807902147079424</v>
      </c>
      <c r="AI605">
        <f t="shared" si="87"/>
        <v>1</v>
      </c>
      <c r="AJ605" s="10">
        <f t="shared" si="88"/>
        <v>0.21842458697599701</v>
      </c>
    </row>
    <row r="606" spans="1:36" hidden="1" x14ac:dyDescent="0.25">
      <c r="A606" t="b">
        <v>0</v>
      </c>
      <c r="B606">
        <v>1000</v>
      </c>
      <c r="C606">
        <v>0.21842458697599701</v>
      </c>
      <c r="D606" t="s">
        <v>52</v>
      </c>
      <c r="E606" t="b">
        <v>1</v>
      </c>
      <c r="F606" t="s">
        <v>53</v>
      </c>
      <c r="G606">
        <v>7.4999999999999997E-2</v>
      </c>
      <c r="H606">
        <v>0.5</v>
      </c>
      <c r="I606">
        <v>1E-4</v>
      </c>
      <c r="J606" t="b">
        <v>1</v>
      </c>
      <c r="K606">
        <v>1</v>
      </c>
      <c r="L606">
        <v>1500</v>
      </c>
      <c r="M606">
        <v>0.25</v>
      </c>
      <c r="N606">
        <v>0.154</v>
      </c>
      <c r="O606" t="s">
        <v>316</v>
      </c>
      <c r="P606" t="s">
        <v>319</v>
      </c>
      <c r="Q606" s="1">
        <v>-1.23836411857988E-5</v>
      </c>
      <c r="R606" s="1">
        <v>1.0736754523011999E-6</v>
      </c>
      <c r="S606" s="1">
        <v>3.70267165621659E-5</v>
      </c>
      <c r="T606" s="1">
        <v>-3.5986788679355497E-5</v>
      </c>
      <c r="U606">
        <v>1.1236239862164701</v>
      </c>
      <c r="V606" s="1">
        <v>-6.5203033924872201E-16</v>
      </c>
      <c r="W606">
        <v>5.5252758374170503E-3</v>
      </c>
      <c r="X606">
        <v>1.90107965701741</v>
      </c>
      <c r="Y606">
        <v>0.376143875490761</v>
      </c>
      <c r="Z606">
        <v>6.8030897743808503E-3</v>
      </c>
      <c r="AA606">
        <v>0.31172184477550002</v>
      </c>
      <c r="AB606" s="9">
        <f t="shared" si="80"/>
        <v>-0.97191412095467822</v>
      </c>
      <c r="AC606" s="9">
        <f t="shared" si="81"/>
        <v>-0.8711374518092353</v>
      </c>
      <c r="AD606" s="2">
        <f t="shared" si="82"/>
        <v>-0.10368886198139959</v>
      </c>
      <c r="AE606" s="8">
        <f t="shared" si="83"/>
        <v>0.27042245793287295</v>
      </c>
      <c r="AF606" s="2">
        <f t="shared" si="84"/>
        <v>5.1997870956875941E-2</v>
      </c>
      <c r="AG606" s="8">
        <f t="shared" si="85"/>
        <v>0.21842458697599701</v>
      </c>
      <c r="AH606" s="7">
        <f t="shared" si="86"/>
        <v>0.23805868962265708</v>
      </c>
      <c r="AI606">
        <f t="shared" si="87"/>
        <v>1</v>
      </c>
      <c r="AJ606" s="10">
        <f t="shared" si="88"/>
        <v>0.21842458697599701</v>
      </c>
    </row>
    <row r="607" spans="1:36" hidden="1" x14ac:dyDescent="0.25">
      <c r="A607" t="b">
        <v>0</v>
      </c>
      <c r="B607">
        <v>1000</v>
      </c>
      <c r="C607">
        <v>0.21842458697599701</v>
      </c>
      <c r="D607" t="s">
        <v>52</v>
      </c>
      <c r="E607" t="b">
        <v>1</v>
      </c>
      <c r="F607" t="s">
        <v>53</v>
      </c>
      <c r="G607">
        <v>7.4999999999999997E-2</v>
      </c>
      <c r="H607">
        <v>0.5</v>
      </c>
      <c r="I607">
        <v>1E-4</v>
      </c>
      <c r="J607" t="b">
        <v>1</v>
      </c>
      <c r="K607">
        <v>1</v>
      </c>
      <c r="L607">
        <v>1500</v>
      </c>
      <c r="M607">
        <v>0.25</v>
      </c>
      <c r="N607">
        <v>0.154</v>
      </c>
      <c r="O607" t="s">
        <v>316</v>
      </c>
      <c r="P607" t="s">
        <v>320</v>
      </c>
      <c r="Q607" s="1">
        <v>-1.41534452122917E-5</v>
      </c>
      <c r="R607" s="1">
        <v>1.23100495722665E-6</v>
      </c>
      <c r="S607" s="1">
        <v>4.2318381638525798E-5</v>
      </c>
      <c r="T607" s="1">
        <v>-4.11301820166292E-5</v>
      </c>
      <c r="U607">
        <v>1.1236205529585901</v>
      </c>
      <c r="V607" s="1">
        <v>-6.5171513724026701E-16</v>
      </c>
      <c r="W607">
        <v>5.7791559189583298E-3</v>
      </c>
      <c r="X607">
        <v>1.90108133429848</v>
      </c>
      <c r="Y607">
        <v>0.376140285418753</v>
      </c>
      <c r="Z607">
        <v>6.8029682623428102E-3</v>
      </c>
      <c r="AA607">
        <v>0.31271796803455099</v>
      </c>
      <c r="AB607" s="9">
        <f t="shared" si="80"/>
        <v>-0.97192237567008266</v>
      </c>
      <c r="AC607" s="9">
        <f t="shared" si="81"/>
        <v>-0.8711374518092353</v>
      </c>
      <c r="AD607" s="2">
        <f t="shared" si="82"/>
        <v>-0.10369647451666308</v>
      </c>
      <c r="AE607" s="8">
        <f t="shared" si="83"/>
        <v>0.27042689891160204</v>
      </c>
      <c r="AF607" s="2">
        <f t="shared" si="84"/>
        <v>5.2002311935605033E-2</v>
      </c>
      <c r="AG607" s="8">
        <f t="shared" si="85"/>
        <v>0.21842458697599701</v>
      </c>
      <c r="AH607" s="7">
        <f t="shared" si="86"/>
        <v>0.23807902148543214</v>
      </c>
      <c r="AI607">
        <f t="shared" si="87"/>
        <v>1</v>
      </c>
      <c r="AJ607" s="10">
        <f t="shared" si="88"/>
        <v>0.21842458697599701</v>
      </c>
    </row>
    <row r="608" spans="1:36" hidden="1" x14ac:dyDescent="0.25">
      <c r="A608" t="b">
        <v>0</v>
      </c>
      <c r="B608">
        <v>1000</v>
      </c>
      <c r="C608">
        <v>0.21842458697599701</v>
      </c>
      <c r="D608" t="s">
        <v>52</v>
      </c>
      <c r="E608" t="b">
        <v>1</v>
      </c>
      <c r="F608" t="s">
        <v>53</v>
      </c>
      <c r="G608">
        <v>7.4999999999999997E-2</v>
      </c>
      <c r="H608">
        <v>0.5</v>
      </c>
      <c r="I608">
        <v>1E-4</v>
      </c>
      <c r="J608" t="b">
        <v>1</v>
      </c>
      <c r="K608">
        <v>1</v>
      </c>
      <c r="L608">
        <v>1500</v>
      </c>
      <c r="M608">
        <v>0.25</v>
      </c>
      <c r="N608">
        <v>0.154</v>
      </c>
      <c r="O608" t="s">
        <v>316</v>
      </c>
      <c r="P608" t="s">
        <v>321</v>
      </c>
      <c r="Q608" s="1">
        <v>-2.6536745599087101E-5</v>
      </c>
      <c r="R608" s="1">
        <v>2.2967086908128301E-6</v>
      </c>
      <c r="S608" s="1">
        <v>7.9344056547331506E-5</v>
      </c>
      <c r="T608" s="1">
        <v>-7.7113962575883806E-5</v>
      </c>
      <c r="U608">
        <v>1.1235965332515401</v>
      </c>
      <c r="V608" s="1">
        <v>-6.5228003624486897E-16</v>
      </c>
      <c r="W608">
        <v>5.7085154627222598E-3</v>
      </c>
      <c r="X608">
        <v>1.9010752001849101</v>
      </c>
      <c r="Y608">
        <v>0.375809290599736</v>
      </c>
      <c r="Z608">
        <v>6.8033755577188802E-3</v>
      </c>
      <c r="AA608">
        <v>0.31117481249025197</v>
      </c>
      <c r="AB608" s="9">
        <f t="shared" si="80"/>
        <v>-0.9718933708649321</v>
      </c>
      <c r="AC608" s="9">
        <f t="shared" si="81"/>
        <v>-0.8711374518092353</v>
      </c>
      <c r="AD608" s="2">
        <f t="shared" si="82"/>
        <v>-0.10366972558525589</v>
      </c>
      <c r="AE608" s="8">
        <f t="shared" si="83"/>
        <v>0.27041129466790048</v>
      </c>
      <c r="AF608" s="2">
        <f t="shared" si="84"/>
        <v>5.1986707691903472E-2</v>
      </c>
      <c r="AG608" s="8">
        <f t="shared" si="85"/>
        <v>0.21842458697599701</v>
      </c>
      <c r="AH608" s="7">
        <f t="shared" si="86"/>
        <v>0.23800758152568405</v>
      </c>
      <c r="AI608">
        <f t="shared" si="87"/>
        <v>1</v>
      </c>
      <c r="AJ608" s="10">
        <f t="shared" si="88"/>
        <v>0.21842458697599701</v>
      </c>
    </row>
    <row r="609" spans="1:36" hidden="1" x14ac:dyDescent="0.25">
      <c r="A609" t="b">
        <v>0</v>
      </c>
      <c r="B609">
        <v>1000</v>
      </c>
      <c r="C609">
        <v>0.21842458697599701</v>
      </c>
      <c r="D609" t="s">
        <v>52</v>
      </c>
      <c r="E609" t="b">
        <v>1</v>
      </c>
      <c r="F609" t="s">
        <v>53</v>
      </c>
      <c r="G609">
        <v>7.4999999999999997E-2</v>
      </c>
      <c r="H609">
        <v>0.5</v>
      </c>
      <c r="I609">
        <v>1E-4</v>
      </c>
      <c r="J609" t="b">
        <v>1</v>
      </c>
      <c r="K609">
        <v>1</v>
      </c>
      <c r="L609">
        <v>1500</v>
      </c>
      <c r="M609">
        <v>0.25</v>
      </c>
      <c r="N609">
        <v>0.154</v>
      </c>
      <c r="O609" t="s">
        <v>317</v>
      </c>
      <c r="P609" t="s">
        <v>318</v>
      </c>
      <c r="Q609" s="1">
        <v>-1.23835985734423E-5</v>
      </c>
      <c r="R609" s="1">
        <v>1.07611900542099E-6</v>
      </c>
      <c r="S609" s="1">
        <v>3.7026586299088402E-5</v>
      </c>
      <c r="T609" s="1">
        <v>-3.5986412471572601E-5</v>
      </c>
      <c r="U609">
        <v>1.1236171195717199</v>
      </c>
      <c r="V609" s="1">
        <v>-6.5211858652773898E-16</v>
      </c>
      <c r="W609">
        <v>5.6032410126992099E-3</v>
      </c>
      <c r="X609">
        <v>1.9010782701137601</v>
      </c>
      <c r="Y609">
        <v>0.37627581769547203</v>
      </c>
      <c r="Z609">
        <v>6.8031875002538796E-3</v>
      </c>
      <c r="AA609">
        <v>0.31243528993260899</v>
      </c>
      <c r="AB609" s="9">
        <f t="shared" si="80"/>
        <v>-0.97190737976453934</v>
      </c>
      <c r="AC609" s="9">
        <f t="shared" si="81"/>
        <v>-0.8711374518092353</v>
      </c>
      <c r="AD609" s="2">
        <f t="shared" si="82"/>
        <v>-0.10368264512994774</v>
      </c>
      <c r="AE609" s="8">
        <f t="shared" si="83"/>
        <v>0.27041883124310417</v>
      </c>
      <c r="AF609" s="2">
        <f t="shared" si="84"/>
        <v>5.1994244267107165E-2</v>
      </c>
      <c r="AG609" s="8">
        <f t="shared" si="85"/>
        <v>0.21842458697599701</v>
      </c>
      <c r="AH609" s="7">
        <f t="shared" si="86"/>
        <v>0.23804208576949668</v>
      </c>
      <c r="AI609">
        <f t="shared" si="87"/>
        <v>1</v>
      </c>
      <c r="AJ609" s="10">
        <f t="shared" si="88"/>
        <v>0.21842458697599701</v>
      </c>
    </row>
    <row r="610" spans="1:36" hidden="1" x14ac:dyDescent="0.25">
      <c r="A610" t="b">
        <v>0</v>
      </c>
      <c r="B610">
        <v>1000</v>
      </c>
      <c r="C610">
        <v>0.21842458697599701</v>
      </c>
      <c r="D610" t="s">
        <v>52</v>
      </c>
      <c r="E610" t="b">
        <v>1</v>
      </c>
      <c r="F610" t="s">
        <v>53</v>
      </c>
      <c r="G610">
        <v>7.4999999999999997E-2</v>
      </c>
      <c r="H610">
        <v>0.5</v>
      </c>
      <c r="I610">
        <v>1E-4</v>
      </c>
      <c r="J610" t="b">
        <v>1</v>
      </c>
      <c r="K610">
        <v>1</v>
      </c>
      <c r="L610">
        <v>1500</v>
      </c>
      <c r="M610">
        <v>0.25</v>
      </c>
      <c r="N610">
        <v>0.154</v>
      </c>
      <c r="O610" t="s">
        <v>317</v>
      </c>
      <c r="P610" t="s">
        <v>319</v>
      </c>
      <c r="Q610" s="1">
        <v>-1.06137945460656E-5</v>
      </c>
      <c r="R610" s="1">
        <v>9.1476306853577595E-7</v>
      </c>
      <c r="S610" s="1">
        <v>3.1734921222726803E-5</v>
      </c>
      <c r="T610" s="1">
        <v>-3.0843019134325E-5</v>
      </c>
      <c r="U610">
        <v>1.12362055285644</v>
      </c>
      <c r="V610" s="1">
        <v>-6.5207169230789398E-16</v>
      </c>
      <c r="W610">
        <v>5.2400249871420602E-3</v>
      </c>
      <c r="X610">
        <v>1.90107579365359</v>
      </c>
      <c r="Y610">
        <v>0.37593545510286802</v>
      </c>
      <c r="Z610">
        <v>6.8033651441977098E-3</v>
      </c>
      <c r="AA610">
        <v>0.30984735934872298</v>
      </c>
      <c r="AB610" s="9">
        <f t="shared" si="80"/>
        <v>-0.97189524807255323</v>
      </c>
      <c r="AC610" s="9">
        <f t="shared" si="81"/>
        <v>-0.8711374518092353</v>
      </c>
      <c r="AD610" s="2">
        <f t="shared" si="82"/>
        <v>-0.10367145683975632</v>
      </c>
      <c r="AE610" s="8">
        <f t="shared" si="83"/>
        <v>0.27041230457189896</v>
      </c>
      <c r="AF610" s="2">
        <f t="shared" si="84"/>
        <v>5.1987717595901956E-2</v>
      </c>
      <c r="AG610" s="8">
        <f t="shared" si="85"/>
        <v>0.21842458697599701</v>
      </c>
      <c r="AH610" s="7">
        <f t="shared" si="86"/>
        <v>0.23801220510772883</v>
      </c>
      <c r="AI610">
        <f t="shared" si="87"/>
        <v>1</v>
      </c>
      <c r="AJ610" s="10">
        <f t="shared" si="88"/>
        <v>0.21842458697599701</v>
      </c>
    </row>
    <row r="611" spans="1:36" hidden="1" x14ac:dyDescent="0.25">
      <c r="A611" t="b">
        <v>0</v>
      </c>
      <c r="B611">
        <v>1000</v>
      </c>
      <c r="C611">
        <v>0.21842458697599701</v>
      </c>
      <c r="D611" t="s">
        <v>52</v>
      </c>
      <c r="E611" t="b">
        <v>1</v>
      </c>
      <c r="F611" t="s">
        <v>53</v>
      </c>
      <c r="G611">
        <v>7.4999999999999997E-2</v>
      </c>
      <c r="H611">
        <v>0.5</v>
      </c>
      <c r="I611">
        <v>1E-4</v>
      </c>
      <c r="J611" t="b">
        <v>1</v>
      </c>
      <c r="K611">
        <v>1</v>
      </c>
      <c r="L611">
        <v>1500</v>
      </c>
      <c r="M611">
        <v>0.25</v>
      </c>
      <c r="N611">
        <v>0.154</v>
      </c>
      <c r="O611" t="s">
        <v>317</v>
      </c>
      <c r="P611" t="s">
        <v>320</v>
      </c>
      <c r="Q611" s="1">
        <v>-1.23835985734434E-5</v>
      </c>
      <c r="R611" s="1">
        <v>1.07696423489117E-6</v>
      </c>
      <c r="S611" s="1">
        <v>3.7026586299093301E-5</v>
      </c>
      <c r="T611" s="1">
        <v>-3.5986412471667997E-5</v>
      </c>
      <c r="U611">
        <v>1.12361711959857</v>
      </c>
      <c r="V611" s="1">
        <v>-6.5211858614153497E-16</v>
      </c>
      <c r="W611">
        <v>5.5083052777732998E-3</v>
      </c>
      <c r="X611">
        <v>1.9010782701136799</v>
      </c>
      <c r="Y611">
        <v>0.37649636989659402</v>
      </c>
      <c r="Z611">
        <v>6.8031875002075304E-3</v>
      </c>
      <c r="AA611">
        <v>0.31267594506458701</v>
      </c>
      <c r="AB611" s="9">
        <f t="shared" si="80"/>
        <v>-0.97190737976698716</v>
      </c>
      <c r="AC611" s="9">
        <f t="shared" si="81"/>
        <v>-0.8711374518092353</v>
      </c>
      <c r="AD611" s="2">
        <f t="shared" si="82"/>
        <v>-0.10368264513220515</v>
      </c>
      <c r="AE611" s="8">
        <f t="shared" si="83"/>
        <v>0.27041883124442107</v>
      </c>
      <c r="AF611" s="2">
        <f t="shared" si="84"/>
        <v>5.1994244268424056E-2</v>
      </c>
      <c r="AG611" s="8">
        <f t="shared" si="85"/>
        <v>0.21842458697599701</v>
      </c>
      <c r="AH611" s="7">
        <f t="shared" si="86"/>
        <v>0.23804208577552571</v>
      </c>
      <c r="AI611">
        <f t="shared" si="87"/>
        <v>1</v>
      </c>
      <c r="AJ611" s="10">
        <f t="shared" si="88"/>
        <v>0.21842458697599701</v>
      </c>
    </row>
    <row r="612" spans="1:36" hidden="1" x14ac:dyDescent="0.25">
      <c r="A612" t="b">
        <v>0</v>
      </c>
      <c r="B612">
        <v>1000</v>
      </c>
      <c r="C612">
        <v>0.21842458697599701</v>
      </c>
      <c r="D612" t="s">
        <v>52</v>
      </c>
      <c r="E612" t="b">
        <v>1</v>
      </c>
      <c r="F612" t="s">
        <v>53</v>
      </c>
      <c r="G612">
        <v>7.4999999999999997E-2</v>
      </c>
      <c r="H612">
        <v>0.5</v>
      </c>
      <c r="I612">
        <v>1E-4</v>
      </c>
      <c r="J612" t="b">
        <v>1</v>
      </c>
      <c r="K612">
        <v>1</v>
      </c>
      <c r="L612">
        <v>1500</v>
      </c>
      <c r="M612">
        <v>0.25</v>
      </c>
      <c r="N612">
        <v>0.154</v>
      </c>
      <c r="O612" t="s">
        <v>317</v>
      </c>
      <c r="P612" t="s">
        <v>321</v>
      </c>
      <c r="Q612" s="1">
        <v>-2.47668989659352E-5</v>
      </c>
      <c r="R612" s="1">
        <v>2.1414902654495E-6</v>
      </c>
      <c r="S612" s="1">
        <v>7.4052261207897694E-5</v>
      </c>
      <c r="T612" s="1">
        <v>-7.1970193031108395E-5</v>
      </c>
      <c r="U612">
        <v>1.12359309989151</v>
      </c>
      <c r="V612" s="1">
        <v>-6.51391971831592E-16</v>
      </c>
      <c r="W612">
        <v>5.47199599759655E-3</v>
      </c>
      <c r="X612">
        <v>1.9010732526815799</v>
      </c>
      <c r="Y612">
        <v>0.37597546862435099</v>
      </c>
      <c r="Z612">
        <v>6.8035161064765896E-3</v>
      </c>
      <c r="AA612">
        <v>0.31086801548999898</v>
      </c>
      <c r="AB612" s="9">
        <f t="shared" ref="AB612:AB675" si="89">T612/S612/K612^2</f>
        <v>-0.9718838001321255</v>
      </c>
      <c r="AC612" s="9">
        <f t="shared" ref="AC612:AC675" si="90">(1+10*C612/K612^2)/(-3-3*C612/K612^2)</f>
        <v>-0.8711374518092353</v>
      </c>
      <c r="AD612" s="2">
        <f t="shared" ref="AD612:AD675" si="91">(AC612/AB612-1)</f>
        <v>-0.10366089887411845</v>
      </c>
      <c r="AE612" s="8">
        <f t="shared" ref="AE612:AE675" si="92">-(1+3*AB612)/(10+3*AB612)</f>
        <v>0.27040614581043615</v>
      </c>
      <c r="AF612" s="2">
        <f t="shared" ref="AF612:AF675" si="93">(AE612-C612/K612^2)</f>
        <v>5.198155883443914E-2</v>
      </c>
      <c r="AG612" s="8">
        <f t="shared" ref="AG612:AG675" si="94">C612/K612^2</f>
        <v>0.21842458697599701</v>
      </c>
      <c r="AH612" s="7">
        <f t="shared" ref="AH612:AH675" si="95">AF612/AG612</f>
        <v>0.23798400882475501</v>
      </c>
      <c r="AI612">
        <f t="shared" ref="AI612:AI675" si="96">K612</f>
        <v>1</v>
      </c>
      <c r="AJ612" s="10">
        <f t="shared" ref="AJ612:AJ675" si="97">C612</f>
        <v>0.21842458697599701</v>
      </c>
    </row>
    <row r="613" spans="1:36" hidden="1" x14ac:dyDescent="0.25">
      <c r="A613" t="b">
        <v>0</v>
      </c>
      <c r="B613">
        <v>1000</v>
      </c>
      <c r="C613">
        <v>0.21842458697599701</v>
      </c>
      <c r="D613" t="s">
        <v>52</v>
      </c>
      <c r="E613" t="b">
        <v>1</v>
      </c>
      <c r="F613" t="s">
        <v>53</v>
      </c>
      <c r="G613">
        <v>7.4999999999999997E-2</v>
      </c>
      <c r="H613">
        <v>0.5</v>
      </c>
      <c r="I613">
        <v>1E-4</v>
      </c>
      <c r="J613" t="b">
        <v>1</v>
      </c>
      <c r="K613">
        <v>1</v>
      </c>
      <c r="L613">
        <v>1500</v>
      </c>
      <c r="M613">
        <v>0.25</v>
      </c>
      <c r="N613">
        <v>0.154</v>
      </c>
      <c r="O613" t="s">
        <v>318</v>
      </c>
      <c r="P613" t="s">
        <v>320</v>
      </c>
      <c r="Q613" s="1">
        <v>-1E-10</v>
      </c>
      <c r="R613" s="1">
        <v>3.58578594236566E-12</v>
      </c>
      <c r="S613" s="1">
        <v>9.22954360653913E-18</v>
      </c>
      <c r="T613" s="1">
        <v>-1.6803989959863199E-16</v>
      </c>
      <c r="U613">
        <v>1.1235930991016101</v>
      </c>
      <c r="V613">
        <v>0</v>
      </c>
      <c r="W613">
        <v>6.8474548457462495E-2</v>
      </c>
      <c r="X613">
        <v>2</v>
      </c>
      <c r="Y613">
        <v>4.0005664255616802E-3</v>
      </c>
      <c r="Z613">
        <v>2.5000000000000001E-4</v>
      </c>
      <c r="AA613">
        <v>4.7933529951514203E-3</v>
      </c>
      <c r="AB613" s="9">
        <f t="shared" si="89"/>
        <v>-18.206739873852023</v>
      </c>
      <c r="AC613" s="9">
        <f t="shared" si="90"/>
        <v>-0.8711374518092353</v>
      </c>
      <c r="AD613" s="2">
        <f t="shared" si="91"/>
        <v>-0.95215302366898003</v>
      </c>
      <c r="AE613" s="8">
        <f t="shared" si="92"/>
        <v>-1.2017022792880223</v>
      </c>
      <c r="AF613" s="2">
        <f t="shared" si="93"/>
        <v>-1.4201268662640194</v>
      </c>
      <c r="AG613" s="8">
        <f t="shared" si="94"/>
        <v>0.21842458697599701</v>
      </c>
      <c r="AH613" s="7">
        <f t="shared" si="95"/>
        <v>-6.5016804468998686</v>
      </c>
      <c r="AI613">
        <f t="shared" si="96"/>
        <v>1</v>
      </c>
      <c r="AJ613" s="10">
        <f t="shared" si="97"/>
        <v>0.21842458697599701</v>
      </c>
    </row>
    <row r="614" spans="1:36" hidden="1" x14ac:dyDescent="0.25">
      <c r="A614" t="b">
        <v>0</v>
      </c>
      <c r="B614">
        <v>1000</v>
      </c>
      <c r="C614">
        <v>0.21842458697599701</v>
      </c>
      <c r="D614" t="s">
        <v>52</v>
      </c>
      <c r="E614" t="b">
        <v>1</v>
      </c>
      <c r="F614" t="s">
        <v>53</v>
      </c>
      <c r="G614">
        <v>7.4999999999999997E-2</v>
      </c>
      <c r="H614">
        <v>0.5</v>
      </c>
      <c r="I614">
        <v>1E-4</v>
      </c>
      <c r="J614" t="b">
        <v>1</v>
      </c>
      <c r="K614">
        <v>1</v>
      </c>
      <c r="L614">
        <v>1500</v>
      </c>
      <c r="M614">
        <v>0.25</v>
      </c>
      <c r="N614">
        <v>0.154</v>
      </c>
      <c r="O614" t="s">
        <v>318</v>
      </c>
      <c r="P614" t="s">
        <v>321</v>
      </c>
      <c r="Q614" s="1">
        <v>-1.23833004335689E-5</v>
      </c>
      <c r="R614" s="1">
        <v>1.0734783105152801E-6</v>
      </c>
      <c r="S614" s="1">
        <v>3.7025674908809197E-5</v>
      </c>
      <c r="T614" s="1">
        <v>-3.5983780559441299E-5</v>
      </c>
      <c r="U614">
        <v>1.1235690793945601</v>
      </c>
      <c r="V614" s="1">
        <v>-6.5217788346584901E-16</v>
      </c>
      <c r="W614">
        <v>5.5957622528027898E-3</v>
      </c>
      <c r="X614">
        <v>1.9010685655150901</v>
      </c>
      <c r="Y614">
        <v>0.37611008402555801</v>
      </c>
      <c r="Z614">
        <v>6.8038709824137303E-3</v>
      </c>
      <c r="AA614">
        <v>0.31166642461348498</v>
      </c>
      <c r="AB614" s="9">
        <f t="shared" si="89"/>
        <v>-0.97186021991674731</v>
      </c>
      <c r="AC614" s="9">
        <f t="shared" si="90"/>
        <v>-0.8711374518092353</v>
      </c>
      <c r="AD614" s="2">
        <f t="shared" si="91"/>
        <v>-0.10363915102538124</v>
      </c>
      <c r="AE614" s="8">
        <f t="shared" si="92"/>
        <v>0.2703934603174844</v>
      </c>
      <c r="AF614" s="2">
        <f t="shared" si="93"/>
        <v>5.1968873341487393E-2</v>
      </c>
      <c r="AG614" s="8">
        <f t="shared" si="94"/>
        <v>0.21842458697599701</v>
      </c>
      <c r="AH614" s="7">
        <f t="shared" si="95"/>
        <v>0.23792593160402004</v>
      </c>
      <c r="AI614">
        <f t="shared" si="96"/>
        <v>1</v>
      </c>
      <c r="AJ614" s="10">
        <f t="shared" si="97"/>
        <v>0.21842458697599701</v>
      </c>
    </row>
    <row r="615" spans="1:36" hidden="1" x14ac:dyDescent="0.25">
      <c r="A615" t="b">
        <v>0</v>
      </c>
      <c r="B615">
        <v>1000</v>
      </c>
      <c r="C615">
        <v>0.21842458697599701</v>
      </c>
      <c r="D615" t="s">
        <v>52</v>
      </c>
      <c r="E615" t="b">
        <v>1</v>
      </c>
      <c r="F615" t="s">
        <v>53</v>
      </c>
      <c r="G615">
        <v>7.4999999999999997E-2</v>
      </c>
      <c r="H615">
        <v>0.5</v>
      </c>
      <c r="I615">
        <v>1E-4</v>
      </c>
      <c r="J615" t="b">
        <v>1</v>
      </c>
      <c r="K615">
        <v>1</v>
      </c>
      <c r="L615">
        <v>1500</v>
      </c>
      <c r="M615">
        <v>0.25</v>
      </c>
      <c r="N615">
        <v>0.154</v>
      </c>
      <c r="O615" t="s">
        <v>319</v>
      </c>
      <c r="P615" t="s">
        <v>320</v>
      </c>
      <c r="Q615" s="1">
        <v>-1.76980403231985E-6</v>
      </c>
      <c r="R615" s="1">
        <v>1.55518904262701E-7</v>
      </c>
      <c r="S615" s="1">
        <v>5.2916650763579896E-6</v>
      </c>
      <c r="T615" s="1">
        <v>-5.1433933370979403E-6</v>
      </c>
      <c r="U615">
        <v>1.1235965323863399</v>
      </c>
      <c r="V615" s="1">
        <v>-6.5174777793938201E-16</v>
      </c>
      <c r="W615">
        <v>5.9521800570404796E-3</v>
      </c>
      <c r="X615">
        <v>1.9010934024602899</v>
      </c>
      <c r="Y615">
        <v>0.37691998574881103</v>
      </c>
      <c r="Z615">
        <v>6.8021443583123897E-3</v>
      </c>
      <c r="AA615">
        <v>0.315970468579441</v>
      </c>
      <c r="AB615" s="9">
        <f t="shared" si="89"/>
        <v>-0.97198013534104888</v>
      </c>
      <c r="AC615" s="9">
        <f t="shared" si="90"/>
        <v>-0.8711374518092353</v>
      </c>
      <c r="AD615" s="2">
        <f t="shared" si="91"/>
        <v>-0.10374973712444224</v>
      </c>
      <c r="AE615" s="8">
        <f t="shared" si="92"/>
        <v>0.27045797407635513</v>
      </c>
      <c r="AF615" s="2">
        <f t="shared" si="93"/>
        <v>5.2033387100358125E-2</v>
      </c>
      <c r="AG615" s="8">
        <f t="shared" si="94"/>
        <v>0.21842458697599701</v>
      </c>
      <c r="AH615" s="7">
        <f t="shared" si="95"/>
        <v>0.23822129102194958</v>
      </c>
      <c r="AI615">
        <f t="shared" si="96"/>
        <v>1</v>
      </c>
      <c r="AJ615" s="10">
        <f t="shared" si="97"/>
        <v>0.21842458697599701</v>
      </c>
    </row>
    <row r="616" spans="1:36" hidden="1" x14ac:dyDescent="0.25">
      <c r="A616" t="b">
        <v>0</v>
      </c>
      <c r="B616">
        <v>1000</v>
      </c>
      <c r="C616">
        <v>0.21842458697599701</v>
      </c>
      <c r="D616" t="s">
        <v>52</v>
      </c>
      <c r="E616" t="b">
        <v>1</v>
      </c>
      <c r="F616" t="s">
        <v>53</v>
      </c>
      <c r="G616">
        <v>7.4999999999999997E-2</v>
      </c>
      <c r="H616">
        <v>0.5</v>
      </c>
      <c r="I616">
        <v>1E-4</v>
      </c>
      <c r="J616" t="b">
        <v>1</v>
      </c>
      <c r="K616">
        <v>1</v>
      </c>
      <c r="L616">
        <v>1500</v>
      </c>
      <c r="M616">
        <v>0.25</v>
      </c>
      <c r="N616">
        <v>0.154</v>
      </c>
      <c r="O616" t="s">
        <v>319</v>
      </c>
      <c r="P616" t="s">
        <v>321</v>
      </c>
      <c r="Q616" s="1">
        <v>-1.415310446002E-5</v>
      </c>
      <c r="R616" s="1">
        <v>1.2164392794467201E-6</v>
      </c>
      <c r="S616" s="1">
        <v>4.2317339985169197E-5</v>
      </c>
      <c r="T616" s="1">
        <v>-4.1127173896774802E-5</v>
      </c>
      <c r="U616">
        <v>1.1235725126792899</v>
      </c>
      <c r="V616" s="1">
        <v>-6.5257737227048903E-16</v>
      </c>
      <c r="W616">
        <v>5.6747787623085697E-3</v>
      </c>
      <c r="X616">
        <v>1.9010716300006201</v>
      </c>
      <c r="Y616">
        <v>0.37541249732042697</v>
      </c>
      <c r="Z616">
        <v>6.8036518303861799E-3</v>
      </c>
      <c r="AA616">
        <v>0.30900386688716402</v>
      </c>
      <c r="AB616" s="9">
        <f t="shared" si="89"/>
        <v>-0.97187521501087948</v>
      </c>
      <c r="AC616" s="9">
        <f t="shared" si="90"/>
        <v>-0.8711374518092353</v>
      </c>
      <c r="AD616" s="2">
        <f t="shared" si="91"/>
        <v>-0.10365298100591702</v>
      </c>
      <c r="AE616" s="8">
        <f t="shared" si="92"/>
        <v>0.27040152722723582</v>
      </c>
      <c r="AF616" s="2">
        <f t="shared" si="93"/>
        <v>5.1976940251238807E-2</v>
      </c>
      <c r="AG616" s="8">
        <f t="shared" si="94"/>
        <v>0.21842458697599701</v>
      </c>
      <c r="AH616" s="7">
        <f t="shared" si="95"/>
        <v>0.23796286384623277</v>
      </c>
      <c r="AI616">
        <f t="shared" si="96"/>
        <v>1</v>
      </c>
      <c r="AJ616" s="10">
        <f t="shared" si="97"/>
        <v>0.21842458697599701</v>
      </c>
    </row>
    <row r="617" spans="1:36" hidden="1" x14ac:dyDescent="0.25">
      <c r="A617" t="b">
        <v>0</v>
      </c>
      <c r="B617">
        <v>1000</v>
      </c>
      <c r="C617">
        <v>0.21842458697599701</v>
      </c>
      <c r="D617" t="s">
        <v>52</v>
      </c>
      <c r="E617" t="b">
        <v>1</v>
      </c>
      <c r="F617" t="s">
        <v>53</v>
      </c>
      <c r="G617">
        <v>7.4999999999999997E-2</v>
      </c>
      <c r="H617">
        <v>0.5</v>
      </c>
      <c r="I617">
        <v>1E-4</v>
      </c>
      <c r="J617" t="b">
        <v>1</v>
      </c>
      <c r="K617">
        <v>1</v>
      </c>
      <c r="L617">
        <v>1500</v>
      </c>
      <c r="M617">
        <v>0.25</v>
      </c>
      <c r="N617">
        <v>0.154</v>
      </c>
      <c r="O617" t="s">
        <v>320</v>
      </c>
      <c r="P617" t="s">
        <v>321</v>
      </c>
      <c r="Q617" s="1">
        <v>-1.2383300433568001E-5</v>
      </c>
      <c r="R617" s="1">
        <v>1.08039250556041E-6</v>
      </c>
      <c r="S617" s="1">
        <v>3.7025674908804501E-5</v>
      </c>
      <c r="T617" s="1">
        <v>-3.5983780559333299E-5</v>
      </c>
      <c r="U617">
        <v>1.1235690794214099</v>
      </c>
      <c r="V617" s="1">
        <v>-6.5217788399082204E-16</v>
      </c>
      <c r="W617">
        <v>5.5646364957464703E-3</v>
      </c>
      <c r="X617">
        <v>1.9010685655150601</v>
      </c>
      <c r="Y617">
        <v>0.37679829010306898</v>
      </c>
      <c r="Z617">
        <v>6.8038709824647598E-3</v>
      </c>
      <c r="AA617">
        <v>0.31368651185396201</v>
      </c>
      <c r="AB617" s="9">
        <f t="shared" si="89"/>
        <v>-0.97186021991395366</v>
      </c>
      <c r="AC617" s="9">
        <f t="shared" si="90"/>
        <v>-0.8711374518092353</v>
      </c>
      <c r="AD617" s="2">
        <f t="shared" si="91"/>
        <v>-0.10363915102280463</v>
      </c>
      <c r="AE617" s="8">
        <f t="shared" si="92"/>
        <v>0.27039346031598155</v>
      </c>
      <c r="AF617" s="2">
        <f t="shared" si="93"/>
        <v>5.1968873339984539E-2</v>
      </c>
      <c r="AG617" s="8">
        <f t="shared" si="94"/>
        <v>0.21842458697599701</v>
      </c>
      <c r="AH617" s="7">
        <f t="shared" si="95"/>
        <v>0.23792593159713962</v>
      </c>
      <c r="AI617">
        <f t="shared" si="96"/>
        <v>1</v>
      </c>
      <c r="AJ617" s="10">
        <f t="shared" si="97"/>
        <v>0.21842458697599701</v>
      </c>
    </row>
    <row r="618" spans="1:36" hidden="1" x14ac:dyDescent="0.25">
      <c r="A618" t="b">
        <v>0</v>
      </c>
      <c r="B618">
        <v>1000</v>
      </c>
      <c r="C618">
        <v>0.24338766642337301</v>
      </c>
      <c r="D618" t="s">
        <v>52</v>
      </c>
      <c r="E618" t="b">
        <v>1</v>
      </c>
      <c r="F618" t="s">
        <v>53</v>
      </c>
      <c r="G618">
        <v>7.4999999999999997E-2</v>
      </c>
      <c r="H618">
        <v>0.5</v>
      </c>
      <c r="I618">
        <v>1E-4</v>
      </c>
      <c r="J618" t="b">
        <v>1</v>
      </c>
      <c r="K618">
        <v>8</v>
      </c>
      <c r="L618">
        <v>1500</v>
      </c>
      <c r="M618">
        <v>0.25</v>
      </c>
      <c r="N618">
        <v>0.154</v>
      </c>
      <c r="O618" t="s">
        <v>322</v>
      </c>
      <c r="P618" t="s">
        <v>323</v>
      </c>
      <c r="Q618" s="1">
        <v>-5.1448306788100498E-5</v>
      </c>
      <c r="R618">
        <v>1.0806413512504599E-3</v>
      </c>
      <c r="S618">
        <v>2.66212705800955E-4</v>
      </c>
      <c r="T618">
        <v>-5.7457768871451596E-3</v>
      </c>
      <c r="U618">
        <v>7.9885640561695901</v>
      </c>
      <c r="V618" s="1">
        <v>9.9999999967245706E-15</v>
      </c>
      <c r="W618">
        <v>1.39783506297453</v>
      </c>
      <c r="X618">
        <v>2.4999999999993801</v>
      </c>
      <c r="Y618">
        <v>64.466913042760694</v>
      </c>
      <c r="Z618">
        <v>0.49999999988231197</v>
      </c>
      <c r="AA618">
        <v>116.326017347603</v>
      </c>
      <c r="AB618" s="9">
        <f t="shared" si="89"/>
        <v>-0.33724071731110083</v>
      </c>
      <c r="AC618" s="9">
        <f t="shared" si="90"/>
        <v>-0.34469890768724837</v>
      </c>
      <c r="AD618" s="2">
        <f t="shared" si="91"/>
        <v>2.2115331848459485E-2</v>
      </c>
      <c r="AE618" s="8">
        <f t="shared" si="92"/>
        <v>1.3041599438121455E-3</v>
      </c>
      <c r="AF618" s="2">
        <f t="shared" si="93"/>
        <v>-2.4987723440530575E-3</v>
      </c>
      <c r="AG618" s="8">
        <f t="shared" si="94"/>
        <v>3.8029322878652032E-3</v>
      </c>
      <c r="AH618" s="7">
        <f t="shared" si="95"/>
        <v>-0.65706464246718344</v>
      </c>
      <c r="AI618">
        <f t="shared" si="96"/>
        <v>8</v>
      </c>
      <c r="AJ618" s="10">
        <f t="shared" si="97"/>
        <v>0.24338766642337301</v>
      </c>
    </row>
    <row r="619" spans="1:36" hidden="1" x14ac:dyDescent="0.25">
      <c r="A619" t="b">
        <v>0</v>
      </c>
      <c r="B619">
        <v>1000</v>
      </c>
      <c r="C619">
        <v>0.24338766642337301</v>
      </c>
      <c r="D619" t="s">
        <v>52</v>
      </c>
      <c r="E619" t="b">
        <v>1</v>
      </c>
      <c r="F619" t="s">
        <v>53</v>
      </c>
      <c r="G619">
        <v>7.4999999999999997E-2</v>
      </c>
      <c r="H619">
        <v>0.5</v>
      </c>
      <c r="I619">
        <v>1E-4</v>
      </c>
      <c r="J619" t="b">
        <v>1</v>
      </c>
      <c r="K619">
        <v>8</v>
      </c>
      <c r="L619">
        <v>1500</v>
      </c>
      <c r="M619">
        <v>0.25</v>
      </c>
      <c r="N619">
        <v>0.154</v>
      </c>
      <c r="O619" t="s">
        <v>322</v>
      </c>
      <c r="P619" t="s">
        <v>324</v>
      </c>
      <c r="Q619">
        <v>-4.1114969643506698E-4</v>
      </c>
      <c r="R619">
        <v>8.5590097061467897E-3</v>
      </c>
      <c r="S619">
        <v>2.1251726788146601E-3</v>
      </c>
      <c r="T619">
        <v>-4.5797158781561903E-2</v>
      </c>
      <c r="U619">
        <v>7.98480183809406</v>
      </c>
      <c r="V619" s="1">
        <v>9.9999999999999905E-15</v>
      </c>
      <c r="W619">
        <v>1.39473113775835</v>
      </c>
      <c r="X619">
        <v>2.4999999999999898</v>
      </c>
      <c r="Y619">
        <v>63.778549139185003</v>
      </c>
      <c r="Z619">
        <v>0.499999999999999</v>
      </c>
      <c r="AA619">
        <v>115.343118188589</v>
      </c>
      <c r="AB619" s="9">
        <f t="shared" si="89"/>
        <v>-0.33671645278304074</v>
      </c>
      <c r="AC619" s="9">
        <f t="shared" si="90"/>
        <v>-0.34469890768724837</v>
      </c>
      <c r="AD619" s="2">
        <f t="shared" si="91"/>
        <v>2.370675634716024E-2</v>
      </c>
      <c r="AE619" s="8">
        <f t="shared" si="92"/>
        <v>1.1289796408962707E-3</v>
      </c>
      <c r="AF619" s="2">
        <f t="shared" si="93"/>
        <v>-2.6739526469689327E-3</v>
      </c>
      <c r="AG619" s="8">
        <f t="shared" si="94"/>
        <v>3.8029322878652032E-3</v>
      </c>
      <c r="AH619" s="7">
        <f t="shared" si="95"/>
        <v>-0.70312917626781379</v>
      </c>
      <c r="AI619">
        <f t="shared" si="96"/>
        <v>8</v>
      </c>
      <c r="AJ619" s="10">
        <f t="shared" si="97"/>
        <v>0.24338766642337301</v>
      </c>
    </row>
    <row r="620" spans="1:36" hidden="1" x14ac:dyDescent="0.25">
      <c r="A620" t="b">
        <v>0</v>
      </c>
      <c r="B620">
        <v>1000</v>
      </c>
      <c r="C620">
        <v>0.24338766642337301</v>
      </c>
      <c r="D620" t="s">
        <v>52</v>
      </c>
      <c r="E620" t="b">
        <v>1</v>
      </c>
      <c r="F620" t="s">
        <v>53</v>
      </c>
      <c r="G620">
        <v>7.4999999999999997E-2</v>
      </c>
      <c r="H620">
        <v>0.5</v>
      </c>
      <c r="I620">
        <v>1E-4</v>
      </c>
      <c r="J620" t="b">
        <v>1</v>
      </c>
      <c r="K620">
        <v>8</v>
      </c>
      <c r="L620">
        <v>1500</v>
      </c>
      <c r="M620">
        <v>0.25</v>
      </c>
      <c r="N620">
        <v>0.154</v>
      </c>
      <c r="O620" t="s">
        <v>322</v>
      </c>
      <c r="P620" t="s">
        <v>325</v>
      </c>
      <c r="Q620" s="1">
        <v>-5.14483067881031E-5</v>
      </c>
      <c r="R620">
        <v>1.0790438533241E-3</v>
      </c>
      <c r="S620">
        <v>2.66212705800957E-4</v>
      </c>
      <c r="T620">
        <v>-5.7457768871451197E-3</v>
      </c>
      <c r="U620">
        <v>7.9885640561807598</v>
      </c>
      <c r="V620" s="1">
        <v>9.9999999967242598E-15</v>
      </c>
      <c r="W620">
        <v>1.3997534476271201</v>
      </c>
      <c r="X620">
        <v>2.4999999999993801</v>
      </c>
      <c r="Y620">
        <v>64.316647969761704</v>
      </c>
      <c r="Z620">
        <v>0.49999999988231297</v>
      </c>
      <c r="AA620">
        <v>116.177072998032</v>
      </c>
      <c r="AB620" s="9">
        <f t="shared" si="89"/>
        <v>-0.33724071731109595</v>
      </c>
      <c r="AC620" s="9">
        <f t="shared" si="90"/>
        <v>-0.34469890768724837</v>
      </c>
      <c r="AD620" s="2">
        <f t="shared" si="91"/>
        <v>2.2115331848474362E-2</v>
      </c>
      <c r="AE620" s="8">
        <f t="shared" si="92"/>
        <v>1.3041599438105129E-3</v>
      </c>
      <c r="AF620" s="2">
        <f t="shared" si="93"/>
        <v>-2.4987723440546904E-3</v>
      </c>
      <c r="AG620" s="8">
        <f t="shared" si="94"/>
        <v>3.8029322878652032E-3</v>
      </c>
      <c r="AH620" s="7">
        <f t="shared" si="95"/>
        <v>-0.65706464246761276</v>
      </c>
      <c r="AI620">
        <f t="shared" si="96"/>
        <v>8</v>
      </c>
      <c r="AJ620" s="10">
        <f t="shared" si="97"/>
        <v>0.24338766642337301</v>
      </c>
    </row>
    <row r="621" spans="1:36" hidden="1" x14ac:dyDescent="0.25">
      <c r="A621" t="b">
        <v>0</v>
      </c>
      <c r="B621">
        <v>1000</v>
      </c>
      <c r="C621">
        <v>0.24338766642337301</v>
      </c>
      <c r="D621" t="s">
        <v>52</v>
      </c>
      <c r="E621" t="b">
        <v>1</v>
      </c>
      <c r="F621" t="s">
        <v>53</v>
      </c>
      <c r="G621">
        <v>7.4999999999999997E-2</v>
      </c>
      <c r="H621">
        <v>0.5</v>
      </c>
      <c r="I621">
        <v>1E-4</v>
      </c>
      <c r="J621" t="b">
        <v>1</v>
      </c>
      <c r="K621">
        <v>8</v>
      </c>
      <c r="L621">
        <v>1500</v>
      </c>
      <c r="M621">
        <v>0.25</v>
      </c>
      <c r="N621">
        <v>0.154</v>
      </c>
      <c r="O621" t="s">
        <v>322</v>
      </c>
      <c r="P621" t="s">
        <v>326</v>
      </c>
      <c r="Q621">
        <v>-1.0289927837962999E-4</v>
      </c>
      <c r="R621">
        <v>2.1998549022647501E-3</v>
      </c>
      <c r="S621">
        <v>5.3242067202319905E-4</v>
      </c>
      <c r="T621">
        <v>-1.1490869348889401E-2</v>
      </c>
      <c r="U621">
        <v>7.98802460988653</v>
      </c>
      <c r="V621" s="1">
        <v>9.9999999999999905E-15</v>
      </c>
      <c r="W621">
        <v>1.4352465110099999</v>
      </c>
      <c r="X621">
        <v>2.4999999999999898</v>
      </c>
      <c r="Y621">
        <v>65.350747023955805</v>
      </c>
      <c r="Z621">
        <v>0.499999999999999</v>
      </c>
      <c r="AA621">
        <v>118.50046358064399</v>
      </c>
      <c r="AB621" s="9">
        <f t="shared" si="89"/>
        <v>-0.33722363351168605</v>
      </c>
      <c r="AC621" s="9">
        <f t="shared" si="90"/>
        <v>-0.34469890768724837</v>
      </c>
      <c r="AD621" s="2">
        <f t="shared" si="91"/>
        <v>2.2167112363147279E-2</v>
      </c>
      <c r="AE621" s="8">
        <f t="shared" si="92"/>
        <v>1.2984505135390399E-3</v>
      </c>
      <c r="AF621" s="2">
        <f t="shared" si="93"/>
        <v>-2.5044817743261633E-3</v>
      </c>
      <c r="AG621" s="8">
        <f t="shared" si="94"/>
        <v>3.8029322878652032E-3</v>
      </c>
      <c r="AH621" s="7">
        <f t="shared" si="95"/>
        <v>-0.65856596561493552</v>
      </c>
      <c r="AI621">
        <f t="shared" si="96"/>
        <v>8</v>
      </c>
      <c r="AJ621" s="10">
        <f t="shared" si="97"/>
        <v>0.24338766642337301</v>
      </c>
    </row>
    <row r="622" spans="1:36" hidden="1" x14ac:dyDescent="0.25">
      <c r="A622" t="b">
        <v>0</v>
      </c>
      <c r="B622">
        <v>1000</v>
      </c>
      <c r="C622">
        <v>0.24338766642337301</v>
      </c>
      <c r="D622" t="s">
        <v>52</v>
      </c>
      <c r="E622" t="b">
        <v>1</v>
      </c>
      <c r="F622" t="s">
        <v>53</v>
      </c>
      <c r="G622">
        <v>7.4999999999999997E-2</v>
      </c>
      <c r="H622">
        <v>0.5</v>
      </c>
      <c r="I622">
        <v>1E-4</v>
      </c>
      <c r="J622" t="b">
        <v>1</v>
      </c>
      <c r="K622">
        <v>8</v>
      </c>
      <c r="L622">
        <v>1500</v>
      </c>
      <c r="M622">
        <v>0.25</v>
      </c>
      <c r="N622">
        <v>0.154</v>
      </c>
      <c r="O622" t="s">
        <v>322</v>
      </c>
      <c r="P622" t="s">
        <v>327</v>
      </c>
      <c r="Q622">
        <v>-4.6261922751491299E-4</v>
      </c>
      <c r="R622">
        <v>1.00516468707847E-2</v>
      </c>
      <c r="S622">
        <v>2.39134761613312E-3</v>
      </c>
      <c r="T622">
        <v>-5.15374825292172E-2</v>
      </c>
      <c r="U622">
        <v>7.9842623313137997</v>
      </c>
      <c r="V622" s="1">
        <v>9.9999999999999905E-15</v>
      </c>
      <c r="W622">
        <v>1.46478740433002</v>
      </c>
      <c r="X622">
        <v>2.4999999999999898</v>
      </c>
      <c r="Y622">
        <v>66.228701541192905</v>
      </c>
      <c r="Z622">
        <v>0.499999999999999</v>
      </c>
      <c r="AA622">
        <v>120.500325805719</v>
      </c>
      <c r="AB622" s="9">
        <f t="shared" si="89"/>
        <v>-0.33674450301005143</v>
      </c>
      <c r="AC622" s="9">
        <f t="shared" si="90"/>
        <v>-0.34469890768724837</v>
      </c>
      <c r="AD622" s="2">
        <f t="shared" si="91"/>
        <v>2.3621483368236218E-2</v>
      </c>
      <c r="AE622" s="8">
        <f t="shared" si="92"/>
        <v>1.1383509282954004E-3</v>
      </c>
      <c r="AF622" s="2">
        <f t="shared" si="93"/>
        <v>-2.6645813595698028E-3</v>
      </c>
      <c r="AG622" s="8">
        <f t="shared" si="94"/>
        <v>3.8029322878652032E-3</v>
      </c>
      <c r="AH622" s="7">
        <f t="shared" si="95"/>
        <v>-0.70066494953702685</v>
      </c>
      <c r="AI622">
        <f t="shared" si="96"/>
        <v>8</v>
      </c>
      <c r="AJ622" s="10">
        <f t="shared" si="97"/>
        <v>0.24338766642337301</v>
      </c>
    </row>
    <row r="623" spans="1:36" hidden="1" x14ac:dyDescent="0.25">
      <c r="A623" t="b">
        <v>0</v>
      </c>
      <c r="B623">
        <v>1000</v>
      </c>
      <c r="C623">
        <v>0.24338766642337301</v>
      </c>
      <c r="D623" t="s">
        <v>52</v>
      </c>
      <c r="E623" t="b">
        <v>1</v>
      </c>
      <c r="F623" t="s">
        <v>53</v>
      </c>
      <c r="G623">
        <v>7.4999999999999997E-2</v>
      </c>
      <c r="H623">
        <v>0.5</v>
      </c>
      <c r="I623">
        <v>1E-4</v>
      </c>
      <c r="J623" t="b">
        <v>1</v>
      </c>
      <c r="K623">
        <v>8</v>
      </c>
      <c r="L623">
        <v>1500</v>
      </c>
      <c r="M623">
        <v>0.25</v>
      </c>
      <c r="N623">
        <v>0.154</v>
      </c>
      <c r="O623" t="s">
        <v>322</v>
      </c>
      <c r="P623" t="s">
        <v>328</v>
      </c>
      <c r="Q623">
        <v>-4.1114969643506302E-4</v>
      </c>
      <c r="R623">
        <v>8.7052625610910695E-3</v>
      </c>
      <c r="S623">
        <v>2.1251726788146601E-3</v>
      </c>
      <c r="T623">
        <v>-4.5797158781561799E-2</v>
      </c>
      <c r="U623">
        <v>7.9848018380948096</v>
      </c>
      <c r="V623" s="1">
        <v>9.9999999999999905E-15</v>
      </c>
      <c r="W623">
        <v>1.41827485563327</v>
      </c>
      <c r="X623">
        <v>2.4999999999999898</v>
      </c>
      <c r="Y623">
        <v>64.795230810521701</v>
      </c>
      <c r="Z623">
        <v>0.499999999999999</v>
      </c>
      <c r="AA623">
        <v>117.33235481285401</v>
      </c>
      <c r="AB623" s="9">
        <f t="shared" si="89"/>
        <v>-0.33671645278303997</v>
      </c>
      <c r="AC623" s="9">
        <f t="shared" si="90"/>
        <v>-0.34469890768724837</v>
      </c>
      <c r="AD623" s="2">
        <f t="shared" si="91"/>
        <v>2.3706756347162683E-2</v>
      </c>
      <c r="AE623" s="8">
        <f t="shared" si="92"/>
        <v>1.1289796408960233E-3</v>
      </c>
      <c r="AF623" s="2">
        <f t="shared" si="93"/>
        <v>-2.6739526469691799E-3</v>
      </c>
      <c r="AG623" s="8">
        <f t="shared" si="94"/>
        <v>3.8029322878652032E-3</v>
      </c>
      <c r="AH623" s="7">
        <f t="shared" si="95"/>
        <v>-0.70312917626787874</v>
      </c>
      <c r="AI623">
        <f t="shared" si="96"/>
        <v>8</v>
      </c>
      <c r="AJ623" s="10">
        <f t="shared" si="97"/>
        <v>0.24338766642337301</v>
      </c>
    </row>
    <row r="624" spans="1:36" hidden="1" x14ac:dyDescent="0.25">
      <c r="A624" t="b">
        <v>0</v>
      </c>
      <c r="B624">
        <v>1000</v>
      </c>
      <c r="C624">
        <v>0.24338766642337301</v>
      </c>
      <c r="D624" t="s">
        <v>52</v>
      </c>
      <c r="E624" t="b">
        <v>1</v>
      </c>
      <c r="F624" t="s">
        <v>53</v>
      </c>
      <c r="G624">
        <v>7.4999999999999997E-2</v>
      </c>
      <c r="H624">
        <v>0.5</v>
      </c>
      <c r="I624">
        <v>1E-4</v>
      </c>
      <c r="J624" t="b">
        <v>1</v>
      </c>
      <c r="K624">
        <v>8</v>
      </c>
      <c r="L624">
        <v>1500</v>
      </c>
      <c r="M624">
        <v>0.25</v>
      </c>
      <c r="N624">
        <v>0.154</v>
      </c>
      <c r="O624" t="s">
        <v>322</v>
      </c>
      <c r="P624" t="s">
        <v>329</v>
      </c>
      <c r="Q624">
        <v>-4.6261922751490502E-4</v>
      </c>
      <c r="R624">
        <v>1.00735183253742E-2</v>
      </c>
      <c r="S624">
        <v>2.39134761613312E-3</v>
      </c>
      <c r="T624">
        <v>-5.1537482529217103E-2</v>
      </c>
      <c r="U624">
        <v>7.9842623313225296</v>
      </c>
      <c r="V624" s="1">
        <v>9.9999999999999905E-15</v>
      </c>
      <c r="W624">
        <v>1.46485006244333</v>
      </c>
      <c r="X624">
        <v>2.4999999999999898</v>
      </c>
      <c r="Y624">
        <v>66.408950133554896</v>
      </c>
      <c r="Z624">
        <v>0.499999999999999</v>
      </c>
      <c r="AA624">
        <v>120.74551692729599</v>
      </c>
      <c r="AB624" s="9">
        <f t="shared" si="89"/>
        <v>-0.33674450301005082</v>
      </c>
      <c r="AC624" s="9">
        <f t="shared" si="90"/>
        <v>-0.34469890768724837</v>
      </c>
      <c r="AD624" s="2">
        <f t="shared" si="91"/>
        <v>2.3621483368238216E-2</v>
      </c>
      <c r="AE624" s="8">
        <f t="shared" si="92"/>
        <v>1.1383509282951779E-3</v>
      </c>
      <c r="AF624" s="2">
        <f t="shared" si="93"/>
        <v>-2.6645813595700253E-3</v>
      </c>
      <c r="AG624" s="8">
        <f t="shared" si="94"/>
        <v>3.8029322878652032E-3</v>
      </c>
      <c r="AH624" s="7">
        <f t="shared" si="95"/>
        <v>-0.70066494953708536</v>
      </c>
      <c r="AI624">
        <f t="shared" si="96"/>
        <v>8</v>
      </c>
      <c r="AJ624" s="10">
        <f t="shared" si="97"/>
        <v>0.24338766642337301</v>
      </c>
    </row>
    <row r="625" spans="1:36" hidden="1" x14ac:dyDescent="0.25">
      <c r="A625" t="b">
        <v>0</v>
      </c>
      <c r="B625">
        <v>1000</v>
      </c>
      <c r="C625">
        <v>0.24338766642337301</v>
      </c>
      <c r="D625" t="s">
        <v>52</v>
      </c>
      <c r="E625" t="b">
        <v>1</v>
      </c>
      <c r="F625" t="s">
        <v>53</v>
      </c>
      <c r="G625">
        <v>7.4999999999999997E-2</v>
      </c>
      <c r="H625">
        <v>0.5</v>
      </c>
      <c r="I625">
        <v>1E-4</v>
      </c>
      <c r="J625" t="b">
        <v>1</v>
      </c>
      <c r="K625">
        <v>8</v>
      </c>
      <c r="L625">
        <v>1500</v>
      </c>
      <c r="M625">
        <v>0.25</v>
      </c>
      <c r="N625">
        <v>0.154</v>
      </c>
      <c r="O625" t="s">
        <v>322</v>
      </c>
      <c r="P625" t="s">
        <v>330</v>
      </c>
      <c r="Q625">
        <v>-8.2246847829171897E-4</v>
      </c>
      <c r="R625">
        <v>1.7005545019980702E-2</v>
      </c>
      <c r="S625">
        <v>4.2500443900955996E-3</v>
      </c>
      <c r="T625">
        <v>-9.1550869808717503E-2</v>
      </c>
      <c r="U625">
        <v>7.9804996275144404</v>
      </c>
      <c r="V625" s="1">
        <v>9.9999999999999795E-15</v>
      </c>
      <c r="W625">
        <v>1.3844724034949401</v>
      </c>
      <c r="X625">
        <v>2.4999999999999898</v>
      </c>
      <c r="Y625">
        <v>63.3857066789895</v>
      </c>
      <c r="Z625">
        <v>0.499999999999999</v>
      </c>
      <c r="AA625">
        <v>114.549731678795</v>
      </c>
      <c r="AB625" s="9">
        <f t="shared" si="89"/>
        <v>-0.33658056468653352</v>
      </c>
      <c r="AC625" s="9">
        <f t="shared" si="90"/>
        <v>-0.34469890768724837</v>
      </c>
      <c r="AD625" s="2">
        <f t="shared" si="91"/>
        <v>2.4120058768918096E-2</v>
      </c>
      <c r="AE625" s="8">
        <f t="shared" si="92"/>
        <v>1.0835833329909488E-3</v>
      </c>
      <c r="AF625" s="2">
        <f t="shared" si="93"/>
        <v>-2.7193489548742542E-3</v>
      </c>
      <c r="AG625" s="8">
        <f t="shared" si="94"/>
        <v>3.8029322878652032E-3</v>
      </c>
      <c r="AH625" s="7">
        <f t="shared" si="95"/>
        <v>-0.71506636169974391</v>
      </c>
      <c r="AI625">
        <f t="shared" si="96"/>
        <v>8</v>
      </c>
      <c r="AJ625" s="10">
        <f t="shared" si="97"/>
        <v>0.24338766642337301</v>
      </c>
    </row>
    <row r="626" spans="1:36" hidden="1" x14ac:dyDescent="0.25">
      <c r="A626" t="b">
        <v>0</v>
      </c>
      <c r="B626">
        <v>1000</v>
      </c>
      <c r="C626">
        <v>0.24338766642337301</v>
      </c>
      <c r="D626" t="s">
        <v>52</v>
      </c>
      <c r="E626" t="b">
        <v>1</v>
      </c>
      <c r="F626" t="s">
        <v>53</v>
      </c>
      <c r="G626">
        <v>7.4999999999999997E-2</v>
      </c>
      <c r="H626">
        <v>0.5</v>
      </c>
      <c r="I626">
        <v>1E-4</v>
      </c>
      <c r="J626" t="b">
        <v>1</v>
      </c>
      <c r="K626">
        <v>8</v>
      </c>
      <c r="L626">
        <v>1500</v>
      </c>
      <c r="M626">
        <v>0.25</v>
      </c>
      <c r="N626">
        <v>0.154</v>
      </c>
      <c r="O626" t="s">
        <v>323</v>
      </c>
      <c r="P626" t="s">
        <v>324</v>
      </c>
      <c r="Q626">
        <v>-3.5970138927975001E-4</v>
      </c>
      <c r="R626">
        <v>7.15327580053842E-3</v>
      </c>
      <c r="S626">
        <v>1.8589599730137001E-3</v>
      </c>
      <c r="T626">
        <v>-4.00513818944166E-2</v>
      </c>
      <c r="U626">
        <v>7.9842624003879301</v>
      </c>
      <c r="V626" s="1">
        <v>9.9999999999999905E-15</v>
      </c>
      <c r="W626">
        <v>1.32149577146304</v>
      </c>
      <c r="X626">
        <v>2.4999999999999898</v>
      </c>
      <c r="Y626">
        <v>61.306312588659502</v>
      </c>
      <c r="Z626">
        <v>0.499999999999999</v>
      </c>
      <c r="AA626">
        <v>110.05888900418201</v>
      </c>
      <c r="AB626" s="9">
        <f t="shared" si="89"/>
        <v>-0.33664137538460459</v>
      </c>
      <c r="AC626" s="9">
        <f t="shared" si="90"/>
        <v>-0.34469890768724837</v>
      </c>
      <c r="AD626" s="2">
        <f t="shared" si="91"/>
        <v>2.3935062329870194E-2</v>
      </c>
      <c r="AE626" s="8">
        <f t="shared" si="92"/>
        <v>1.1038979306821008E-3</v>
      </c>
      <c r="AF626" s="2">
        <f t="shared" si="93"/>
        <v>-2.6990343571831024E-3</v>
      </c>
      <c r="AG626" s="8">
        <f t="shared" si="94"/>
        <v>3.8029322878652032E-3</v>
      </c>
      <c r="AH626" s="7">
        <f t="shared" si="95"/>
        <v>-0.70972453698307103</v>
      </c>
      <c r="AI626">
        <f t="shared" si="96"/>
        <v>8</v>
      </c>
      <c r="AJ626" s="10">
        <f t="shared" si="97"/>
        <v>0.24338766642337301</v>
      </c>
    </row>
    <row r="627" spans="1:36" hidden="1" x14ac:dyDescent="0.25">
      <c r="A627" t="b">
        <v>0</v>
      </c>
      <c r="B627">
        <v>1000</v>
      </c>
      <c r="C627">
        <v>0.24338766642337301</v>
      </c>
      <c r="D627" t="s">
        <v>52</v>
      </c>
      <c r="E627" t="b">
        <v>1</v>
      </c>
      <c r="F627" t="s">
        <v>53</v>
      </c>
      <c r="G627">
        <v>7.4999999999999997E-2</v>
      </c>
      <c r="H627">
        <v>0.5</v>
      </c>
      <c r="I627">
        <v>1E-4</v>
      </c>
      <c r="J627" t="b">
        <v>1</v>
      </c>
      <c r="K627">
        <v>8</v>
      </c>
      <c r="L627">
        <v>1500</v>
      </c>
      <c r="M627">
        <v>0.25</v>
      </c>
      <c r="N627">
        <v>0.154</v>
      </c>
      <c r="O627" t="s">
        <v>323</v>
      </c>
      <c r="P627" t="s">
        <v>325</v>
      </c>
      <c r="Q627" s="1">
        <v>-1E-10</v>
      </c>
      <c r="R627" s="1">
        <v>3.5857859200312398E-12</v>
      </c>
      <c r="S627" s="1">
        <v>2.9537512693524898E-19</v>
      </c>
      <c r="T627" s="1">
        <v>3.9553076935995302E-16</v>
      </c>
      <c r="U627">
        <v>7.9880246184746397</v>
      </c>
      <c r="V627">
        <v>0</v>
      </c>
      <c r="W627">
        <v>6.8474548030962201E-2</v>
      </c>
      <c r="X627">
        <v>2</v>
      </c>
      <c r="Y627">
        <v>4.0005664006437696E-3</v>
      </c>
      <c r="Z627">
        <v>2.5000000000000001E-4</v>
      </c>
      <c r="AA627">
        <v>4.7933529652955499E-3</v>
      </c>
      <c r="AB627" s="9">
        <f t="shared" si="89"/>
        <v>20.923116768068489</v>
      </c>
      <c r="AC627" s="9">
        <f t="shared" si="90"/>
        <v>-0.34469890768724837</v>
      </c>
      <c r="AD627" s="2">
        <f t="shared" si="91"/>
        <v>-1.0164745487734077</v>
      </c>
      <c r="AE627" s="8">
        <f t="shared" si="92"/>
        <v>-0.87632155622695085</v>
      </c>
      <c r="AF627" s="2">
        <f t="shared" si="93"/>
        <v>-0.88012448851481606</v>
      </c>
      <c r="AG627" s="8">
        <f t="shared" si="94"/>
        <v>3.8029322878652032E-3</v>
      </c>
      <c r="AH627" s="7">
        <f t="shared" si="95"/>
        <v>-231.43312104798972</v>
      </c>
      <c r="AI627">
        <f t="shared" si="96"/>
        <v>8</v>
      </c>
      <c r="AJ627" s="10">
        <f t="shared" si="97"/>
        <v>0.24338766642337301</v>
      </c>
    </row>
    <row r="628" spans="1:36" hidden="1" x14ac:dyDescent="0.25">
      <c r="A628" t="b">
        <v>0</v>
      </c>
      <c r="B628">
        <v>1000</v>
      </c>
      <c r="C628">
        <v>0.24338766642337301</v>
      </c>
      <c r="D628" t="s">
        <v>52</v>
      </c>
      <c r="E628" t="b">
        <v>1</v>
      </c>
      <c r="F628" t="s">
        <v>53</v>
      </c>
      <c r="G628">
        <v>7.4999999999999997E-2</v>
      </c>
      <c r="H628">
        <v>0.5</v>
      </c>
      <c r="I628">
        <v>1E-4</v>
      </c>
      <c r="J628" t="b">
        <v>1</v>
      </c>
      <c r="K628">
        <v>8</v>
      </c>
      <c r="L628">
        <v>1500</v>
      </c>
      <c r="M628">
        <v>0.25</v>
      </c>
      <c r="N628">
        <v>0.154</v>
      </c>
      <c r="O628" t="s">
        <v>323</v>
      </c>
      <c r="P628" t="s">
        <v>326</v>
      </c>
      <c r="Q628" s="1">
        <v>-5.1450970858221999E-5</v>
      </c>
      <c r="R628">
        <v>1.0926725963362101E-3</v>
      </c>
      <c r="S628">
        <v>2.6620796622223701E-4</v>
      </c>
      <c r="T628">
        <v>-5.7450924617439203E-3</v>
      </c>
      <c r="U628">
        <v>7.9874851721804099</v>
      </c>
      <c r="V628" s="1">
        <v>9.9999999967157196E-15</v>
      </c>
      <c r="W628">
        <v>1.40859376338588</v>
      </c>
      <c r="X628">
        <v>2.4999999999993801</v>
      </c>
      <c r="Y628">
        <v>65.2007011960185</v>
      </c>
      <c r="Z628">
        <v>0.49999999988284999</v>
      </c>
      <c r="AA628">
        <v>117.597849143321</v>
      </c>
      <c r="AB628" s="9">
        <f t="shared" si="89"/>
        <v>-0.33720654940810063</v>
      </c>
      <c r="AC628" s="9">
        <f t="shared" si="90"/>
        <v>-0.34469890768724837</v>
      </c>
      <c r="AD628" s="2">
        <f t="shared" si="91"/>
        <v>2.2218899046590579E-2</v>
      </c>
      <c r="AE628" s="8">
        <f t="shared" si="92"/>
        <v>1.2927410467233199E-3</v>
      </c>
      <c r="AF628" s="2">
        <f t="shared" si="93"/>
        <v>-2.5101912411418835E-3</v>
      </c>
      <c r="AG628" s="8">
        <f t="shared" si="94"/>
        <v>3.8029322878652032E-3</v>
      </c>
      <c r="AH628" s="7">
        <f t="shared" si="95"/>
        <v>-0.66006729837175016</v>
      </c>
      <c r="AI628">
        <f t="shared" si="96"/>
        <v>8</v>
      </c>
      <c r="AJ628" s="10">
        <f t="shared" si="97"/>
        <v>0.24338766642337301</v>
      </c>
    </row>
    <row r="629" spans="1:36" hidden="1" x14ac:dyDescent="0.25">
      <c r="A629" t="b">
        <v>0</v>
      </c>
      <c r="B629">
        <v>1000</v>
      </c>
      <c r="C629">
        <v>0.24338766642337301</v>
      </c>
      <c r="D629" t="s">
        <v>52</v>
      </c>
      <c r="E629" t="b">
        <v>1</v>
      </c>
      <c r="F629" t="s">
        <v>53</v>
      </c>
      <c r="G629">
        <v>7.4999999999999997E-2</v>
      </c>
      <c r="H629">
        <v>0.5</v>
      </c>
      <c r="I629">
        <v>1E-4</v>
      </c>
      <c r="J629" t="b">
        <v>1</v>
      </c>
      <c r="K629">
        <v>8</v>
      </c>
      <c r="L629">
        <v>1500</v>
      </c>
      <c r="M629">
        <v>0.25</v>
      </c>
      <c r="N629">
        <v>0.154</v>
      </c>
      <c r="O629" t="s">
        <v>323</v>
      </c>
      <c r="P629" t="s">
        <v>327</v>
      </c>
      <c r="Q629">
        <v>-4.1117092035957499E-4</v>
      </c>
      <c r="R629">
        <v>8.5443412517143703E-3</v>
      </c>
      <c r="S629">
        <v>2.1251349103321702E-3</v>
      </c>
      <c r="T629">
        <v>-4.5791705642072002E-2</v>
      </c>
      <c r="U629">
        <v>7.9837228936076698</v>
      </c>
      <c r="V629" s="1">
        <v>9.9999999999999905E-15</v>
      </c>
      <c r="W629">
        <v>1.3932010973042499</v>
      </c>
      <c r="X629">
        <v>2.4999999999999898</v>
      </c>
      <c r="Y629">
        <v>63.662942103927101</v>
      </c>
      <c r="Z629">
        <v>0.499999999999999</v>
      </c>
      <c r="AA629">
        <v>115.14295008677</v>
      </c>
      <c r="AB629" s="9">
        <f t="shared" si="89"/>
        <v>-0.33668234293207255</v>
      </c>
      <c r="AC629" s="9">
        <f t="shared" si="90"/>
        <v>-0.34469890768724837</v>
      </c>
      <c r="AD629" s="2">
        <f t="shared" si="91"/>
        <v>2.3810469789896871E-2</v>
      </c>
      <c r="AE629" s="8">
        <f t="shared" si="92"/>
        <v>1.1175841329092316E-3</v>
      </c>
      <c r="AF629" s="2">
        <f t="shared" si="93"/>
        <v>-2.6853481549559714E-3</v>
      </c>
      <c r="AG629" s="8">
        <f t="shared" si="94"/>
        <v>3.8029322878652032E-3</v>
      </c>
      <c r="AH629" s="7">
        <f t="shared" si="95"/>
        <v>-0.7061256818914875</v>
      </c>
      <c r="AI629">
        <f t="shared" si="96"/>
        <v>8</v>
      </c>
      <c r="AJ629" s="10">
        <f t="shared" si="97"/>
        <v>0.24338766642337301</v>
      </c>
    </row>
    <row r="630" spans="1:36" hidden="1" x14ac:dyDescent="0.25">
      <c r="A630" t="b">
        <v>0</v>
      </c>
      <c r="B630">
        <v>1000</v>
      </c>
      <c r="C630">
        <v>0.24338766642337301</v>
      </c>
      <c r="D630" t="s">
        <v>52</v>
      </c>
      <c r="E630" t="b">
        <v>1</v>
      </c>
      <c r="F630" t="s">
        <v>53</v>
      </c>
      <c r="G630">
        <v>7.4999999999999997E-2</v>
      </c>
      <c r="H630">
        <v>0.5</v>
      </c>
      <c r="I630">
        <v>1E-4</v>
      </c>
      <c r="J630" t="b">
        <v>1</v>
      </c>
      <c r="K630">
        <v>8</v>
      </c>
      <c r="L630">
        <v>1500</v>
      </c>
      <c r="M630">
        <v>0.25</v>
      </c>
      <c r="N630">
        <v>0.154</v>
      </c>
      <c r="O630" t="s">
        <v>323</v>
      </c>
      <c r="P630" t="s">
        <v>328</v>
      </c>
      <c r="Q630">
        <v>-3.59701389279744E-4</v>
      </c>
      <c r="R630">
        <v>7.2384916608943597E-3</v>
      </c>
      <c r="S630">
        <v>1.8589599730137001E-3</v>
      </c>
      <c r="T630">
        <v>-4.00513818944166E-2</v>
      </c>
      <c r="U630">
        <v>7.9842624003886904</v>
      </c>
      <c r="V630" s="1">
        <v>9.9999999999999905E-15</v>
      </c>
      <c r="W630">
        <v>1.3342823828856001</v>
      </c>
      <c r="X630">
        <v>2.4999999999999898</v>
      </c>
      <c r="Y630">
        <v>62.022645239363101</v>
      </c>
      <c r="Z630">
        <v>0.499999999999999</v>
      </c>
      <c r="AA630">
        <v>111.368270119211</v>
      </c>
      <c r="AB630" s="9">
        <f t="shared" si="89"/>
        <v>-0.33664137538460459</v>
      </c>
      <c r="AC630" s="9">
        <f t="shared" si="90"/>
        <v>-0.34469890768724837</v>
      </c>
      <c r="AD630" s="2">
        <f t="shared" si="91"/>
        <v>2.3935062329870194E-2</v>
      </c>
      <c r="AE630" s="8">
        <f t="shared" si="92"/>
        <v>1.1038979306821008E-3</v>
      </c>
      <c r="AF630" s="2">
        <f t="shared" si="93"/>
        <v>-2.6990343571831024E-3</v>
      </c>
      <c r="AG630" s="8">
        <f t="shared" si="94"/>
        <v>3.8029322878652032E-3</v>
      </c>
      <c r="AH630" s="7">
        <f t="shared" si="95"/>
        <v>-0.70972453698307103</v>
      </c>
      <c r="AI630">
        <f t="shared" si="96"/>
        <v>8</v>
      </c>
      <c r="AJ630" s="10">
        <f t="shared" si="97"/>
        <v>0.24338766642337301</v>
      </c>
    </row>
    <row r="631" spans="1:36" hidden="1" x14ac:dyDescent="0.25">
      <c r="A631" t="b">
        <v>0</v>
      </c>
      <c r="B631">
        <v>1000</v>
      </c>
      <c r="C631">
        <v>0.24338766642337301</v>
      </c>
      <c r="D631" t="s">
        <v>52</v>
      </c>
      <c r="E631" t="b">
        <v>1</v>
      </c>
      <c r="F631" t="s">
        <v>53</v>
      </c>
      <c r="G631">
        <v>7.4999999999999997E-2</v>
      </c>
      <c r="H631">
        <v>0.5</v>
      </c>
      <c r="I631">
        <v>1E-4</v>
      </c>
      <c r="J631" t="b">
        <v>1</v>
      </c>
      <c r="K631">
        <v>8</v>
      </c>
      <c r="L631">
        <v>1500</v>
      </c>
      <c r="M631">
        <v>0.25</v>
      </c>
      <c r="N631">
        <v>0.154</v>
      </c>
      <c r="O631" t="s">
        <v>323</v>
      </c>
      <c r="P631" t="s">
        <v>329</v>
      </c>
      <c r="Q631">
        <v>-4.1117092035956897E-4</v>
      </c>
      <c r="R631">
        <v>8.6452317804797604E-3</v>
      </c>
      <c r="S631">
        <v>2.1251349103321598E-3</v>
      </c>
      <c r="T631">
        <v>-4.5791705642071898E-2</v>
      </c>
      <c r="U631">
        <v>7.9837228936164104</v>
      </c>
      <c r="V631" s="1">
        <v>9.9999999999999905E-15</v>
      </c>
      <c r="W631">
        <v>1.4106300501848901</v>
      </c>
      <c r="X631">
        <v>2.4999999999999898</v>
      </c>
      <c r="Y631">
        <v>64.347607906612694</v>
      </c>
      <c r="Z631">
        <v>0.499999999999999</v>
      </c>
      <c r="AA631">
        <v>116.51958213107</v>
      </c>
      <c r="AB631" s="9">
        <f t="shared" si="89"/>
        <v>-0.33668234293207344</v>
      </c>
      <c r="AC631" s="9">
        <f t="shared" si="90"/>
        <v>-0.34469890768724837</v>
      </c>
      <c r="AD631" s="2">
        <f t="shared" si="91"/>
        <v>2.3810469789894206E-2</v>
      </c>
      <c r="AE631" s="8">
        <f t="shared" si="92"/>
        <v>1.1175841329095285E-3</v>
      </c>
      <c r="AF631" s="2">
        <f t="shared" si="93"/>
        <v>-2.6853481549556748E-3</v>
      </c>
      <c r="AG631" s="8">
        <f t="shared" si="94"/>
        <v>3.8029322878652032E-3</v>
      </c>
      <c r="AH631" s="7">
        <f t="shared" si="95"/>
        <v>-0.70612568189140956</v>
      </c>
      <c r="AI631">
        <f t="shared" si="96"/>
        <v>8</v>
      </c>
      <c r="AJ631" s="10">
        <f t="shared" si="97"/>
        <v>0.24338766642337301</v>
      </c>
    </row>
    <row r="632" spans="1:36" hidden="1" x14ac:dyDescent="0.25">
      <c r="A632" t="b">
        <v>0</v>
      </c>
      <c r="B632">
        <v>1000</v>
      </c>
      <c r="C632">
        <v>0.24338766642337301</v>
      </c>
      <c r="D632" t="s">
        <v>52</v>
      </c>
      <c r="E632" t="b">
        <v>1</v>
      </c>
      <c r="F632" t="s">
        <v>53</v>
      </c>
      <c r="G632">
        <v>7.4999999999999997E-2</v>
      </c>
      <c r="H632">
        <v>0.5</v>
      </c>
      <c r="I632">
        <v>1E-4</v>
      </c>
      <c r="J632" t="b">
        <v>1</v>
      </c>
      <c r="K632">
        <v>8</v>
      </c>
      <c r="L632">
        <v>1500</v>
      </c>
      <c r="M632">
        <v>0.25</v>
      </c>
      <c r="N632">
        <v>0.154</v>
      </c>
      <c r="O632" t="s">
        <v>323</v>
      </c>
      <c r="P632" t="s">
        <v>330</v>
      </c>
      <c r="Q632">
        <v>-7.7102017113651303E-4</v>
      </c>
      <c r="R632">
        <v>1.58871484915637E-2</v>
      </c>
      <c r="S632">
        <v>3.9838316842946402E-3</v>
      </c>
      <c r="T632">
        <v>-8.5805092921572096E-2</v>
      </c>
      <c r="U632">
        <v>7.9799601898083203</v>
      </c>
      <c r="V632" s="1">
        <v>9.9999999999999795E-15</v>
      </c>
      <c r="W632">
        <v>1.3801292258590201</v>
      </c>
      <c r="X632">
        <v>2.4999999999999898</v>
      </c>
      <c r="Y632">
        <v>63.193169921128302</v>
      </c>
      <c r="Z632">
        <v>0.499999999999999</v>
      </c>
      <c r="AA632">
        <v>114.14832665519501</v>
      </c>
      <c r="AB632" s="9">
        <f t="shared" si="89"/>
        <v>-0.3365364511219161</v>
      </c>
      <c r="AC632" s="9">
        <f t="shared" si="90"/>
        <v>-0.34469890768724837</v>
      </c>
      <c r="AD632" s="2">
        <f t="shared" si="91"/>
        <v>2.4254301541841716E-2</v>
      </c>
      <c r="AE632" s="8">
        <f t="shared" si="92"/>
        <v>1.0688471439609679E-3</v>
      </c>
      <c r="AF632" s="2">
        <f t="shared" si="93"/>
        <v>-2.7340851439042356E-3</v>
      </c>
      <c r="AG632" s="8">
        <f t="shared" si="94"/>
        <v>3.8029322878652032E-3</v>
      </c>
      <c r="AH632" s="7">
        <f t="shared" si="95"/>
        <v>-0.71894131605457245</v>
      </c>
      <c r="AI632">
        <f t="shared" si="96"/>
        <v>8</v>
      </c>
      <c r="AJ632" s="10">
        <f t="shared" si="97"/>
        <v>0.24338766642337301</v>
      </c>
    </row>
    <row r="633" spans="1:36" hidden="1" x14ac:dyDescent="0.25">
      <c r="A633" t="b">
        <v>0</v>
      </c>
      <c r="B633">
        <v>1000</v>
      </c>
      <c r="C633">
        <v>0.24338766642337301</v>
      </c>
      <c r="D633" t="s">
        <v>52</v>
      </c>
      <c r="E633" t="b">
        <v>1</v>
      </c>
      <c r="F633" t="s">
        <v>53</v>
      </c>
      <c r="G633">
        <v>7.4999999999999997E-2</v>
      </c>
      <c r="H633">
        <v>0.5</v>
      </c>
      <c r="I633">
        <v>1E-4</v>
      </c>
      <c r="J633" t="b">
        <v>1</v>
      </c>
      <c r="K633">
        <v>8</v>
      </c>
      <c r="L633">
        <v>1500</v>
      </c>
      <c r="M633">
        <v>0.25</v>
      </c>
      <c r="N633">
        <v>0.154</v>
      </c>
      <c r="O633" t="s">
        <v>324</v>
      </c>
      <c r="P633" t="s">
        <v>327</v>
      </c>
      <c r="Q633" s="1">
        <v>-5.1469530724973E-5</v>
      </c>
      <c r="R633">
        <v>1.0677602425716499E-3</v>
      </c>
      <c r="S633">
        <v>2.6617493731846502E-4</v>
      </c>
      <c r="T633">
        <v>-5.7403237476554101E-3</v>
      </c>
      <c r="U633">
        <v>7.9799606755321397</v>
      </c>
      <c r="V633" s="1">
        <v>9.9999999966617994E-15</v>
      </c>
      <c r="W633">
        <v>1.4053203031584001</v>
      </c>
      <c r="X633">
        <v>2.4999999999993698</v>
      </c>
      <c r="Y633">
        <v>63.3595123624116</v>
      </c>
      <c r="Z633">
        <v>0.49999999988666899</v>
      </c>
      <c r="AA633">
        <v>115.030271263686</v>
      </c>
      <c r="AB633" s="9">
        <f t="shared" si="89"/>
        <v>-0.33696845939256526</v>
      </c>
      <c r="AC633" s="9">
        <f t="shared" si="90"/>
        <v>-0.34469890768724837</v>
      </c>
      <c r="AD633" s="2">
        <f t="shared" si="91"/>
        <v>2.294116282757841E-2</v>
      </c>
      <c r="AE633" s="8">
        <f t="shared" si="92"/>
        <v>1.2131787055863685E-3</v>
      </c>
      <c r="AF633" s="2">
        <f t="shared" si="93"/>
        <v>-2.5897535822788347E-3</v>
      </c>
      <c r="AG633" s="8">
        <f t="shared" si="94"/>
        <v>3.8029322878652032E-3</v>
      </c>
      <c r="AH633" s="7">
        <f t="shared" si="95"/>
        <v>-0.68098861253525156</v>
      </c>
      <c r="AI633">
        <f t="shared" si="96"/>
        <v>8</v>
      </c>
      <c r="AJ633" s="10">
        <f t="shared" si="97"/>
        <v>0.24338766642337301</v>
      </c>
    </row>
    <row r="634" spans="1:36" hidden="1" x14ac:dyDescent="0.25">
      <c r="A634" t="b">
        <v>0</v>
      </c>
      <c r="B634">
        <v>1000</v>
      </c>
      <c r="C634">
        <v>0.24338766642337301</v>
      </c>
      <c r="D634" t="s">
        <v>52</v>
      </c>
      <c r="E634" t="b">
        <v>1</v>
      </c>
      <c r="F634" t="s">
        <v>53</v>
      </c>
      <c r="G634">
        <v>7.4999999999999997E-2</v>
      </c>
      <c r="H634">
        <v>0.5</v>
      </c>
      <c r="I634">
        <v>1E-4</v>
      </c>
      <c r="J634" t="b">
        <v>1</v>
      </c>
      <c r="K634">
        <v>8</v>
      </c>
      <c r="L634">
        <v>1500</v>
      </c>
      <c r="M634">
        <v>0.25</v>
      </c>
      <c r="N634">
        <v>0.154</v>
      </c>
      <c r="O634" t="s">
        <v>324</v>
      </c>
      <c r="P634" t="s">
        <v>328</v>
      </c>
      <c r="Q634" s="1">
        <v>-1E-10</v>
      </c>
      <c r="R634" s="1">
        <v>3.5857859124838501E-12</v>
      </c>
      <c r="S634" s="1">
        <v>8.0879428383826695E-18</v>
      </c>
      <c r="T634" s="1">
        <v>1.9452152485971401E-17</v>
      </c>
      <c r="U634">
        <v>7.9805001823131496</v>
      </c>
      <c r="V634">
        <v>0</v>
      </c>
      <c r="W634">
        <v>6.8474547886836407E-2</v>
      </c>
      <c r="X634">
        <v>2</v>
      </c>
      <c r="Y634">
        <v>4.0005663922233403E-3</v>
      </c>
      <c r="Z634">
        <v>2.5000000000000001E-4</v>
      </c>
      <c r="AA634">
        <v>4.7933529552064598E-3</v>
      </c>
      <c r="AB634" s="9">
        <f t="shared" si="89"/>
        <v>3.7579380649292699E-2</v>
      </c>
      <c r="AC634" s="9">
        <f t="shared" si="90"/>
        <v>-0.34469890768724837</v>
      </c>
      <c r="AD634" s="2">
        <f t="shared" si="91"/>
        <v>-10.172554250005611</v>
      </c>
      <c r="AE634" s="8">
        <f t="shared" si="92"/>
        <v>-0.11003331900113322</v>
      </c>
      <c r="AF634" s="2">
        <f t="shared" si="93"/>
        <v>-0.11383625128899842</v>
      </c>
      <c r="AG634" s="8">
        <f t="shared" si="94"/>
        <v>3.8029322878652032E-3</v>
      </c>
      <c r="AH634" s="7">
        <f t="shared" si="95"/>
        <v>-29.933809668985987</v>
      </c>
      <c r="AI634">
        <f t="shared" si="96"/>
        <v>8</v>
      </c>
      <c r="AJ634" s="10">
        <f t="shared" si="97"/>
        <v>0.24338766642337301</v>
      </c>
    </row>
    <row r="635" spans="1:36" hidden="1" x14ac:dyDescent="0.25">
      <c r="A635" t="b">
        <v>0</v>
      </c>
      <c r="B635">
        <v>1000</v>
      </c>
      <c r="C635">
        <v>0.24338766642337301</v>
      </c>
      <c r="D635" t="s">
        <v>52</v>
      </c>
      <c r="E635" t="b">
        <v>1</v>
      </c>
      <c r="F635" t="s">
        <v>53</v>
      </c>
      <c r="G635">
        <v>7.4999999999999997E-2</v>
      </c>
      <c r="H635">
        <v>0.5</v>
      </c>
      <c r="I635">
        <v>1E-4</v>
      </c>
      <c r="J635" t="b">
        <v>1</v>
      </c>
      <c r="K635">
        <v>8</v>
      </c>
      <c r="L635">
        <v>1500</v>
      </c>
      <c r="M635">
        <v>0.25</v>
      </c>
      <c r="N635">
        <v>0.154</v>
      </c>
      <c r="O635" t="s">
        <v>324</v>
      </c>
      <c r="P635" t="s">
        <v>329</v>
      </c>
      <c r="Q635" s="1">
        <v>-5.1469530724971103E-5</v>
      </c>
      <c r="R635">
        <v>1.0942086064300301E-3</v>
      </c>
      <c r="S635">
        <v>2.6617493731846101E-4</v>
      </c>
      <c r="T635">
        <v>-5.74032374765528E-3</v>
      </c>
      <c r="U635">
        <v>7.9799606755408803</v>
      </c>
      <c r="V635" s="1">
        <v>9.9999999966605498E-15</v>
      </c>
      <c r="W635">
        <v>1.44517008076486</v>
      </c>
      <c r="X635">
        <v>2.4999999999993698</v>
      </c>
      <c r="Y635">
        <v>64.724503906746804</v>
      </c>
      <c r="Z635">
        <v>0.49999999988666799</v>
      </c>
      <c r="AA635">
        <v>117.950502306704</v>
      </c>
      <c r="AB635" s="9">
        <f t="shared" si="89"/>
        <v>-0.3369684593925627</v>
      </c>
      <c r="AC635" s="9">
        <f t="shared" si="90"/>
        <v>-0.34469890768724837</v>
      </c>
      <c r="AD635" s="2">
        <f t="shared" si="91"/>
        <v>2.2941162827586181E-2</v>
      </c>
      <c r="AE635" s="8">
        <f t="shared" si="92"/>
        <v>1.2131787055855027E-3</v>
      </c>
      <c r="AF635" s="2">
        <f t="shared" si="93"/>
        <v>-2.5897535822797003E-3</v>
      </c>
      <c r="AG635" s="8">
        <f t="shared" si="94"/>
        <v>3.8029322878652032E-3</v>
      </c>
      <c r="AH635" s="7">
        <f t="shared" si="95"/>
        <v>-0.68098861253547915</v>
      </c>
      <c r="AI635">
        <f t="shared" si="96"/>
        <v>8</v>
      </c>
      <c r="AJ635" s="10">
        <f t="shared" si="97"/>
        <v>0.24338766642337301</v>
      </c>
    </row>
    <row r="636" spans="1:36" hidden="1" x14ac:dyDescent="0.25">
      <c r="A636" t="b">
        <v>0</v>
      </c>
      <c r="B636">
        <v>1000</v>
      </c>
      <c r="C636">
        <v>0.24338766642337301</v>
      </c>
      <c r="D636" t="s">
        <v>52</v>
      </c>
      <c r="E636" t="b">
        <v>1</v>
      </c>
      <c r="F636" t="s">
        <v>53</v>
      </c>
      <c r="G636">
        <v>7.4999999999999997E-2</v>
      </c>
      <c r="H636">
        <v>0.5</v>
      </c>
      <c r="I636">
        <v>1E-4</v>
      </c>
      <c r="J636" t="b">
        <v>1</v>
      </c>
      <c r="K636">
        <v>8</v>
      </c>
      <c r="L636">
        <v>1500</v>
      </c>
      <c r="M636">
        <v>0.25</v>
      </c>
      <c r="N636">
        <v>0.154</v>
      </c>
      <c r="O636" t="s">
        <v>324</v>
      </c>
      <c r="P636" t="s">
        <v>330</v>
      </c>
      <c r="Q636">
        <v>-4.1131878185762902E-4</v>
      </c>
      <c r="R636">
        <v>8.8290182918528207E-3</v>
      </c>
      <c r="S636">
        <v>2.1248717112809399E-3</v>
      </c>
      <c r="T636">
        <v>-4.5753711027155503E-2</v>
      </c>
      <c r="U636">
        <v>7.9761979717327902</v>
      </c>
      <c r="V636" s="1">
        <v>9.9999999999999905E-15</v>
      </c>
      <c r="W636">
        <v>1.4388625457941</v>
      </c>
      <c r="X636">
        <v>2.4999999999999898</v>
      </c>
      <c r="Y636">
        <v>65.600116671724393</v>
      </c>
      <c r="Z636">
        <v>0.499999999999999</v>
      </c>
      <c r="AA636">
        <v>118.97937207460301</v>
      </c>
      <c r="AB636" s="9">
        <f t="shared" si="89"/>
        <v>-0.3364446573427905</v>
      </c>
      <c r="AC636" s="9">
        <f t="shared" si="90"/>
        <v>-0.34469890768724837</v>
      </c>
      <c r="AD636" s="2">
        <f t="shared" si="91"/>
        <v>2.4533753662932867E-2</v>
      </c>
      <c r="AE636" s="8">
        <f t="shared" si="92"/>
        <v>1.0381847128267993E-3</v>
      </c>
      <c r="AF636" s="2">
        <f t="shared" si="93"/>
        <v>-2.7647475750384037E-3</v>
      </c>
      <c r="AG636" s="8">
        <f t="shared" si="94"/>
        <v>3.8029322878652032E-3</v>
      </c>
      <c r="AH636" s="7">
        <f t="shared" si="95"/>
        <v>-0.72700415515165795</v>
      </c>
      <c r="AI636">
        <f t="shared" si="96"/>
        <v>8</v>
      </c>
      <c r="AJ636" s="10">
        <f t="shared" si="97"/>
        <v>0.24338766642337301</v>
      </c>
    </row>
    <row r="637" spans="1:36" hidden="1" x14ac:dyDescent="0.25">
      <c r="A637" t="b">
        <v>0</v>
      </c>
      <c r="B637">
        <v>1000</v>
      </c>
      <c r="C637">
        <v>0.24338766642337301</v>
      </c>
      <c r="D637" t="s">
        <v>52</v>
      </c>
      <c r="E637" t="b">
        <v>1</v>
      </c>
      <c r="F637" t="s">
        <v>53</v>
      </c>
      <c r="G637">
        <v>7.4999999999999997E-2</v>
      </c>
      <c r="H637">
        <v>0.5</v>
      </c>
      <c r="I637">
        <v>1E-4</v>
      </c>
      <c r="J637" t="b">
        <v>1</v>
      </c>
      <c r="K637">
        <v>8</v>
      </c>
      <c r="L637">
        <v>1500</v>
      </c>
      <c r="M637">
        <v>0.25</v>
      </c>
      <c r="N637">
        <v>0.154</v>
      </c>
      <c r="O637" t="s">
        <v>325</v>
      </c>
      <c r="P637" t="s">
        <v>326</v>
      </c>
      <c r="Q637" s="1">
        <v>-5.1450970858219898E-5</v>
      </c>
      <c r="R637">
        <v>1.0829695791627601E-3</v>
      </c>
      <c r="S637">
        <v>2.6620796622224199E-4</v>
      </c>
      <c r="T637">
        <v>-5.7450924617441597E-3</v>
      </c>
      <c r="U637">
        <v>7.9874851721915796</v>
      </c>
      <c r="V637" s="1">
        <v>9.9999999967157496E-15</v>
      </c>
      <c r="W637">
        <v>1.3929727346562699</v>
      </c>
      <c r="X637">
        <v>2.4999999999993801</v>
      </c>
      <c r="Y637">
        <v>64.710105836954298</v>
      </c>
      <c r="Z637">
        <v>0.49999999988284899</v>
      </c>
      <c r="AA637">
        <v>116.523257044171</v>
      </c>
      <c r="AB637" s="9">
        <f t="shared" si="89"/>
        <v>-0.3372065494081084</v>
      </c>
      <c r="AC637" s="9">
        <f t="shared" si="90"/>
        <v>-0.34469890768724837</v>
      </c>
      <c r="AD637" s="2">
        <f t="shared" si="91"/>
        <v>2.2218899046567042E-2</v>
      </c>
      <c r="AE637" s="8">
        <f t="shared" si="92"/>
        <v>1.292741046725917E-3</v>
      </c>
      <c r="AF637" s="2">
        <f t="shared" si="93"/>
        <v>-2.5101912411392862E-3</v>
      </c>
      <c r="AG637" s="8">
        <f t="shared" si="94"/>
        <v>3.8029322878652032E-3</v>
      </c>
      <c r="AH637" s="7">
        <f t="shared" si="95"/>
        <v>-0.66006729837106715</v>
      </c>
      <c r="AI637">
        <f t="shared" si="96"/>
        <v>8</v>
      </c>
      <c r="AJ637" s="10">
        <f t="shared" si="97"/>
        <v>0.24338766642337301</v>
      </c>
    </row>
    <row r="638" spans="1:36" hidden="1" x14ac:dyDescent="0.25">
      <c r="A638" t="b">
        <v>0</v>
      </c>
      <c r="B638">
        <v>1000</v>
      </c>
      <c r="C638">
        <v>0.24338766642337301</v>
      </c>
      <c r="D638" t="s">
        <v>52</v>
      </c>
      <c r="E638" t="b">
        <v>1</v>
      </c>
      <c r="F638" t="s">
        <v>53</v>
      </c>
      <c r="G638">
        <v>7.4999999999999997E-2</v>
      </c>
      <c r="H638">
        <v>0.5</v>
      </c>
      <c r="I638">
        <v>1E-4</v>
      </c>
      <c r="J638" t="b">
        <v>1</v>
      </c>
      <c r="K638">
        <v>8</v>
      </c>
      <c r="L638">
        <v>1500</v>
      </c>
      <c r="M638">
        <v>0.25</v>
      </c>
      <c r="N638">
        <v>0.154</v>
      </c>
      <c r="O638" t="s">
        <v>325</v>
      </c>
      <c r="P638" t="s">
        <v>327</v>
      </c>
      <c r="Q638">
        <v>-4.1117092035956399E-4</v>
      </c>
      <c r="R638">
        <v>8.6508028970732898E-3</v>
      </c>
      <c r="S638">
        <v>2.1251349103321702E-3</v>
      </c>
      <c r="T638">
        <v>-4.57917056420723E-2</v>
      </c>
      <c r="U638">
        <v>7.9837228936188502</v>
      </c>
      <c r="V638" s="1">
        <v>9.9999999999999905E-15</v>
      </c>
      <c r="W638">
        <v>1.4059137854818999</v>
      </c>
      <c r="X638">
        <v>2.4999999999999898</v>
      </c>
      <c r="Y638">
        <v>64.462211975049499</v>
      </c>
      <c r="Z638">
        <v>0.499999999999999</v>
      </c>
      <c r="AA638">
        <v>116.56632021324999</v>
      </c>
      <c r="AB638" s="9">
        <f t="shared" si="89"/>
        <v>-0.33668234293207477</v>
      </c>
      <c r="AC638" s="9">
        <f t="shared" si="90"/>
        <v>-0.34469890768724837</v>
      </c>
      <c r="AD638" s="2">
        <f t="shared" si="91"/>
        <v>2.381046978989021E-2</v>
      </c>
      <c r="AE638" s="8">
        <f t="shared" si="92"/>
        <v>1.1175841329099734E-3</v>
      </c>
      <c r="AF638" s="2">
        <f t="shared" si="93"/>
        <v>-2.6853481549552298E-3</v>
      </c>
      <c r="AG638" s="8">
        <f t="shared" si="94"/>
        <v>3.8029322878652032E-3</v>
      </c>
      <c r="AH638" s="7">
        <f t="shared" si="95"/>
        <v>-0.70612568189129254</v>
      </c>
      <c r="AI638">
        <f t="shared" si="96"/>
        <v>8</v>
      </c>
      <c r="AJ638" s="10">
        <f t="shared" si="97"/>
        <v>0.24338766642337301</v>
      </c>
    </row>
    <row r="639" spans="1:36" hidden="1" x14ac:dyDescent="0.25">
      <c r="A639" t="b">
        <v>0</v>
      </c>
      <c r="B639">
        <v>1000</v>
      </c>
      <c r="C639">
        <v>0.24338766642337301</v>
      </c>
      <c r="D639" t="s">
        <v>52</v>
      </c>
      <c r="E639" t="b">
        <v>1</v>
      </c>
      <c r="F639" t="s">
        <v>53</v>
      </c>
      <c r="G639">
        <v>7.4999999999999997E-2</v>
      </c>
      <c r="H639">
        <v>0.5</v>
      </c>
      <c r="I639">
        <v>1E-4</v>
      </c>
      <c r="J639" t="b">
        <v>1</v>
      </c>
      <c r="K639">
        <v>8</v>
      </c>
      <c r="L639">
        <v>1500</v>
      </c>
      <c r="M639">
        <v>0.25</v>
      </c>
      <c r="N639">
        <v>0.154</v>
      </c>
      <c r="O639" t="s">
        <v>325</v>
      </c>
      <c r="P639" t="s">
        <v>328</v>
      </c>
      <c r="Q639">
        <v>-3.5970138927975202E-4</v>
      </c>
      <c r="R639">
        <v>7.0342528247538698E-3</v>
      </c>
      <c r="S639">
        <v>1.8589599730137001E-3</v>
      </c>
      <c r="T639">
        <v>-4.0051381894416697E-2</v>
      </c>
      <c r="U639">
        <v>7.9842624003998601</v>
      </c>
      <c r="V639" s="1">
        <v>9.9999999999999905E-15</v>
      </c>
      <c r="W639">
        <v>1.29140197566101</v>
      </c>
      <c r="X639">
        <v>2.4999999999999898</v>
      </c>
      <c r="Y639">
        <v>60.490853973896002</v>
      </c>
      <c r="Z639">
        <v>0.499999999999999</v>
      </c>
      <c r="AA639">
        <v>108.153627341858</v>
      </c>
      <c r="AB639" s="9">
        <f t="shared" si="89"/>
        <v>-0.33664137538460537</v>
      </c>
      <c r="AC639" s="9">
        <f t="shared" si="90"/>
        <v>-0.34469890768724837</v>
      </c>
      <c r="AD639" s="2">
        <f t="shared" si="91"/>
        <v>2.3935062329867973E-2</v>
      </c>
      <c r="AE639" s="8">
        <f t="shared" si="92"/>
        <v>1.103897930682348E-3</v>
      </c>
      <c r="AF639" s="2">
        <f t="shared" si="93"/>
        <v>-2.6990343571828552E-3</v>
      </c>
      <c r="AG639" s="8">
        <f t="shared" si="94"/>
        <v>3.8029322878652032E-3</v>
      </c>
      <c r="AH639" s="7">
        <f t="shared" si="95"/>
        <v>-0.70972453698300608</v>
      </c>
      <c r="AI639">
        <f t="shared" si="96"/>
        <v>8</v>
      </c>
      <c r="AJ639" s="10">
        <f t="shared" si="97"/>
        <v>0.24338766642337301</v>
      </c>
    </row>
    <row r="640" spans="1:36" hidden="1" x14ac:dyDescent="0.25">
      <c r="A640" t="b">
        <v>0</v>
      </c>
      <c r="B640">
        <v>1000</v>
      </c>
      <c r="C640">
        <v>0.24338766642337301</v>
      </c>
      <c r="D640" t="s">
        <v>52</v>
      </c>
      <c r="E640" t="b">
        <v>1</v>
      </c>
      <c r="F640" t="s">
        <v>53</v>
      </c>
      <c r="G640">
        <v>7.4999999999999997E-2</v>
      </c>
      <c r="H640">
        <v>0.5</v>
      </c>
      <c r="I640">
        <v>1E-4</v>
      </c>
      <c r="J640" t="b">
        <v>1</v>
      </c>
      <c r="K640">
        <v>8</v>
      </c>
      <c r="L640">
        <v>1500</v>
      </c>
      <c r="M640">
        <v>0.25</v>
      </c>
      <c r="N640">
        <v>0.154</v>
      </c>
      <c r="O640" t="s">
        <v>325</v>
      </c>
      <c r="P640" t="s">
        <v>329</v>
      </c>
      <c r="Q640">
        <v>-4.1117092035956399E-4</v>
      </c>
      <c r="R640">
        <v>8.6889135189223091E-3</v>
      </c>
      <c r="S640">
        <v>2.1251349103321702E-3</v>
      </c>
      <c r="T640">
        <v>-4.5791705642072002E-2</v>
      </c>
      <c r="U640">
        <v>7.9837228936275899</v>
      </c>
      <c r="V640" s="1">
        <v>9.9999999999999905E-15</v>
      </c>
      <c r="W640">
        <v>1.4213536346348301</v>
      </c>
      <c r="X640">
        <v>2.4999999999999898</v>
      </c>
      <c r="Y640">
        <v>64.589085257257693</v>
      </c>
      <c r="Z640">
        <v>0.499999999999999</v>
      </c>
      <c r="AA640">
        <v>117.141812678099</v>
      </c>
      <c r="AB640" s="9">
        <f t="shared" si="89"/>
        <v>-0.33668234293207255</v>
      </c>
      <c r="AC640" s="9">
        <f t="shared" si="90"/>
        <v>-0.34469890768724837</v>
      </c>
      <c r="AD640" s="2">
        <f t="shared" si="91"/>
        <v>2.3810469789896871E-2</v>
      </c>
      <c r="AE640" s="8">
        <f t="shared" si="92"/>
        <v>1.1175841329092316E-3</v>
      </c>
      <c r="AF640" s="2">
        <f t="shared" si="93"/>
        <v>-2.6853481549559714E-3</v>
      </c>
      <c r="AG640" s="8">
        <f t="shared" si="94"/>
        <v>3.8029322878652032E-3</v>
      </c>
      <c r="AH640" s="7">
        <f t="shared" si="95"/>
        <v>-0.7061256818914875</v>
      </c>
      <c r="AI640">
        <f t="shared" si="96"/>
        <v>8</v>
      </c>
      <c r="AJ640" s="10">
        <f t="shared" si="97"/>
        <v>0.24338766642337301</v>
      </c>
    </row>
    <row r="641" spans="1:36" hidden="1" x14ac:dyDescent="0.25">
      <c r="A641" t="b">
        <v>0</v>
      </c>
      <c r="B641">
        <v>1000</v>
      </c>
      <c r="C641">
        <v>0.24338766642337301</v>
      </c>
      <c r="D641" t="s">
        <v>52</v>
      </c>
      <c r="E641" t="b">
        <v>1</v>
      </c>
      <c r="F641" t="s">
        <v>53</v>
      </c>
      <c r="G641">
        <v>7.4999999999999997E-2</v>
      </c>
      <c r="H641">
        <v>0.5</v>
      </c>
      <c r="I641">
        <v>1E-4</v>
      </c>
      <c r="J641" t="b">
        <v>1</v>
      </c>
      <c r="K641">
        <v>8</v>
      </c>
      <c r="L641">
        <v>1500</v>
      </c>
      <c r="M641">
        <v>0.25</v>
      </c>
      <c r="N641">
        <v>0.154</v>
      </c>
      <c r="O641" t="s">
        <v>325</v>
      </c>
      <c r="P641" t="s">
        <v>330</v>
      </c>
      <c r="Q641">
        <v>-7.7102017113644603E-4</v>
      </c>
      <c r="R641">
        <v>1.58558675500249E-2</v>
      </c>
      <c r="S641">
        <v>3.9838316842946498E-3</v>
      </c>
      <c r="T641">
        <v>-8.5805092921572304E-2</v>
      </c>
      <c r="U641">
        <v>7.9799601898194901</v>
      </c>
      <c r="V641" s="1">
        <v>9.9999999999999795E-15</v>
      </c>
      <c r="W641">
        <v>1.3761630117574699</v>
      </c>
      <c r="X641">
        <v>2.4999999999999898</v>
      </c>
      <c r="Y641">
        <v>63.093245306334502</v>
      </c>
      <c r="Z641">
        <v>0.499999999999999</v>
      </c>
      <c r="AA641">
        <v>113.91636365871101</v>
      </c>
      <c r="AB641" s="9">
        <f t="shared" si="89"/>
        <v>-0.33653645112191616</v>
      </c>
      <c r="AC641" s="9">
        <f t="shared" si="90"/>
        <v>-0.34469890768724837</v>
      </c>
      <c r="AD641" s="2">
        <f t="shared" si="91"/>
        <v>2.4254301541841716E-2</v>
      </c>
      <c r="AE641" s="8">
        <f t="shared" si="92"/>
        <v>1.0688471439609679E-3</v>
      </c>
      <c r="AF641" s="2">
        <f t="shared" si="93"/>
        <v>-2.7340851439042356E-3</v>
      </c>
      <c r="AG641" s="8">
        <f t="shared" si="94"/>
        <v>3.8029322878652032E-3</v>
      </c>
      <c r="AH641" s="7">
        <f t="shared" si="95"/>
        <v>-0.71894131605457245</v>
      </c>
      <c r="AI641">
        <f t="shared" si="96"/>
        <v>8</v>
      </c>
      <c r="AJ641" s="10">
        <f t="shared" si="97"/>
        <v>0.24338766642337301</v>
      </c>
    </row>
    <row r="642" spans="1:36" hidden="1" x14ac:dyDescent="0.25">
      <c r="A642" t="b">
        <v>0</v>
      </c>
      <c r="B642">
        <v>1000</v>
      </c>
      <c r="C642">
        <v>0.24338766642337301</v>
      </c>
      <c r="D642" t="s">
        <v>52</v>
      </c>
      <c r="E642" t="b">
        <v>1</v>
      </c>
      <c r="F642" t="s">
        <v>53</v>
      </c>
      <c r="G642">
        <v>7.4999999999999997E-2</v>
      </c>
      <c r="H642">
        <v>0.5</v>
      </c>
      <c r="I642">
        <v>1E-4</v>
      </c>
      <c r="J642" t="b">
        <v>1</v>
      </c>
      <c r="K642">
        <v>8</v>
      </c>
      <c r="L642">
        <v>1500</v>
      </c>
      <c r="M642">
        <v>0.25</v>
      </c>
      <c r="N642">
        <v>0.154</v>
      </c>
      <c r="O642" t="s">
        <v>326</v>
      </c>
      <c r="P642" t="s">
        <v>327</v>
      </c>
      <c r="Q642">
        <v>-3.5971994913567402E-4</v>
      </c>
      <c r="R642">
        <v>7.1253735998680198E-3</v>
      </c>
      <c r="S642">
        <v>1.8589269441099199E-3</v>
      </c>
      <c r="T642">
        <v>-4.0046613180327803E-2</v>
      </c>
      <c r="U642">
        <v>7.9831834473246097</v>
      </c>
      <c r="V642" s="1">
        <v>9.9999999999999905E-15</v>
      </c>
      <c r="W642">
        <v>1.30653790659276</v>
      </c>
      <c r="X642">
        <v>2.4999999999999898</v>
      </c>
      <c r="Y642">
        <v>61.222244810577799</v>
      </c>
      <c r="Z642">
        <v>0.499999999999999</v>
      </c>
      <c r="AA642">
        <v>109.56064353202601</v>
      </c>
      <c r="AB642" s="9">
        <f t="shared" si="89"/>
        <v>-0.33660727384971512</v>
      </c>
      <c r="AC642" s="9">
        <f t="shared" si="90"/>
        <v>-0.34469890768724837</v>
      </c>
      <c r="AD642" s="2">
        <f t="shared" si="91"/>
        <v>2.4038796740755819E-2</v>
      </c>
      <c r="AE642" s="8">
        <f t="shared" si="92"/>
        <v>1.0925057717641018E-3</v>
      </c>
      <c r="AF642" s="2">
        <f t="shared" si="93"/>
        <v>-2.7104265161011012E-3</v>
      </c>
      <c r="AG642" s="8">
        <f t="shared" si="94"/>
        <v>3.8029322878652032E-3</v>
      </c>
      <c r="AH642" s="7">
        <f t="shared" si="95"/>
        <v>-0.71272016195234811</v>
      </c>
      <c r="AI642">
        <f t="shared" si="96"/>
        <v>8</v>
      </c>
      <c r="AJ642" s="10">
        <f t="shared" si="97"/>
        <v>0.24338766642337301</v>
      </c>
    </row>
    <row r="643" spans="1:36" hidden="1" x14ac:dyDescent="0.25">
      <c r="A643" t="b">
        <v>0</v>
      </c>
      <c r="B643">
        <v>1000</v>
      </c>
      <c r="C643">
        <v>0.24338766642337301</v>
      </c>
      <c r="D643" t="s">
        <v>52</v>
      </c>
      <c r="E643" t="b">
        <v>1</v>
      </c>
      <c r="F643" t="s">
        <v>53</v>
      </c>
      <c r="G643">
        <v>7.4999999999999997E-2</v>
      </c>
      <c r="H643">
        <v>0.5</v>
      </c>
      <c r="I643">
        <v>1E-4</v>
      </c>
      <c r="J643" t="b">
        <v>1</v>
      </c>
      <c r="K643">
        <v>8</v>
      </c>
      <c r="L643">
        <v>1500</v>
      </c>
      <c r="M643">
        <v>0.25</v>
      </c>
      <c r="N643">
        <v>0.154</v>
      </c>
      <c r="O643" t="s">
        <v>326</v>
      </c>
      <c r="P643" t="s">
        <v>328</v>
      </c>
      <c r="Q643">
        <v>-3.0825041805578903E-4</v>
      </c>
      <c r="R643">
        <v>6.7039149016764896E-3</v>
      </c>
      <c r="S643">
        <v>1.59275200679146E-3</v>
      </c>
      <c r="T643">
        <v>-3.4306289432672499E-2</v>
      </c>
      <c r="U643">
        <v>7.9837229541056303</v>
      </c>
      <c r="V643" s="1">
        <v>9.9999999999999905E-15</v>
      </c>
      <c r="W643">
        <v>1.45309410245385</v>
      </c>
      <c r="X643">
        <v>2.4999999999999898</v>
      </c>
      <c r="Y643">
        <v>66.479370300560703</v>
      </c>
      <c r="Z643">
        <v>0.499999999999999</v>
      </c>
      <c r="AA643">
        <v>120.53417404918601</v>
      </c>
      <c r="AB643" s="9">
        <f t="shared" si="89"/>
        <v>-0.33654691383207358</v>
      </c>
      <c r="AC643" s="9">
        <f t="shared" si="90"/>
        <v>-0.34469890768724837</v>
      </c>
      <c r="AD643" s="2">
        <f t="shared" si="91"/>
        <v>2.4222459098948601E-2</v>
      </c>
      <c r="AE643" s="8">
        <f t="shared" si="92"/>
        <v>1.0723421855585778E-3</v>
      </c>
      <c r="AF643" s="2">
        <f t="shared" si="93"/>
        <v>-2.7305901023066256E-3</v>
      </c>
      <c r="AG643" s="8">
        <f t="shared" si="94"/>
        <v>3.8029322878652032E-3</v>
      </c>
      <c r="AH643" s="7">
        <f t="shared" si="95"/>
        <v>-0.71802227744619063</v>
      </c>
      <c r="AI643">
        <f t="shared" si="96"/>
        <v>8</v>
      </c>
      <c r="AJ643" s="10">
        <f t="shared" si="97"/>
        <v>0.24338766642337301</v>
      </c>
    </row>
    <row r="644" spans="1:36" hidden="1" x14ac:dyDescent="0.25">
      <c r="A644" t="b">
        <v>0</v>
      </c>
      <c r="B644">
        <v>1000</v>
      </c>
      <c r="C644">
        <v>0.24338766642337301</v>
      </c>
      <c r="D644" t="s">
        <v>52</v>
      </c>
      <c r="E644" t="b">
        <v>1</v>
      </c>
      <c r="F644" t="s">
        <v>53</v>
      </c>
      <c r="G644">
        <v>7.4999999999999997E-2</v>
      </c>
      <c r="H644">
        <v>0.5</v>
      </c>
      <c r="I644">
        <v>1E-4</v>
      </c>
      <c r="J644" t="b">
        <v>1</v>
      </c>
      <c r="K644">
        <v>8</v>
      </c>
      <c r="L644">
        <v>1500</v>
      </c>
      <c r="M644">
        <v>0.25</v>
      </c>
      <c r="N644">
        <v>0.154</v>
      </c>
      <c r="O644" t="s">
        <v>326</v>
      </c>
      <c r="P644" t="s">
        <v>329</v>
      </c>
      <c r="Q644">
        <v>-3.59719949135659E-4</v>
      </c>
      <c r="R644">
        <v>7.0601958263540199E-3</v>
      </c>
      <c r="S644">
        <v>1.8589269441099301E-3</v>
      </c>
      <c r="T644">
        <v>-4.0046613180327803E-2</v>
      </c>
      <c r="U644">
        <v>7.9831834473333503</v>
      </c>
      <c r="V644" s="1">
        <v>9.9999999999999905E-15</v>
      </c>
      <c r="W644">
        <v>1.30712881232079</v>
      </c>
      <c r="X644">
        <v>2.4999999999999898</v>
      </c>
      <c r="Y644">
        <v>60.524385470755497</v>
      </c>
      <c r="Z644">
        <v>0.499999999999999</v>
      </c>
      <c r="AA644">
        <v>108.623532137369</v>
      </c>
      <c r="AB644" s="9">
        <f t="shared" si="89"/>
        <v>-0.33660727384971328</v>
      </c>
      <c r="AC644" s="9">
        <f t="shared" si="90"/>
        <v>-0.34469890768724837</v>
      </c>
      <c r="AD644" s="2">
        <f t="shared" si="91"/>
        <v>2.403879674076137E-2</v>
      </c>
      <c r="AE644" s="8">
        <f t="shared" si="92"/>
        <v>1.0925057717635085E-3</v>
      </c>
      <c r="AF644" s="2">
        <f t="shared" si="93"/>
        <v>-2.7104265161016945E-3</v>
      </c>
      <c r="AG644" s="8">
        <f t="shared" si="94"/>
        <v>3.8029322878652032E-3</v>
      </c>
      <c r="AH644" s="7">
        <f t="shared" si="95"/>
        <v>-0.71272016195250409</v>
      </c>
      <c r="AI644">
        <f t="shared" si="96"/>
        <v>8</v>
      </c>
      <c r="AJ644" s="10">
        <f t="shared" si="97"/>
        <v>0.24338766642337301</v>
      </c>
    </row>
    <row r="645" spans="1:36" hidden="1" x14ac:dyDescent="0.25">
      <c r="A645" t="b">
        <v>0</v>
      </c>
      <c r="B645">
        <v>1000</v>
      </c>
      <c r="C645">
        <v>0.24338766642337301</v>
      </c>
      <c r="D645" t="s">
        <v>52</v>
      </c>
      <c r="E645" t="b">
        <v>1</v>
      </c>
      <c r="F645" t="s">
        <v>53</v>
      </c>
      <c r="G645">
        <v>7.4999999999999997E-2</v>
      </c>
      <c r="H645">
        <v>0.5</v>
      </c>
      <c r="I645">
        <v>1E-4</v>
      </c>
      <c r="J645" t="b">
        <v>1</v>
      </c>
      <c r="K645">
        <v>8</v>
      </c>
      <c r="L645">
        <v>1500</v>
      </c>
      <c r="M645">
        <v>0.25</v>
      </c>
      <c r="N645">
        <v>0.154</v>
      </c>
      <c r="O645" t="s">
        <v>326</v>
      </c>
      <c r="P645" t="s">
        <v>330</v>
      </c>
      <c r="Q645">
        <v>-7.1956919991262398E-4</v>
      </c>
      <c r="R645">
        <v>1.4192755220453599E-2</v>
      </c>
      <c r="S645">
        <v>3.7176237180723999E-3</v>
      </c>
      <c r="T645">
        <v>-8.0060000459828098E-2</v>
      </c>
      <c r="U645">
        <v>7.9794207435252602</v>
      </c>
      <c r="V645" s="1">
        <v>9.9999999999999795E-15</v>
      </c>
      <c r="W645">
        <v>1.3083010165611599</v>
      </c>
      <c r="X645">
        <v>2.4999999999999898</v>
      </c>
      <c r="Y645">
        <v>60.881250754143203</v>
      </c>
      <c r="Z645">
        <v>0.499999999999999</v>
      </c>
      <c r="AA645">
        <v>109.13316812090601</v>
      </c>
      <c r="AB645" s="9">
        <f t="shared" si="89"/>
        <v>-0.3364884673786806</v>
      </c>
      <c r="AC645" s="9">
        <f t="shared" si="90"/>
        <v>-0.34469890768724837</v>
      </c>
      <c r="AD645" s="2">
        <f t="shared" si="91"/>
        <v>2.4400361690042116E-2</v>
      </c>
      <c r="AE645" s="8">
        <f t="shared" si="92"/>
        <v>1.0528186097288053E-3</v>
      </c>
      <c r="AF645" s="2">
        <f t="shared" si="93"/>
        <v>-2.7501136781363979E-3</v>
      </c>
      <c r="AG645" s="8">
        <f t="shared" si="94"/>
        <v>3.8029322878652032E-3</v>
      </c>
      <c r="AH645" s="7">
        <f t="shared" si="95"/>
        <v>-0.72315609902173394</v>
      </c>
      <c r="AI645">
        <f t="shared" si="96"/>
        <v>8</v>
      </c>
      <c r="AJ645" s="10">
        <f t="shared" si="97"/>
        <v>0.24338766642337301</v>
      </c>
    </row>
    <row r="646" spans="1:36" hidden="1" x14ac:dyDescent="0.25">
      <c r="A646" t="b">
        <v>0</v>
      </c>
      <c r="B646">
        <v>1000</v>
      </c>
      <c r="C646">
        <v>0.24338766642337301</v>
      </c>
      <c r="D646" t="s">
        <v>52</v>
      </c>
      <c r="E646" t="b">
        <v>1</v>
      </c>
      <c r="F646" t="s">
        <v>53</v>
      </c>
      <c r="G646">
        <v>7.4999999999999997E-2</v>
      </c>
      <c r="H646">
        <v>0.5</v>
      </c>
      <c r="I646">
        <v>1E-4</v>
      </c>
      <c r="J646" t="b">
        <v>1</v>
      </c>
      <c r="K646">
        <v>8</v>
      </c>
      <c r="L646">
        <v>1500</v>
      </c>
      <c r="M646">
        <v>0.25</v>
      </c>
      <c r="N646">
        <v>0.154</v>
      </c>
      <c r="O646" t="s">
        <v>327</v>
      </c>
      <c r="P646" t="s">
        <v>329</v>
      </c>
      <c r="Q646" s="1">
        <v>-1E-10</v>
      </c>
      <c r="R646" s="1">
        <v>3.5857859152550101E-12</v>
      </c>
      <c r="S646" s="1">
        <v>1.9418692478831199E-18</v>
      </c>
      <c r="T646" s="1">
        <v>3.29662555525453E-16</v>
      </c>
      <c r="U646">
        <v>7.97942116876062</v>
      </c>
      <c r="V646">
        <v>0</v>
      </c>
      <c r="W646">
        <v>6.8474547939754798E-2</v>
      </c>
      <c r="X646">
        <v>2</v>
      </c>
      <c r="Y646">
        <v>4.0005663953150599E-3</v>
      </c>
      <c r="Z646">
        <v>2.5000000000000001E-4</v>
      </c>
      <c r="AA646">
        <v>4.7933529589108603E-3</v>
      </c>
      <c r="AB646" s="9">
        <f t="shared" si="89"/>
        <v>2.6525871583271696</v>
      </c>
      <c r="AC646" s="9">
        <f t="shared" si="90"/>
        <v>-0.34469890768724837</v>
      </c>
      <c r="AD646" s="2">
        <f t="shared" si="91"/>
        <v>-1.1299481928822386</v>
      </c>
      <c r="AE646" s="8">
        <f t="shared" si="92"/>
        <v>-0.49882394793256007</v>
      </c>
      <c r="AF646" s="2">
        <f t="shared" si="93"/>
        <v>-0.50262688022042523</v>
      </c>
      <c r="AG646" s="8">
        <f t="shared" si="94"/>
        <v>3.8029322878652032E-3</v>
      </c>
      <c r="AH646" s="7">
        <f t="shared" si="95"/>
        <v>-132.16824339056996</v>
      </c>
      <c r="AI646">
        <f t="shared" si="96"/>
        <v>8</v>
      </c>
      <c r="AJ646" s="10">
        <f t="shared" si="97"/>
        <v>0.24338766642337301</v>
      </c>
    </row>
    <row r="647" spans="1:36" hidden="1" x14ac:dyDescent="0.25">
      <c r="A647" t="b">
        <v>0</v>
      </c>
      <c r="B647">
        <v>1000</v>
      </c>
      <c r="C647">
        <v>0.24338766642337301</v>
      </c>
      <c r="D647" t="s">
        <v>52</v>
      </c>
      <c r="E647" t="b">
        <v>1</v>
      </c>
      <c r="F647" t="s">
        <v>53</v>
      </c>
      <c r="G647">
        <v>7.4999999999999997E-2</v>
      </c>
      <c r="H647">
        <v>0.5</v>
      </c>
      <c r="I647">
        <v>1E-4</v>
      </c>
      <c r="J647" t="b">
        <v>1</v>
      </c>
      <c r="K647">
        <v>8</v>
      </c>
      <c r="L647">
        <v>1500</v>
      </c>
      <c r="M647">
        <v>0.25</v>
      </c>
      <c r="N647">
        <v>0.154</v>
      </c>
      <c r="O647" t="s">
        <v>327</v>
      </c>
      <c r="P647" t="s">
        <v>330</v>
      </c>
      <c r="Q647">
        <v>-3.59849250777806E-4</v>
      </c>
      <c r="R647">
        <v>7.1757107194132998E-3</v>
      </c>
      <c r="S647">
        <v>1.85869677396247E-3</v>
      </c>
      <c r="T647">
        <v>-4.0013387279500101E-2</v>
      </c>
      <c r="U647">
        <v>7.9756584649525299</v>
      </c>
      <c r="V647" s="1">
        <v>9.9999999999999905E-15</v>
      </c>
      <c r="W647">
        <v>1.32433007987139</v>
      </c>
      <c r="X647">
        <v>2.4999999999999898</v>
      </c>
      <c r="Y647">
        <v>61.461250166310201</v>
      </c>
      <c r="Z647">
        <v>0.499999999999999</v>
      </c>
      <c r="AA647">
        <v>110.36100235215601</v>
      </c>
      <c r="AB647" s="9">
        <f t="shared" si="89"/>
        <v>-0.33636964619534709</v>
      </c>
      <c r="AC647" s="9">
        <f t="shared" si="90"/>
        <v>-0.34469890768724837</v>
      </c>
      <c r="AD647" s="2">
        <f t="shared" si="91"/>
        <v>2.4762226871874349E-2</v>
      </c>
      <c r="AE647" s="8">
        <f t="shared" si="92"/>
        <v>1.0131296802309052E-3</v>
      </c>
      <c r="AF647" s="2">
        <f t="shared" si="93"/>
        <v>-2.789802607634298E-3</v>
      </c>
      <c r="AG647" s="8">
        <f t="shared" si="94"/>
        <v>3.8029322878652032E-3</v>
      </c>
      <c r="AH647" s="7">
        <f t="shared" si="95"/>
        <v>-0.73359250085422079</v>
      </c>
      <c r="AI647">
        <f t="shared" si="96"/>
        <v>8</v>
      </c>
      <c r="AJ647" s="10">
        <f t="shared" si="97"/>
        <v>0.24338766642337301</v>
      </c>
    </row>
    <row r="648" spans="1:36" hidden="1" x14ac:dyDescent="0.25">
      <c r="A648" t="b">
        <v>0</v>
      </c>
      <c r="B648">
        <v>1000</v>
      </c>
      <c r="C648">
        <v>0.24338766642337301</v>
      </c>
      <c r="D648" t="s">
        <v>52</v>
      </c>
      <c r="E648" t="b">
        <v>1</v>
      </c>
      <c r="F648" t="s">
        <v>53</v>
      </c>
      <c r="G648">
        <v>7.4999999999999997E-2</v>
      </c>
      <c r="H648">
        <v>0.5</v>
      </c>
      <c r="I648">
        <v>1E-4</v>
      </c>
      <c r="J648" t="b">
        <v>1</v>
      </c>
      <c r="K648">
        <v>8</v>
      </c>
      <c r="L648">
        <v>1500</v>
      </c>
      <c r="M648">
        <v>0.25</v>
      </c>
      <c r="N648">
        <v>0.154</v>
      </c>
      <c r="O648" t="s">
        <v>328</v>
      </c>
      <c r="P648" t="s">
        <v>329</v>
      </c>
      <c r="Q648" s="1">
        <v>-5.1469530724975602E-5</v>
      </c>
      <c r="R648">
        <v>1.07832558397016E-3</v>
      </c>
      <c r="S648">
        <v>2.6617493731846399E-4</v>
      </c>
      <c r="T648">
        <v>-5.7403237476553702E-3</v>
      </c>
      <c r="U648">
        <v>7.9799606755416299</v>
      </c>
      <c r="V648" s="1">
        <v>9.9999999966611699E-15</v>
      </c>
      <c r="W648">
        <v>1.39556486111671</v>
      </c>
      <c r="X648">
        <v>2.4999999999993698</v>
      </c>
      <c r="Y648">
        <v>64.295210617909106</v>
      </c>
      <c r="Z648">
        <v>0.49999999988666999</v>
      </c>
      <c r="AA648">
        <v>116.033910805391</v>
      </c>
      <c r="AB648" s="9">
        <f t="shared" si="89"/>
        <v>-0.3369684593925642</v>
      </c>
      <c r="AC648" s="9">
        <f t="shared" si="90"/>
        <v>-0.34469890768724837</v>
      </c>
      <c r="AD648" s="2">
        <f t="shared" si="91"/>
        <v>2.294116282758174E-2</v>
      </c>
      <c r="AE648" s="8">
        <f t="shared" si="92"/>
        <v>1.2131787055860222E-3</v>
      </c>
      <c r="AF648" s="2">
        <f t="shared" si="93"/>
        <v>-2.5897535822791808E-3</v>
      </c>
      <c r="AG648" s="8">
        <f t="shared" si="94"/>
        <v>3.8029322878652032E-3</v>
      </c>
      <c r="AH648" s="7">
        <f t="shared" si="95"/>
        <v>-0.6809886125353426</v>
      </c>
      <c r="AI648">
        <f t="shared" si="96"/>
        <v>8</v>
      </c>
      <c r="AJ648" s="10">
        <f t="shared" si="97"/>
        <v>0.24338766642337301</v>
      </c>
    </row>
    <row r="649" spans="1:36" hidden="1" x14ac:dyDescent="0.25">
      <c r="A649" t="b">
        <v>0</v>
      </c>
      <c r="B649">
        <v>1000</v>
      </c>
      <c r="C649">
        <v>0.24338766642337301</v>
      </c>
      <c r="D649" t="s">
        <v>52</v>
      </c>
      <c r="E649" t="b">
        <v>1</v>
      </c>
      <c r="F649" t="s">
        <v>53</v>
      </c>
      <c r="G649">
        <v>7.4999999999999997E-2</v>
      </c>
      <c r="H649">
        <v>0.5</v>
      </c>
      <c r="I649">
        <v>1E-4</v>
      </c>
      <c r="J649" t="b">
        <v>1</v>
      </c>
      <c r="K649">
        <v>8</v>
      </c>
      <c r="L649">
        <v>1500</v>
      </c>
      <c r="M649">
        <v>0.25</v>
      </c>
      <c r="N649">
        <v>0.154</v>
      </c>
      <c r="O649" t="s">
        <v>328</v>
      </c>
      <c r="P649" t="s">
        <v>330</v>
      </c>
      <c r="Q649">
        <v>-4.1131878185762398E-4</v>
      </c>
      <c r="R649">
        <v>8.5301631318398293E-3</v>
      </c>
      <c r="S649">
        <v>2.12487171128093E-3</v>
      </c>
      <c r="T649">
        <v>-4.5753711027155398E-2</v>
      </c>
      <c r="U649">
        <v>7.9761979717335398</v>
      </c>
      <c r="V649" s="1">
        <v>9.9999999999999905E-15</v>
      </c>
      <c r="W649">
        <v>1.39365126229623</v>
      </c>
      <c r="X649">
        <v>2.4999999999999898</v>
      </c>
      <c r="Y649">
        <v>63.490687249226198</v>
      </c>
      <c r="Z649">
        <v>0.499999999999999</v>
      </c>
      <c r="AA649">
        <v>114.927318921205</v>
      </c>
      <c r="AB649" s="9">
        <f t="shared" si="89"/>
        <v>-0.33644465734279133</v>
      </c>
      <c r="AC649" s="9">
        <f t="shared" si="90"/>
        <v>-0.34469890768724837</v>
      </c>
      <c r="AD649" s="2">
        <f t="shared" si="91"/>
        <v>2.4533753662930202E-2</v>
      </c>
      <c r="AE649" s="8">
        <f t="shared" si="92"/>
        <v>1.0381847128270959E-3</v>
      </c>
      <c r="AF649" s="2">
        <f t="shared" si="93"/>
        <v>-2.7647475750381071E-3</v>
      </c>
      <c r="AG649" s="8">
        <f t="shared" si="94"/>
        <v>3.8029322878652032E-3</v>
      </c>
      <c r="AH649" s="7">
        <f t="shared" si="95"/>
        <v>-0.7270041551515799</v>
      </c>
      <c r="AI649">
        <f t="shared" si="96"/>
        <v>8</v>
      </c>
      <c r="AJ649" s="10">
        <f t="shared" si="97"/>
        <v>0.24338766642337301</v>
      </c>
    </row>
    <row r="650" spans="1:36" hidden="1" x14ac:dyDescent="0.25">
      <c r="A650" t="b">
        <v>0</v>
      </c>
      <c r="B650">
        <v>1000</v>
      </c>
      <c r="C650">
        <v>0.24338766642337301</v>
      </c>
      <c r="D650" t="s">
        <v>52</v>
      </c>
      <c r="E650" t="b">
        <v>1</v>
      </c>
      <c r="F650" t="s">
        <v>53</v>
      </c>
      <c r="G650">
        <v>7.4999999999999997E-2</v>
      </c>
      <c r="H650">
        <v>0.5</v>
      </c>
      <c r="I650">
        <v>1E-4</v>
      </c>
      <c r="J650" t="b">
        <v>1</v>
      </c>
      <c r="K650">
        <v>8</v>
      </c>
      <c r="L650">
        <v>1500</v>
      </c>
      <c r="M650">
        <v>0.25</v>
      </c>
      <c r="N650">
        <v>0.154</v>
      </c>
      <c r="O650" t="s">
        <v>329</v>
      </c>
      <c r="P650" t="s">
        <v>330</v>
      </c>
      <c r="Q650">
        <v>-3.5984925077780399E-4</v>
      </c>
      <c r="R650">
        <v>7.2386628373528501E-3</v>
      </c>
      <c r="S650">
        <v>1.85869677396247E-3</v>
      </c>
      <c r="T650">
        <v>-4.0013387279500198E-2</v>
      </c>
      <c r="U650">
        <v>7.9756584649612696</v>
      </c>
      <c r="V650" s="1">
        <v>9.9999999999999905E-15</v>
      </c>
      <c r="W650">
        <v>1.3415873380398999</v>
      </c>
      <c r="X650">
        <v>2.4999999999999898</v>
      </c>
      <c r="Y650">
        <v>61.871934753164503</v>
      </c>
      <c r="Z650">
        <v>0.499999999999999</v>
      </c>
      <c r="AA650">
        <v>111.379075959677</v>
      </c>
      <c r="AB650" s="9">
        <f t="shared" si="89"/>
        <v>-0.33636964619534793</v>
      </c>
      <c r="AC650" s="9">
        <f t="shared" si="90"/>
        <v>-0.34469890768724837</v>
      </c>
      <c r="AD650" s="2">
        <f t="shared" si="91"/>
        <v>2.4762226871871684E-2</v>
      </c>
      <c r="AE650" s="8">
        <f t="shared" si="92"/>
        <v>1.0131296802312016E-3</v>
      </c>
      <c r="AF650" s="2">
        <f t="shared" si="93"/>
        <v>-2.7898026076340014E-3</v>
      </c>
      <c r="AG650" s="8">
        <f t="shared" si="94"/>
        <v>3.8029322878652032E-3</v>
      </c>
      <c r="AH650" s="7">
        <f t="shared" si="95"/>
        <v>-0.73359250085414285</v>
      </c>
      <c r="AI650">
        <f t="shared" si="96"/>
        <v>8</v>
      </c>
      <c r="AJ650" s="10">
        <f t="shared" si="97"/>
        <v>0.24338766642337301</v>
      </c>
    </row>
    <row r="651" spans="1:36" hidden="1" x14ac:dyDescent="0.25">
      <c r="A651" t="b">
        <v>0</v>
      </c>
      <c r="B651">
        <v>1000</v>
      </c>
      <c r="C651">
        <v>0.24338766642340201</v>
      </c>
      <c r="D651" t="s">
        <v>52</v>
      </c>
      <c r="E651" t="b">
        <v>1</v>
      </c>
      <c r="F651" t="s">
        <v>53</v>
      </c>
      <c r="G651">
        <v>7.4999999999999997E-2</v>
      </c>
      <c r="H651">
        <v>0.5</v>
      </c>
      <c r="I651">
        <v>1E-4</v>
      </c>
      <c r="J651" t="b">
        <v>1</v>
      </c>
      <c r="K651">
        <v>2</v>
      </c>
      <c r="L651">
        <v>1500</v>
      </c>
      <c r="M651">
        <v>0.25</v>
      </c>
      <c r="N651">
        <v>0.154</v>
      </c>
      <c r="O651" t="s">
        <v>331</v>
      </c>
      <c r="P651" t="s">
        <v>332</v>
      </c>
      <c r="Q651" s="1">
        <v>-5.8263229889248697E-6</v>
      </c>
      <c r="R651" s="1">
        <v>7.5474302526204802E-7</v>
      </c>
      <c r="S651" s="1">
        <v>1.7657256987808201E-5</v>
      </c>
      <c r="T651" s="1">
        <v>-3.5374088486247698E-5</v>
      </c>
      <c r="U651">
        <v>2.05358620705579</v>
      </c>
      <c r="V651" s="1">
        <v>2.2240379564542699E-15</v>
      </c>
      <c r="W651">
        <v>1.29646381398989E-2</v>
      </c>
      <c r="X651">
        <v>2.1123863052454999</v>
      </c>
      <c r="Y651">
        <v>0.57871370465066196</v>
      </c>
      <c r="Z651">
        <v>2.5858649693985699E-4</v>
      </c>
      <c r="AA651">
        <v>0.57894002766334396</v>
      </c>
      <c r="AB651" s="9">
        <f t="shared" si="89"/>
        <v>-0.50084348478747898</v>
      </c>
      <c r="AC651" s="9">
        <f t="shared" si="90"/>
        <v>-0.50540410712752548</v>
      </c>
      <c r="AD651" s="2">
        <f t="shared" si="91"/>
        <v>9.1058833319588306E-3</v>
      </c>
      <c r="AE651" s="8">
        <f t="shared" si="92"/>
        <v>5.9138835586698441E-2</v>
      </c>
      <c r="AF651" s="2">
        <f t="shared" si="93"/>
        <v>-1.7080810191520621E-3</v>
      </c>
      <c r="AG651" s="8">
        <f t="shared" si="94"/>
        <v>6.0846916605850503E-2</v>
      </c>
      <c r="AH651" s="7">
        <f t="shared" si="95"/>
        <v>-2.807177609699664E-2</v>
      </c>
      <c r="AI651">
        <f t="shared" si="96"/>
        <v>2</v>
      </c>
      <c r="AJ651" s="10">
        <f t="shared" si="97"/>
        <v>0.24338766642340201</v>
      </c>
    </row>
    <row r="652" spans="1:36" hidden="1" x14ac:dyDescent="0.25">
      <c r="A652" t="b">
        <v>0</v>
      </c>
      <c r="B652">
        <v>1000</v>
      </c>
      <c r="C652">
        <v>0.24338766642340201</v>
      </c>
      <c r="D652" t="s">
        <v>52</v>
      </c>
      <c r="E652" t="b">
        <v>1</v>
      </c>
      <c r="F652" t="s">
        <v>53</v>
      </c>
      <c r="G652">
        <v>7.4999999999999997E-2</v>
      </c>
      <c r="H652">
        <v>0.5</v>
      </c>
      <c r="I652">
        <v>1E-4</v>
      </c>
      <c r="J652" t="b">
        <v>1</v>
      </c>
      <c r="K652">
        <v>2</v>
      </c>
      <c r="L652">
        <v>1500</v>
      </c>
      <c r="M652">
        <v>0.25</v>
      </c>
      <c r="N652">
        <v>0.154</v>
      </c>
      <c r="O652" t="s">
        <v>331</v>
      </c>
      <c r="P652" t="s">
        <v>333</v>
      </c>
      <c r="Q652" s="1">
        <v>-4.6589146898037799E-5</v>
      </c>
      <c r="R652" s="1">
        <v>5.9980491568893202E-6</v>
      </c>
      <c r="S652">
        <v>1.4119199319362899E-4</v>
      </c>
      <c r="T652">
        <v>-2.8280022697544001E-4</v>
      </c>
      <c r="U652">
        <v>2.0534958388249098</v>
      </c>
      <c r="V652" s="1">
        <v>2.2253000750047498E-15</v>
      </c>
      <c r="W652">
        <v>1.2764506495202501E-2</v>
      </c>
      <c r="X652">
        <v>2.1123685664788701</v>
      </c>
      <c r="Y652">
        <v>0.57774903465050798</v>
      </c>
      <c r="Z652">
        <v>2.5858699597040201E-4</v>
      </c>
      <c r="AA652">
        <v>0.57536124740682004</v>
      </c>
      <c r="AB652" s="9">
        <f t="shared" si="89"/>
        <v>-0.50073701167248763</v>
      </c>
      <c r="AC652" s="9">
        <f t="shared" si="90"/>
        <v>-0.50540410712752548</v>
      </c>
      <c r="AD652" s="2">
        <f t="shared" si="91"/>
        <v>9.3204523457324218E-3</v>
      </c>
      <c r="AE652" s="8">
        <f t="shared" si="92"/>
        <v>5.909902412109324E-2</v>
      </c>
      <c r="AF652" s="2">
        <f t="shared" si="93"/>
        <v>-1.747892484757263E-3</v>
      </c>
      <c r="AG652" s="8">
        <f t="shared" si="94"/>
        <v>6.0846916605850503E-2</v>
      </c>
      <c r="AH652" s="7">
        <f t="shared" si="95"/>
        <v>-2.8726065054037613E-2</v>
      </c>
      <c r="AI652">
        <f t="shared" si="96"/>
        <v>2</v>
      </c>
      <c r="AJ652" s="10">
        <f t="shared" si="97"/>
        <v>0.24338766642340201</v>
      </c>
    </row>
    <row r="653" spans="1:36" hidden="1" x14ac:dyDescent="0.25">
      <c r="A653" t="b">
        <v>0</v>
      </c>
      <c r="B653">
        <v>1000</v>
      </c>
      <c r="C653">
        <v>0.24338766642340201</v>
      </c>
      <c r="D653" t="s">
        <v>52</v>
      </c>
      <c r="E653" t="b">
        <v>1</v>
      </c>
      <c r="F653" t="s">
        <v>53</v>
      </c>
      <c r="G653">
        <v>7.4999999999999997E-2</v>
      </c>
      <c r="H653">
        <v>0.5</v>
      </c>
      <c r="I653">
        <v>1E-4</v>
      </c>
      <c r="J653" t="b">
        <v>1</v>
      </c>
      <c r="K653">
        <v>2</v>
      </c>
      <c r="L653">
        <v>1500</v>
      </c>
      <c r="M653">
        <v>0.25</v>
      </c>
      <c r="N653">
        <v>0.154</v>
      </c>
      <c r="O653" t="s">
        <v>331</v>
      </c>
      <c r="P653" t="s">
        <v>334</v>
      </c>
      <c r="Q653" s="1">
        <v>-5.8263229889244801E-6</v>
      </c>
      <c r="R653" s="1">
        <v>7.3473294781969603E-7</v>
      </c>
      <c r="S653" s="1">
        <v>1.7657256987809099E-5</v>
      </c>
      <c r="T653" s="1">
        <v>-3.5374088486371297E-5</v>
      </c>
      <c r="U653">
        <v>2.0535862070381601</v>
      </c>
      <c r="V653" s="1">
        <v>2.22403795806863E-15</v>
      </c>
      <c r="W653">
        <v>1.29184761011261E-2</v>
      </c>
      <c r="X653">
        <v>2.1123863052460199</v>
      </c>
      <c r="Y653">
        <v>0.57469260680020995</v>
      </c>
      <c r="Z653">
        <v>2.5858649693991201E-4</v>
      </c>
      <c r="AA653">
        <v>0.56358476140043401</v>
      </c>
      <c r="AB653" s="9">
        <f t="shared" si="89"/>
        <v>-0.50084348478920349</v>
      </c>
      <c r="AC653" s="9">
        <f t="shared" si="90"/>
        <v>-0.50540410712752548</v>
      </c>
      <c r="AD653" s="2">
        <f t="shared" si="91"/>
        <v>9.1058833284842766E-3</v>
      </c>
      <c r="AE653" s="8">
        <f t="shared" si="92"/>
        <v>5.9138835587343265E-2</v>
      </c>
      <c r="AF653" s="2">
        <f t="shared" si="93"/>
        <v>-1.7080810185072376E-3</v>
      </c>
      <c r="AG653" s="8">
        <f t="shared" si="94"/>
        <v>6.0846916605850503E-2</v>
      </c>
      <c r="AH653" s="7">
        <f t="shared" si="95"/>
        <v>-2.8071776086399151E-2</v>
      </c>
      <c r="AI653">
        <f t="shared" si="96"/>
        <v>2</v>
      </c>
      <c r="AJ653" s="10">
        <f t="shared" si="97"/>
        <v>0.24338766642340201</v>
      </c>
    </row>
    <row r="654" spans="1:36" hidden="1" x14ac:dyDescent="0.25">
      <c r="A654" t="b">
        <v>0</v>
      </c>
      <c r="B654">
        <v>1000</v>
      </c>
      <c r="C654">
        <v>0.24338766642340201</v>
      </c>
      <c r="D654" t="s">
        <v>52</v>
      </c>
      <c r="E654" t="b">
        <v>1</v>
      </c>
      <c r="F654" t="s">
        <v>53</v>
      </c>
      <c r="G654">
        <v>7.4999999999999997E-2</v>
      </c>
      <c r="H654">
        <v>0.5</v>
      </c>
      <c r="I654">
        <v>1E-4</v>
      </c>
      <c r="J654" t="b">
        <v>1</v>
      </c>
      <c r="K654">
        <v>2</v>
      </c>
      <c r="L654">
        <v>1500</v>
      </c>
      <c r="M654">
        <v>0.25</v>
      </c>
      <c r="N654">
        <v>0.154</v>
      </c>
      <c r="O654" t="s">
        <v>331</v>
      </c>
      <c r="P654" t="s">
        <v>335</v>
      </c>
      <c r="Q654" s="1">
        <v>-1.16526251009182E-5</v>
      </c>
      <c r="R654" s="1">
        <v>1.4785952574471099E-6</v>
      </c>
      <c r="S654" s="1">
        <v>3.5314444592822099E-5</v>
      </c>
      <c r="T654" s="1">
        <v>-7.0747702044808306E-5</v>
      </c>
      <c r="U654">
        <v>2.0535732879337698</v>
      </c>
      <c r="V654" s="1">
        <v>2.22469970512111E-15</v>
      </c>
      <c r="W654">
        <v>1.30678323962374E-2</v>
      </c>
      <c r="X654">
        <v>2.1123858978426702</v>
      </c>
      <c r="Y654">
        <v>0.57518949237402806</v>
      </c>
      <c r="Z654">
        <v>2.58586505422111E-4</v>
      </c>
      <c r="AA654">
        <v>0.56710662099793696</v>
      </c>
      <c r="AB654" s="9">
        <f t="shared" si="89"/>
        <v>-0.50084110666707371</v>
      </c>
      <c r="AC654" s="9">
        <f t="shared" si="90"/>
        <v>-0.50540410712752548</v>
      </c>
      <c r="AD654" s="2">
        <f t="shared" si="91"/>
        <v>9.110674822234488E-3</v>
      </c>
      <c r="AE654" s="8">
        <f t="shared" si="92"/>
        <v>5.9137946348714582E-2</v>
      </c>
      <c r="AF654" s="2">
        <f t="shared" si="93"/>
        <v>-1.7089702571359208E-3</v>
      </c>
      <c r="AG654" s="8">
        <f t="shared" si="94"/>
        <v>6.0846916605850503E-2</v>
      </c>
      <c r="AH654" s="7">
        <f t="shared" si="95"/>
        <v>-2.8086390444501199E-2</v>
      </c>
      <c r="AI654">
        <f t="shared" si="96"/>
        <v>2</v>
      </c>
      <c r="AJ654" s="10">
        <f t="shared" si="97"/>
        <v>0.24338766642340201</v>
      </c>
    </row>
    <row r="655" spans="1:36" hidden="1" x14ac:dyDescent="0.25">
      <c r="A655" t="b">
        <v>0</v>
      </c>
      <c r="B655">
        <v>1000</v>
      </c>
      <c r="C655">
        <v>0.24338766642340201</v>
      </c>
      <c r="D655" t="s">
        <v>52</v>
      </c>
      <c r="E655" t="b">
        <v>1</v>
      </c>
      <c r="F655" t="s">
        <v>53</v>
      </c>
      <c r="G655">
        <v>7.4999999999999997E-2</v>
      </c>
      <c r="H655">
        <v>0.5</v>
      </c>
      <c r="I655">
        <v>1E-4</v>
      </c>
      <c r="J655" t="b">
        <v>1</v>
      </c>
      <c r="K655">
        <v>2</v>
      </c>
      <c r="L655">
        <v>1500</v>
      </c>
      <c r="M655">
        <v>0.25</v>
      </c>
      <c r="N655">
        <v>0.154</v>
      </c>
      <c r="O655" t="s">
        <v>331</v>
      </c>
      <c r="P655" t="s">
        <v>336</v>
      </c>
      <c r="Q655" s="1">
        <v>-5.2415302969389301E-5</v>
      </c>
      <c r="R655" s="1">
        <v>6.7222818672961401E-6</v>
      </c>
      <c r="S655">
        <v>1.5884869545576601E-4</v>
      </c>
      <c r="T655">
        <v>-3.18170518849318E-4</v>
      </c>
      <c r="U655">
        <v>2.0534829197726698</v>
      </c>
      <c r="V655" s="1">
        <v>2.22319364845058E-15</v>
      </c>
      <c r="W655">
        <v>1.38344789507804E-2</v>
      </c>
      <c r="X655">
        <v>2.1123698140832499</v>
      </c>
      <c r="Y655">
        <v>0.57499527552993701</v>
      </c>
      <c r="Z655">
        <v>2.5858695540609001E-4</v>
      </c>
      <c r="AA655">
        <v>0.57312997292165002</v>
      </c>
      <c r="AB655" s="9">
        <f t="shared" si="89"/>
        <v>-0.50074462043334456</v>
      </c>
      <c r="AC655" s="9">
        <f t="shared" si="90"/>
        <v>-0.50540410712752548</v>
      </c>
      <c r="AD655" s="2">
        <f t="shared" si="91"/>
        <v>9.3051158295991421E-3</v>
      </c>
      <c r="AE655" s="8">
        <f t="shared" si="92"/>
        <v>5.910186902094109E-2</v>
      </c>
      <c r="AF655" s="2">
        <f t="shared" si="93"/>
        <v>-1.7450475849094121E-3</v>
      </c>
      <c r="AG655" s="8">
        <f t="shared" si="94"/>
        <v>6.0846916605850503E-2</v>
      </c>
      <c r="AH655" s="7">
        <f t="shared" si="95"/>
        <v>-2.8679310016863267E-2</v>
      </c>
      <c r="AI655">
        <f t="shared" si="96"/>
        <v>2</v>
      </c>
      <c r="AJ655" s="10">
        <f t="shared" si="97"/>
        <v>0.24338766642340201</v>
      </c>
    </row>
    <row r="656" spans="1:36" hidden="1" x14ac:dyDescent="0.25">
      <c r="A656" t="b">
        <v>0</v>
      </c>
      <c r="B656">
        <v>1000</v>
      </c>
      <c r="C656">
        <v>0.24338766642340201</v>
      </c>
      <c r="D656" t="s">
        <v>52</v>
      </c>
      <c r="E656" t="b">
        <v>1</v>
      </c>
      <c r="F656" t="s">
        <v>53</v>
      </c>
      <c r="G656">
        <v>7.4999999999999997E-2</v>
      </c>
      <c r="H656">
        <v>0.5</v>
      </c>
      <c r="I656">
        <v>1E-4</v>
      </c>
      <c r="J656" t="b">
        <v>1</v>
      </c>
      <c r="K656">
        <v>2</v>
      </c>
      <c r="L656">
        <v>1500</v>
      </c>
      <c r="M656">
        <v>0.25</v>
      </c>
      <c r="N656">
        <v>0.154</v>
      </c>
      <c r="O656" t="s">
        <v>331</v>
      </c>
      <c r="P656" t="s">
        <v>337</v>
      </c>
      <c r="Q656" s="1">
        <v>-4.65891468980383E-5</v>
      </c>
      <c r="R656" s="1">
        <v>5.98677361648958E-6</v>
      </c>
      <c r="S656">
        <v>1.4119199319362899E-4</v>
      </c>
      <c r="T656">
        <v>-2.82800226975364E-4</v>
      </c>
      <c r="U656">
        <v>2.0534958388601501</v>
      </c>
      <c r="V656" s="1">
        <v>2.22530007636543E-15</v>
      </c>
      <c r="W656">
        <v>1.2954880460725401E-2</v>
      </c>
      <c r="X656">
        <v>2.1123685664788501</v>
      </c>
      <c r="Y656">
        <v>0.57699434090893897</v>
      </c>
      <c r="Z656">
        <v>2.5858699597040402E-4</v>
      </c>
      <c r="AA656">
        <v>0.57427999751778802</v>
      </c>
      <c r="AB656" s="9">
        <f t="shared" si="89"/>
        <v>-0.50073701167235307</v>
      </c>
      <c r="AC656" s="9">
        <f t="shared" si="90"/>
        <v>-0.50540410712752548</v>
      </c>
      <c r="AD656" s="2">
        <f t="shared" si="91"/>
        <v>9.3204523460035382E-3</v>
      </c>
      <c r="AE656" s="8">
        <f t="shared" si="92"/>
        <v>5.9099024121042919E-2</v>
      </c>
      <c r="AF656" s="2">
        <f t="shared" si="93"/>
        <v>-1.7478924848075839E-3</v>
      </c>
      <c r="AG656" s="8">
        <f t="shared" si="94"/>
        <v>6.0846916605850503E-2</v>
      </c>
      <c r="AH656" s="7">
        <f t="shared" si="95"/>
        <v>-2.8726065054864618E-2</v>
      </c>
      <c r="AI656">
        <f t="shared" si="96"/>
        <v>2</v>
      </c>
      <c r="AJ656" s="10">
        <f t="shared" si="97"/>
        <v>0.24338766642340201</v>
      </c>
    </row>
    <row r="657" spans="1:36" hidden="1" x14ac:dyDescent="0.25">
      <c r="A657" t="b">
        <v>0</v>
      </c>
      <c r="B657">
        <v>1000</v>
      </c>
      <c r="C657">
        <v>0.24338766642340201</v>
      </c>
      <c r="D657" t="s">
        <v>52</v>
      </c>
      <c r="E657" t="b">
        <v>1</v>
      </c>
      <c r="F657" t="s">
        <v>53</v>
      </c>
      <c r="G657">
        <v>7.4999999999999997E-2</v>
      </c>
      <c r="H657">
        <v>0.5</v>
      </c>
      <c r="I657">
        <v>1E-4</v>
      </c>
      <c r="J657" t="b">
        <v>1</v>
      </c>
      <c r="K657">
        <v>2</v>
      </c>
      <c r="L657">
        <v>1500</v>
      </c>
      <c r="M657">
        <v>0.25</v>
      </c>
      <c r="N657">
        <v>0.154</v>
      </c>
      <c r="O657" t="s">
        <v>331</v>
      </c>
      <c r="P657" t="s">
        <v>338</v>
      </c>
      <c r="Q657" s="1">
        <v>-5.2415302969388298E-5</v>
      </c>
      <c r="R657" s="1">
        <v>6.7753427333927904E-6</v>
      </c>
      <c r="S657">
        <v>1.58848695455764E-4</v>
      </c>
      <c r="T657">
        <v>-3.1817051884936701E-4</v>
      </c>
      <c r="U657">
        <v>2.05348291975602</v>
      </c>
      <c r="V657" s="1">
        <v>2.2231936477565702E-15</v>
      </c>
      <c r="W657">
        <v>1.3808246931918899E-2</v>
      </c>
      <c r="X657">
        <v>2.1123698140832099</v>
      </c>
      <c r="Y657">
        <v>0.57612831774280904</v>
      </c>
      <c r="Z657">
        <v>2.58586955406077E-4</v>
      </c>
      <c r="AA657">
        <v>0.57766762391876803</v>
      </c>
      <c r="AB657" s="9">
        <f t="shared" si="89"/>
        <v>-0.50074462043342804</v>
      </c>
      <c r="AC657" s="9">
        <f t="shared" si="90"/>
        <v>-0.50540410712752548</v>
      </c>
      <c r="AD657" s="2">
        <f t="shared" si="91"/>
        <v>9.3051158294308323E-3</v>
      </c>
      <c r="AE657" s="8">
        <f t="shared" si="92"/>
        <v>5.9101869020972302E-2</v>
      </c>
      <c r="AF657" s="2">
        <f t="shared" si="93"/>
        <v>-1.745047584878201E-3</v>
      </c>
      <c r="AG657" s="8">
        <f t="shared" si="94"/>
        <v>6.0846916605850503E-2</v>
      </c>
      <c r="AH657" s="7">
        <f t="shared" si="95"/>
        <v>-2.867931001635032E-2</v>
      </c>
      <c r="AI657">
        <f t="shared" si="96"/>
        <v>2</v>
      </c>
      <c r="AJ657" s="10">
        <f t="shared" si="97"/>
        <v>0.24338766642340201</v>
      </c>
    </row>
    <row r="658" spans="1:36" hidden="1" x14ac:dyDescent="0.25">
      <c r="A658" t="b">
        <v>0</v>
      </c>
      <c r="B658">
        <v>1000</v>
      </c>
      <c r="C658">
        <v>0.24338766642340201</v>
      </c>
      <c r="D658" t="s">
        <v>52</v>
      </c>
      <c r="E658" t="b">
        <v>1</v>
      </c>
      <c r="F658" t="s">
        <v>53</v>
      </c>
      <c r="G658">
        <v>7.4999999999999997E-2</v>
      </c>
      <c r="H658">
        <v>0.5</v>
      </c>
      <c r="I658">
        <v>1E-4</v>
      </c>
      <c r="J658" t="b">
        <v>1</v>
      </c>
      <c r="K658">
        <v>2</v>
      </c>
      <c r="L658">
        <v>1500</v>
      </c>
      <c r="M658">
        <v>0.25</v>
      </c>
      <c r="N658">
        <v>0.154</v>
      </c>
      <c r="O658" t="s">
        <v>331</v>
      </c>
      <c r="P658" t="s">
        <v>339</v>
      </c>
      <c r="Q658" s="1">
        <v>-9.1246767097463295E-5</v>
      </c>
      <c r="R658" s="1">
        <v>2.26120369969316E-7</v>
      </c>
      <c r="S658">
        <v>2.8237955127293298E-4</v>
      </c>
      <c r="T658">
        <v>-5.6557010347978197E-4</v>
      </c>
      <c r="U658">
        <v>2.0533925521468999</v>
      </c>
      <c r="V658" s="1">
        <v>9.2998160913910493E-15</v>
      </c>
      <c r="W658">
        <v>2.7658084125269702E-4</v>
      </c>
      <c r="X658">
        <v>2.2906880342979901</v>
      </c>
      <c r="Y658">
        <v>8.2238798511492708E-3</v>
      </c>
      <c r="Z658">
        <v>0.16611236509834301</v>
      </c>
      <c r="AA658">
        <v>1.2325309687561899E-2</v>
      </c>
      <c r="AB658" s="9">
        <f t="shared" si="89"/>
        <v>-0.50071800607574102</v>
      </c>
      <c r="AC658" s="9">
        <f t="shared" si="90"/>
        <v>-0.50540410712752548</v>
      </c>
      <c r="AD658" s="2">
        <f t="shared" si="91"/>
        <v>9.358762806455978E-3</v>
      </c>
      <c r="AE658" s="8">
        <f t="shared" si="92"/>
        <v>5.9091918034794307E-2</v>
      </c>
      <c r="AF658" s="2">
        <f t="shared" si="93"/>
        <v>-1.7549985710561961E-3</v>
      </c>
      <c r="AG658" s="8">
        <f t="shared" si="94"/>
        <v>6.0846916605850503E-2</v>
      </c>
      <c r="AH658" s="7">
        <f t="shared" si="95"/>
        <v>-2.884285135472996E-2</v>
      </c>
      <c r="AI658">
        <f t="shared" si="96"/>
        <v>2</v>
      </c>
      <c r="AJ658" s="10">
        <f t="shared" si="97"/>
        <v>0.24338766642340201</v>
      </c>
    </row>
    <row r="659" spans="1:36" hidden="1" x14ac:dyDescent="0.25">
      <c r="A659" t="b">
        <v>0</v>
      </c>
      <c r="B659">
        <v>1000</v>
      </c>
      <c r="C659">
        <v>0.24338766642340201</v>
      </c>
      <c r="D659" t="s">
        <v>52</v>
      </c>
      <c r="E659" t="b">
        <v>1</v>
      </c>
      <c r="F659" t="s">
        <v>53</v>
      </c>
      <c r="G659">
        <v>7.4999999999999997E-2</v>
      </c>
      <c r="H659">
        <v>0.5</v>
      </c>
      <c r="I659">
        <v>1E-4</v>
      </c>
      <c r="J659" t="b">
        <v>1</v>
      </c>
      <c r="K659">
        <v>2</v>
      </c>
      <c r="L659">
        <v>1500</v>
      </c>
      <c r="M659">
        <v>0.25</v>
      </c>
      <c r="N659">
        <v>0.154</v>
      </c>
      <c r="O659" t="s">
        <v>332</v>
      </c>
      <c r="P659" t="s">
        <v>333</v>
      </c>
      <c r="Q659" s="1">
        <v>-4.07628239081942E-5</v>
      </c>
      <c r="R659" s="1">
        <v>5.4737669211110898E-6</v>
      </c>
      <c r="S659">
        <v>1.23534736205819E-4</v>
      </c>
      <c r="T659">
        <v>-2.4742613848903201E-4</v>
      </c>
      <c r="U659">
        <v>2.0534829196715698</v>
      </c>
      <c r="V659" s="1">
        <v>2.2237661997208499E-15</v>
      </c>
      <c r="W659">
        <v>1.5852189410662399E-2</v>
      </c>
      <c r="X659">
        <v>2.1123660297031601</v>
      </c>
      <c r="Y659">
        <v>0.57774538568176603</v>
      </c>
      <c r="Z659">
        <v>2.5858706711989602E-4</v>
      </c>
      <c r="AA659">
        <v>0.60002369871703998</v>
      </c>
      <c r="AB659" s="9">
        <f t="shared" si="89"/>
        <v>-0.50072179309307741</v>
      </c>
      <c r="AC659" s="9">
        <f t="shared" si="90"/>
        <v>-0.50540410712752548</v>
      </c>
      <c r="AD659" s="2">
        <f t="shared" si="91"/>
        <v>9.3511289083789695E-3</v>
      </c>
      <c r="AE659" s="8">
        <f t="shared" si="92"/>
        <v>5.9093333971782992E-2</v>
      </c>
      <c r="AF659" s="2">
        <f t="shared" si="93"/>
        <v>-1.7535826340675104E-3</v>
      </c>
      <c r="AG659" s="8">
        <f t="shared" si="94"/>
        <v>6.0846916605850503E-2</v>
      </c>
      <c r="AH659" s="7">
        <f t="shared" si="95"/>
        <v>-2.8819580874191765E-2</v>
      </c>
      <c r="AI659">
        <f t="shared" si="96"/>
        <v>2</v>
      </c>
      <c r="AJ659" s="10">
        <f t="shared" si="97"/>
        <v>0.24338766642340201</v>
      </c>
    </row>
    <row r="660" spans="1:36" hidden="1" x14ac:dyDescent="0.25">
      <c r="A660" t="b">
        <v>0</v>
      </c>
      <c r="B660">
        <v>1000</v>
      </c>
      <c r="C660">
        <v>0.24338766642340201</v>
      </c>
      <c r="D660" t="s">
        <v>52</v>
      </c>
      <c r="E660" t="b">
        <v>1</v>
      </c>
      <c r="F660" t="s">
        <v>53</v>
      </c>
      <c r="G660">
        <v>7.4999999999999997E-2</v>
      </c>
      <c r="H660">
        <v>0.5</v>
      </c>
      <c r="I660">
        <v>1E-4</v>
      </c>
      <c r="J660" t="b">
        <v>1</v>
      </c>
      <c r="K660">
        <v>2</v>
      </c>
      <c r="L660">
        <v>1500</v>
      </c>
      <c r="M660">
        <v>0.25</v>
      </c>
      <c r="N660">
        <v>0.154</v>
      </c>
      <c r="O660" t="s">
        <v>332</v>
      </c>
      <c r="P660" t="s">
        <v>335</v>
      </c>
      <c r="Q660" s="1">
        <v>-5.8263021119534704E-6</v>
      </c>
      <c r="R660" s="1">
        <v>7.4659117337891599E-7</v>
      </c>
      <c r="S660" s="1">
        <v>1.76571876050163E-5</v>
      </c>
      <c r="T660" s="1">
        <v>-3.5373613558734603E-5</v>
      </c>
      <c r="U660">
        <v>2.0535603687804298</v>
      </c>
      <c r="V660" s="1">
        <v>2.2242984306668199E-15</v>
      </c>
      <c r="W660">
        <v>1.3436787994606901E-2</v>
      </c>
      <c r="X660">
        <v>2.1123854900727101</v>
      </c>
      <c r="Y660">
        <v>0.57588013557074202</v>
      </c>
      <c r="Z660">
        <v>2.5858651376776601E-4</v>
      </c>
      <c r="AA660">
        <v>0.57267518119605199</v>
      </c>
      <c r="AB660" s="9">
        <f t="shared" si="89"/>
        <v>-0.500838728539719</v>
      </c>
      <c r="AC660" s="9">
        <f t="shared" si="90"/>
        <v>-0.50540410712752548</v>
      </c>
      <c r="AD660" s="2">
        <f t="shared" si="91"/>
        <v>9.1154663720147688E-3</v>
      </c>
      <c r="AE660" s="8">
        <f t="shared" si="92"/>
        <v>5.9137057109625343E-2</v>
      </c>
      <c r="AF660" s="2">
        <f t="shared" si="93"/>
        <v>-1.7098594962251593E-3</v>
      </c>
      <c r="AG660" s="8">
        <f t="shared" si="94"/>
        <v>6.0846916605850503E-2</v>
      </c>
      <c r="AH660" s="7">
        <f t="shared" si="95"/>
        <v>-2.8101004810172324E-2</v>
      </c>
      <c r="AI660">
        <f t="shared" si="96"/>
        <v>2</v>
      </c>
      <c r="AJ660" s="10">
        <f t="shared" si="97"/>
        <v>0.24338766642340201</v>
      </c>
    </row>
    <row r="661" spans="1:36" hidden="1" x14ac:dyDescent="0.25">
      <c r="A661" t="b">
        <v>0</v>
      </c>
      <c r="B661">
        <v>1000</v>
      </c>
      <c r="C661">
        <v>0.24338766642340201</v>
      </c>
      <c r="D661" t="s">
        <v>52</v>
      </c>
      <c r="E661" t="b">
        <v>1</v>
      </c>
      <c r="F661" t="s">
        <v>53</v>
      </c>
      <c r="G661">
        <v>7.4999999999999997E-2</v>
      </c>
      <c r="H661">
        <v>0.5</v>
      </c>
      <c r="I661">
        <v>1E-4</v>
      </c>
      <c r="J661" t="b">
        <v>1</v>
      </c>
      <c r="K661">
        <v>2</v>
      </c>
      <c r="L661">
        <v>1500</v>
      </c>
      <c r="M661">
        <v>0.25</v>
      </c>
      <c r="N661">
        <v>0.154</v>
      </c>
      <c r="O661" t="s">
        <v>332</v>
      </c>
      <c r="P661" t="s">
        <v>336</v>
      </c>
      <c r="Q661" s="1">
        <v>-4.6588979980146499E-5</v>
      </c>
      <c r="R661" s="1">
        <v>6.0569260620319199E-6</v>
      </c>
      <c r="S661">
        <v>1.4119143846795401E-4</v>
      </c>
      <c r="T661">
        <v>-2.8279643036274098E-4</v>
      </c>
      <c r="U661">
        <v>2.0534700006193298</v>
      </c>
      <c r="V661" s="1">
        <v>2.2236320422921299E-15</v>
      </c>
      <c r="W661">
        <v>1.31270104177758E-2</v>
      </c>
      <c r="X661">
        <v>2.11236775051146</v>
      </c>
      <c r="Y661">
        <v>0.57869616483293596</v>
      </c>
      <c r="Z661">
        <v>2.5858701259840898E-4</v>
      </c>
      <c r="AA661">
        <v>0.58098794711396495</v>
      </c>
      <c r="AB661" s="9">
        <f t="shared" si="89"/>
        <v>-0.50073225655769282</v>
      </c>
      <c r="AC661" s="9">
        <f t="shared" si="90"/>
        <v>-0.50540410712752548</v>
      </c>
      <c r="AD661" s="2">
        <f t="shared" si="91"/>
        <v>9.3300371778513025E-3</v>
      </c>
      <c r="AE661" s="8">
        <f t="shared" si="92"/>
        <v>5.9097246201328946E-2</v>
      </c>
      <c r="AF661" s="2">
        <f t="shared" si="93"/>
        <v>-1.7496704045215569E-3</v>
      </c>
      <c r="AG661" s="8">
        <f t="shared" si="94"/>
        <v>6.0846916605850503E-2</v>
      </c>
      <c r="AH661" s="7">
        <f t="shared" si="95"/>
        <v>-2.8755284608017823E-2</v>
      </c>
      <c r="AI661">
        <f t="shared" si="96"/>
        <v>2</v>
      </c>
      <c r="AJ661" s="10">
        <f t="shared" si="97"/>
        <v>0.24338766642340201</v>
      </c>
    </row>
    <row r="662" spans="1:36" hidden="1" x14ac:dyDescent="0.25">
      <c r="A662" t="b">
        <v>0</v>
      </c>
      <c r="B662">
        <v>1000</v>
      </c>
      <c r="C662">
        <v>0.24338766642340201</v>
      </c>
      <c r="D662" t="s">
        <v>52</v>
      </c>
      <c r="E662" t="b">
        <v>1</v>
      </c>
      <c r="F662" t="s">
        <v>53</v>
      </c>
      <c r="G662">
        <v>7.4999999999999997E-2</v>
      </c>
      <c r="H662">
        <v>0.5</v>
      </c>
      <c r="I662">
        <v>1E-4</v>
      </c>
      <c r="J662" t="b">
        <v>1</v>
      </c>
      <c r="K662">
        <v>2</v>
      </c>
      <c r="L662">
        <v>1500</v>
      </c>
      <c r="M662">
        <v>0.25</v>
      </c>
      <c r="N662">
        <v>0.154</v>
      </c>
      <c r="O662" t="s">
        <v>332</v>
      </c>
      <c r="P662" t="s">
        <v>337</v>
      </c>
      <c r="Q662" s="1">
        <v>-4.0762823908194003E-5</v>
      </c>
      <c r="R662" s="1">
        <v>5.4595800537035301E-6</v>
      </c>
      <c r="S662">
        <v>1.23534736205819E-4</v>
      </c>
      <c r="T662">
        <v>-2.47426138489093E-4</v>
      </c>
      <c r="U662">
        <v>2.0534829197068101</v>
      </c>
      <c r="V662" s="1">
        <v>2.22376619700178E-15</v>
      </c>
      <c r="W662">
        <v>1.57670037553907E-2</v>
      </c>
      <c r="X662">
        <v>2.1123660297032001</v>
      </c>
      <c r="Y662">
        <v>0.577503639067385</v>
      </c>
      <c r="Z662">
        <v>2.58587067119899E-4</v>
      </c>
      <c r="AA662">
        <v>0.59846779635404002</v>
      </c>
      <c r="AB662" s="9">
        <f t="shared" si="89"/>
        <v>-0.50072179309320086</v>
      </c>
      <c r="AC662" s="9">
        <f t="shared" si="90"/>
        <v>-0.50540410712752548</v>
      </c>
      <c r="AD662" s="2">
        <f t="shared" si="91"/>
        <v>9.3511289081302795E-3</v>
      </c>
      <c r="AE662" s="8">
        <f t="shared" si="92"/>
        <v>5.9093333971829157E-2</v>
      </c>
      <c r="AF662" s="2">
        <f t="shared" si="93"/>
        <v>-1.7535826340213459E-3</v>
      </c>
      <c r="AG662" s="8">
        <f t="shared" si="94"/>
        <v>6.0846916605850503E-2</v>
      </c>
      <c r="AH662" s="7">
        <f t="shared" si="95"/>
        <v>-2.8819580873433066E-2</v>
      </c>
      <c r="AI662">
        <f t="shared" si="96"/>
        <v>2</v>
      </c>
      <c r="AJ662" s="10">
        <f t="shared" si="97"/>
        <v>0.24338766642340201</v>
      </c>
    </row>
    <row r="663" spans="1:36" hidden="1" x14ac:dyDescent="0.25">
      <c r="A663" t="b">
        <v>0</v>
      </c>
      <c r="B663">
        <v>1000</v>
      </c>
      <c r="C663">
        <v>0.24338766642340201</v>
      </c>
      <c r="D663" t="s">
        <v>52</v>
      </c>
      <c r="E663" t="b">
        <v>1</v>
      </c>
      <c r="F663" t="s">
        <v>53</v>
      </c>
      <c r="G663">
        <v>7.4999999999999997E-2</v>
      </c>
      <c r="H663">
        <v>0.5</v>
      </c>
      <c r="I663">
        <v>1E-4</v>
      </c>
      <c r="J663" t="b">
        <v>1</v>
      </c>
      <c r="K663">
        <v>2</v>
      </c>
      <c r="L663">
        <v>1500</v>
      </c>
      <c r="M663">
        <v>0.25</v>
      </c>
      <c r="N663">
        <v>0.154</v>
      </c>
      <c r="O663" t="s">
        <v>332</v>
      </c>
      <c r="P663" t="s">
        <v>338</v>
      </c>
      <c r="Q663" s="1">
        <v>-4.6588979980144703E-5</v>
      </c>
      <c r="R663" s="1">
        <v>5.9911075107680603E-6</v>
      </c>
      <c r="S663">
        <v>1.41191438467948E-4</v>
      </c>
      <c r="T663">
        <v>-2.8279643036266698E-4</v>
      </c>
      <c r="U663">
        <v>2.05347000060268</v>
      </c>
      <c r="V663" s="1">
        <v>2.22363204100072E-15</v>
      </c>
      <c r="W663">
        <v>1.3145838518575899E-2</v>
      </c>
      <c r="X663">
        <v>2.1123677505112601</v>
      </c>
      <c r="Y663">
        <v>0.57665358742328598</v>
      </c>
      <c r="Z663">
        <v>2.5858701259836501E-4</v>
      </c>
      <c r="AA663">
        <v>0.57468384769857095</v>
      </c>
      <c r="AB663" s="9">
        <f t="shared" si="89"/>
        <v>-0.50073225655758313</v>
      </c>
      <c r="AC663" s="9">
        <f t="shared" si="90"/>
        <v>-0.50540410712752548</v>
      </c>
      <c r="AD663" s="2">
        <f t="shared" si="91"/>
        <v>9.3300371780724589E-3</v>
      </c>
      <c r="AE663" s="8">
        <f t="shared" si="92"/>
        <v>5.909724620128793E-2</v>
      </c>
      <c r="AF663" s="2">
        <f t="shared" si="93"/>
        <v>-1.7496704045625727E-3</v>
      </c>
      <c r="AG663" s="8">
        <f t="shared" si="94"/>
        <v>6.0846916605850503E-2</v>
      </c>
      <c r="AH663" s="7">
        <f t="shared" si="95"/>
        <v>-2.8755284608691901E-2</v>
      </c>
      <c r="AI663">
        <f t="shared" si="96"/>
        <v>2</v>
      </c>
      <c r="AJ663" s="10">
        <f t="shared" si="97"/>
        <v>0.24338766642340201</v>
      </c>
    </row>
    <row r="664" spans="1:36" hidden="1" x14ac:dyDescent="0.25">
      <c r="A664" t="b">
        <v>0</v>
      </c>
      <c r="B664">
        <v>1000</v>
      </c>
      <c r="C664">
        <v>0.24338766642340201</v>
      </c>
      <c r="D664" t="s">
        <v>52</v>
      </c>
      <c r="E664" t="b">
        <v>1</v>
      </c>
      <c r="F664" t="s">
        <v>53</v>
      </c>
      <c r="G664">
        <v>7.4999999999999997E-2</v>
      </c>
      <c r="H664">
        <v>0.5</v>
      </c>
      <c r="I664">
        <v>1E-4</v>
      </c>
      <c r="J664" t="b">
        <v>1</v>
      </c>
      <c r="K664">
        <v>2</v>
      </c>
      <c r="L664">
        <v>1500</v>
      </c>
      <c r="M664">
        <v>0.25</v>
      </c>
      <c r="N664">
        <v>0.154</v>
      </c>
      <c r="O664" t="s">
        <v>332</v>
      </c>
      <c r="P664" t="s">
        <v>339</v>
      </c>
      <c r="Q664" s="1">
        <v>-8.5541210870902797E-5</v>
      </c>
      <c r="R664" s="1">
        <v>2.1187016057253001E-7</v>
      </c>
      <c r="S664">
        <v>2.6472229428511999E-4</v>
      </c>
      <c r="T664">
        <v>-5.3019601499323802E-4</v>
      </c>
      <c r="U664">
        <v>2.0533796329935599</v>
      </c>
      <c r="V664" s="1">
        <v>9.2450285057563501E-15</v>
      </c>
      <c r="W664">
        <v>2.7561968933592201E-4</v>
      </c>
      <c r="X664">
        <v>2.2906755087466801</v>
      </c>
      <c r="Y664">
        <v>8.2316803890529096E-3</v>
      </c>
      <c r="Z664">
        <v>0.16610262737646</v>
      </c>
      <c r="AA664">
        <v>1.23164224167911E-2</v>
      </c>
      <c r="AB664" s="9">
        <f t="shared" si="89"/>
        <v>-0.50070963651269651</v>
      </c>
      <c r="AC664" s="9">
        <f t="shared" si="90"/>
        <v>-0.50540410712752548</v>
      </c>
      <c r="AD664" s="2">
        <f t="shared" si="91"/>
        <v>9.3756346443112371E-3</v>
      </c>
      <c r="AE664" s="8">
        <f t="shared" si="92"/>
        <v>5.9088788732237163E-2</v>
      </c>
      <c r="AF664" s="2">
        <f t="shared" si="93"/>
        <v>-1.7581278736133396E-3</v>
      </c>
      <c r="AG664" s="8">
        <f t="shared" si="94"/>
        <v>6.0846916605850503E-2</v>
      </c>
      <c r="AH664" s="7">
        <f t="shared" si="95"/>
        <v>-2.8894280461276383E-2</v>
      </c>
      <c r="AI664">
        <f t="shared" si="96"/>
        <v>2</v>
      </c>
      <c r="AJ664" s="10">
        <f t="shared" si="97"/>
        <v>0.24338766642340201</v>
      </c>
    </row>
    <row r="665" spans="1:36" hidden="1" x14ac:dyDescent="0.25">
      <c r="A665" t="b">
        <v>0</v>
      </c>
      <c r="B665">
        <v>1000</v>
      </c>
      <c r="C665">
        <v>0.24338766642340201</v>
      </c>
      <c r="D665" t="s">
        <v>52</v>
      </c>
      <c r="E665" t="b">
        <v>1</v>
      </c>
      <c r="F665" t="s">
        <v>53</v>
      </c>
      <c r="G665">
        <v>7.4999999999999997E-2</v>
      </c>
      <c r="H665">
        <v>0.5</v>
      </c>
      <c r="I665">
        <v>1E-4</v>
      </c>
      <c r="J665" t="b">
        <v>1</v>
      </c>
      <c r="K665">
        <v>2</v>
      </c>
      <c r="L665">
        <v>1500</v>
      </c>
      <c r="M665">
        <v>0.25</v>
      </c>
      <c r="N665">
        <v>0.154</v>
      </c>
      <c r="O665" t="s">
        <v>333</v>
      </c>
      <c r="P665" t="s">
        <v>336</v>
      </c>
      <c r="Q665" s="1">
        <v>-5.8261560712820897E-6</v>
      </c>
      <c r="R665" s="1">
        <v>7.4544751845746798E-7</v>
      </c>
      <c r="S665" s="1">
        <v>1.76567022621357E-5</v>
      </c>
      <c r="T665" s="1">
        <v>-3.5370291873785302E-5</v>
      </c>
      <c r="U665">
        <v>2.0533796323884501</v>
      </c>
      <c r="V665" s="1">
        <v>2.2238263379072301E-15</v>
      </c>
      <c r="W665">
        <v>1.3207196630656899E-2</v>
      </c>
      <c r="X665">
        <v>2.1123797875024102</v>
      </c>
      <c r="Y665">
        <v>0.57597694817421696</v>
      </c>
      <c r="Z665">
        <v>2.5858663044864202E-4</v>
      </c>
      <c r="AA665">
        <v>0.57181485920788799</v>
      </c>
      <c r="AB665" s="9">
        <f t="shared" si="89"/>
        <v>-0.50080546396305126</v>
      </c>
      <c r="AC665" s="9">
        <f t="shared" si="90"/>
        <v>-0.50540410712752548</v>
      </c>
      <c r="AD665" s="2">
        <f t="shared" si="91"/>
        <v>9.1824939929439076E-3</v>
      </c>
      <c r="AE665" s="8">
        <f t="shared" si="92"/>
        <v>5.9124618839831493E-2</v>
      </c>
      <c r="AF665" s="2">
        <f t="shared" si="93"/>
        <v>-1.7222977660190097E-3</v>
      </c>
      <c r="AG665" s="8">
        <f t="shared" si="94"/>
        <v>6.0846916605850503E-2</v>
      </c>
      <c r="AH665" s="7">
        <f t="shared" si="95"/>
        <v>-2.830542387505974E-2</v>
      </c>
      <c r="AI665">
        <f t="shared" si="96"/>
        <v>2</v>
      </c>
      <c r="AJ665" s="10">
        <f t="shared" si="97"/>
        <v>0.24338766642340201</v>
      </c>
    </row>
    <row r="666" spans="1:36" hidden="1" x14ac:dyDescent="0.25">
      <c r="A666" t="b">
        <v>0</v>
      </c>
      <c r="B666">
        <v>1000</v>
      </c>
      <c r="C666">
        <v>0.24338766642340201</v>
      </c>
      <c r="D666" t="s">
        <v>52</v>
      </c>
      <c r="E666" t="b">
        <v>1</v>
      </c>
      <c r="F666" t="s">
        <v>53</v>
      </c>
      <c r="G666">
        <v>7.4999999999999997E-2</v>
      </c>
      <c r="H666">
        <v>0.5</v>
      </c>
      <c r="I666">
        <v>1E-4</v>
      </c>
      <c r="J666" t="b">
        <v>1</v>
      </c>
      <c r="K666">
        <v>2</v>
      </c>
      <c r="L666">
        <v>1500</v>
      </c>
      <c r="M666">
        <v>0.25</v>
      </c>
      <c r="N666">
        <v>0.154</v>
      </c>
      <c r="O666" t="s">
        <v>333</v>
      </c>
      <c r="P666" t="s">
        <v>337</v>
      </c>
      <c r="Q666" s="1">
        <v>-1E-10</v>
      </c>
      <c r="R666" s="1">
        <v>3.58578587938888E-12</v>
      </c>
      <c r="S666" s="1">
        <v>1.25353481533453E-17</v>
      </c>
      <c r="T666" s="1">
        <v>-7.2187384283398702E-17</v>
      </c>
      <c r="U666">
        <v>2.0533925514759299</v>
      </c>
      <c r="V666">
        <v>0</v>
      </c>
      <c r="W666">
        <v>6.8474547254851303E-2</v>
      </c>
      <c r="X666">
        <v>2</v>
      </c>
      <c r="Y666">
        <v>4.0005663553001596E-3</v>
      </c>
      <c r="Z666">
        <v>2.5000000000000001E-4</v>
      </c>
      <c r="AA666">
        <v>4.7933529109662702E-3</v>
      </c>
      <c r="AB666" s="9">
        <f t="shared" si="89"/>
        <v>-1.4396764932319432</v>
      </c>
      <c r="AC666" s="9">
        <f t="shared" si="90"/>
        <v>-0.50540410712752548</v>
      </c>
      <c r="AD666" s="2">
        <f t="shared" si="91"/>
        <v>-0.64894605871285771</v>
      </c>
      <c r="AE666" s="8">
        <f t="shared" si="92"/>
        <v>0.5842363497281664</v>
      </c>
      <c r="AF666" s="2">
        <f t="shared" si="93"/>
        <v>0.52338943312231589</v>
      </c>
      <c r="AG666" s="8">
        <f t="shared" si="94"/>
        <v>6.0846916605850503E-2</v>
      </c>
      <c r="AH666" s="7">
        <f t="shared" si="95"/>
        <v>8.6017412601642231</v>
      </c>
      <c r="AI666">
        <f t="shared" si="96"/>
        <v>2</v>
      </c>
      <c r="AJ666" s="10">
        <f t="shared" si="97"/>
        <v>0.24338766642340201</v>
      </c>
    </row>
    <row r="667" spans="1:36" hidden="1" x14ac:dyDescent="0.25">
      <c r="A667" t="b">
        <v>0</v>
      </c>
      <c r="B667">
        <v>1000</v>
      </c>
      <c r="C667">
        <v>0.24338766642340201</v>
      </c>
      <c r="D667" t="s">
        <v>52</v>
      </c>
      <c r="E667" t="b">
        <v>1</v>
      </c>
      <c r="F667" t="s">
        <v>53</v>
      </c>
      <c r="G667">
        <v>7.4999999999999997E-2</v>
      </c>
      <c r="H667">
        <v>0.5</v>
      </c>
      <c r="I667">
        <v>1E-4</v>
      </c>
      <c r="J667" t="b">
        <v>1</v>
      </c>
      <c r="K667">
        <v>2</v>
      </c>
      <c r="L667">
        <v>1500</v>
      </c>
      <c r="M667">
        <v>0.25</v>
      </c>
      <c r="N667">
        <v>0.154</v>
      </c>
      <c r="O667" t="s">
        <v>333</v>
      </c>
      <c r="P667" t="s">
        <v>338</v>
      </c>
      <c r="Q667" s="1">
        <v>-5.8261560712817102E-6</v>
      </c>
      <c r="R667" s="1">
        <v>7.3902444141585503E-7</v>
      </c>
      <c r="S667" s="1">
        <v>1.7656702262136801E-5</v>
      </c>
      <c r="T667" s="1">
        <v>-3.5370291873914898E-5</v>
      </c>
      <c r="U667">
        <v>2.0533796323717999</v>
      </c>
      <c r="V667" s="1">
        <v>2.2238263400903399E-15</v>
      </c>
      <c r="W667">
        <v>1.30995482907137E-2</v>
      </c>
      <c r="X667">
        <v>2.1123797875029902</v>
      </c>
      <c r="Y667">
        <v>0.57497318730163405</v>
      </c>
      <c r="Z667">
        <v>2.5858663044869698E-4</v>
      </c>
      <c r="AA667">
        <v>0.56688528384078096</v>
      </c>
      <c r="AB667" s="9">
        <f t="shared" si="89"/>
        <v>-0.50080546396485492</v>
      </c>
      <c r="AC667" s="9">
        <f t="shared" si="90"/>
        <v>-0.50540410712752548</v>
      </c>
      <c r="AD667" s="2">
        <f t="shared" si="91"/>
        <v>9.1824939893092594E-3</v>
      </c>
      <c r="AE667" s="8">
        <f t="shared" si="92"/>
        <v>5.9124618840505905E-2</v>
      </c>
      <c r="AF667" s="2">
        <f t="shared" si="93"/>
        <v>-1.7222977653445978E-3</v>
      </c>
      <c r="AG667" s="8">
        <f t="shared" si="94"/>
        <v>6.0846916605850503E-2</v>
      </c>
      <c r="AH667" s="7">
        <f t="shared" si="95"/>
        <v>-2.8305423863975991E-2</v>
      </c>
      <c r="AI667">
        <f t="shared" si="96"/>
        <v>2</v>
      </c>
      <c r="AJ667" s="10">
        <f t="shared" si="97"/>
        <v>0.24338766642340201</v>
      </c>
    </row>
    <row r="668" spans="1:36" hidden="1" x14ac:dyDescent="0.25">
      <c r="A668" t="b">
        <v>0</v>
      </c>
      <c r="B668">
        <v>1000</v>
      </c>
      <c r="C668">
        <v>0.24338766642340201</v>
      </c>
      <c r="D668" t="s">
        <v>52</v>
      </c>
      <c r="E668" t="b">
        <v>1</v>
      </c>
      <c r="F668" t="s">
        <v>53</v>
      </c>
      <c r="G668">
        <v>7.4999999999999997E-2</v>
      </c>
      <c r="H668">
        <v>0.5</v>
      </c>
      <c r="I668">
        <v>1E-4</v>
      </c>
      <c r="J668" t="b">
        <v>1</v>
      </c>
      <c r="K668">
        <v>2</v>
      </c>
      <c r="L668">
        <v>1500</v>
      </c>
      <c r="M668">
        <v>0.25</v>
      </c>
      <c r="N668">
        <v>0.154</v>
      </c>
      <c r="O668" t="s">
        <v>333</v>
      </c>
      <c r="P668" t="s">
        <v>339</v>
      </c>
      <c r="Q668" s="1">
        <v>-4.6587812337991497E-5</v>
      </c>
      <c r="R668" s="1">
        <v>6.0125472330367902E-6</v>
      </c>
      <c r="S668">
        <v>1.4118755807929599E-4</v>
      </c>
      <c r="T668">
        <v>-2.8276987650392498E-4</v>
      </c>
      <c r="U668">
        <v>2.0532892647626801</v>
      </c>
      <c r="V668" s="1">
        <v>2.2252979589441299E-15</v>
      </c>
      <c r="W668">
        <v>1.2986948047793399E-2</v>
      </c>
      <c r="X668">
        <v>2.1123620449162099</v>
      </c>
      <c r="Y668">
        <v>0.57754520472086202</v>
      </c>
      <c r="Z668">
        <v>2.5858712887362001E-4</v>
      </c>
      <c r="AA668">
        <v>0.57675916616586498</v>
      </c>
      <c r="AB668" s="9">
        <f t="shared" si="89"/>
        <v>-0.5006989998812631</v>
      </c>
      <c r="AC668" s="9">
        <f t="shared" si="90"/>
        <v>-0.50540410712752548</v>
      </c>
      <c r="AD668" s="2">
        <f t="shared" si="91"/>
        <v>9.397077380578267E-3</v>
      </c>
      <c r="AE668" s="8">
        <f t="shared" si="92"/>
        <v>5.9084811820368247E-2</v>
      </c>
      <c r="AF668" s="2">
        <f t="shared" si="93"/>
        <v>-1.7621047854822561E-3</v>
      </c>
      <c r="AG668" s="8">
        <f t="shared" si="94"/>
        <v>6.0846916605850503E-2</v>
      </c>
      <c r="AH668" s="7">
        <f t="shared" si="95"/>
        <v>-2.8959639761151474E-2</v>
      </c>
      <c r="AI668">
        <f t="shared" si="96"/>
        <v>2</v>
      </c>
      <c r="AJ668" s="10">
        <f t="shared" si="97"/>
        <v>0.24338766642340201</v>
      </c>
    </row>
    <row r="669" spans="1:36" hidden="1" x14ac:dyDescent="0.25">
      <c r="A669" t="b">
        <v>0</v>
      </c>
      <c r="B669">
        <v>1000</v>
      </c>
      <c r="C669">
        <v>0.24338766642340201</v>
      </c>
      <c r="D669" t="s">
        <v>52</v>
      </c>
      <c r="E669" t="b">
        <v>1</v>
      </c>
      <c r="F669" t="s">
        <v>53</v>
      </c>
      <c r="G669">
        <v>7.4999999999999997E-2</v>
      </c>
      <c r="H669">
        <v>0.5</v>
      </c>
      <c r="I669">
        <v>1E-4</v>
      </c>
      <c r="J669" t="b">
        <v>1</v>
      </c>
      <c r="K669">
        <v>2</v>
      </c>
      <c r="L669">
        <v>1500</v>
      </c>
      <c r="M669">
        <v>0.25</v>
      </c>
      <c r="N669">
        <v>0.154</v>
      </c>
      <c r="O669" t="s">
        <v>334</v>
      </c>
      <c r="P669" t="s">
        <v>335</v>
      </c>
      <c r="Q669" s="1">
        <v>-5.82630211195252E-6</v>
      </c>
      <c r="R669" s="1">
        <v>7.4309221037161298E-7</v>
      </c>
      <c r="S669" s="1">
        <v>1.7657187605018899E-5</v>
      </c>
      <c r="T669" s="1">
        <v>-3.5373613558793902E-5</v>
      </c>
      <c r="U669">
        <v>2.0535603687627999</v>
      </c>
      <c r="V669" s="1">
        <v>2.2260570257345398E-15</v>
      </c>
      <c r="W669">
        <v>1.27764381602658E-2</v>
      </c>
      <c r="X669">
        <v>2.1123854902477701</v>
      </c>
      <c r="Y669">
        <v>0.57642759949395606</v>
      </c>
      <c r="Z669">
        <v>2.58586513690776E-4</v>
      </c>
      <c r="AA669">
        <v>0.57000867134255695</v>
      </c>
      <c r="AB669" s="9">
        <f t="shared" si="89"/>
        <v>-0.50083872854048495</v>
      </c>
      <c r="AC669" s="9">
        <f t="shared" si="90"/>
        <v>-0.50540410712752548</v>
      </c>
      <c r="AD669" s="2">
        <f t="shared" si="91"/>
        <v>9.1154663704715588E-3</v>
      </c>
      <c r="AE669" s="8">
        <f t="shared" si="92"/>
        <v>5.9137057109911753E-2</v>
      </c>
      <c r="AF669" s="2">
        <f t="shared" si="93"/>
        <v>-1.7098594959387495E-3</v>
      </c>
      <c r="AG669" s="8">
        <f t="shared" si="94"/>
        <v>6.0846916605850503E-2</v>
      </c>
      <c r="AH669" s="7">
        <f t="shared" si="95"/>
        <v>-2.810100480546527E-2</v>
      </c>
      <c r="AI669">
        <f t="shared" si="96"/>
        <v>2</v>
      </c>
      <c r="AJ669" s="10">
        <f t="shared" si="97"/>
        <v>0.24338766642340201</v>
      </c>
    </row>
    <row r="670" spans="1:36" hidden="1" x14ac:dyDescent="0.25">
      <c r="A670" t="b">
        <v>0</v>
      </c>
      <c r="B670">
        <v>1000</v>
      </c>
      <c r="C670">
        <v>0.24338766642340201</v>
      </c>
      <c r="D670" t="s">
        <v>52</v>
      </c>
      <c r="E670" t="b">
        <v>1</v>
      </c>
      <c r="F670" t="s">
        <v>53</v>
      </c>
      <c r="G670">
        <v>7.4999999999999997E-2</v>
      </c>
      <c r="H670">
        <v>0.5</v>
      </c>
      <c r="I670">
        <v>1E-4</v>
      </c>
      <c r="J670" t="b">
        <v>1</v>
      </c>
      <c r="K670">
        <v>2</v>
      </c>
      <c r="L670">
        <v>1500</v>
      </c>
      <c r="M670">
        <v>0.25</v>
      </c>
      <c r="N670">
        <v>0.154</v>
      </c>
      <c r="O670" t="s">
        <v>334</v>
      </c>
      <c r="P670" t="s">
        <v>336</v>
      </c>
      <c r="Q670" s="1">
        <v>-4.6588979980146702E-5</v>
      </c>
      <c r="R670" s="1">
        <v>5.9766026684157403E-6</v>
      </c>
      <c r="S670">
        <v>1.4119143846796E-4</v>
      </c>
      <c r="T670">
        <v>-2.8279643036308001E-4</v>
      </c>
      <c r="U670">
        <v>2.0534700006016999</v>
      </c>
      <c r="V670" s="1">
        <v>2.2236320425517101E-15</v>
      </c>
      <c r="W670">
        <v>1.3016921642398101E-2</v>
      </c>
      <c r="X670">
        <v>2.11236775051173</v>
      </c>
      <c r="Y670">
        <v>0.57653387165591996</v>
      </c>
      <c r="Z670">
        <v>2.5858701259845099E-4</v>
      </c>
      <c r="AA670">
        <v>0.57329526816476495</v>
      </c>
      <c r="AB670" s="9">
        <f t="shared" si="89"/>
        <v>-0.5007322565582718</v>
      </c>
      <c r="AC670" s="9">
        <f t="shared" si="90"/>
        <v>-0.50540410712752548</v>
      </c>
      <c r="AD670" s="2">
        <f t="shared" si="91"/>
        <v>9.330037176684236E-3</v>
      </c>
      <c r="AE670" s="8">
        <f t="shared" si="92"/>
        <v>5.9097246201545439E-2</v>
      </c>
      <c r="AF670" s="2">
        <f t="shared" si="93"/>
        <v>-1.7496704043050634E-3</v>
      </c>
      <c r="AG670" s="8">
        <f t="shared" si="94"/>
        <v>6.0846916605850503E-2</v>
      </c>
      <c r="AH670" s="7">
        <f t="shared" si="95"/>
        <v>-2.8755284604459818E-2</v>
      </c>
      <c r="AI670">
        <f t="shared" si="96"/>
        <v>2</v>
      </c>
      <c r="AJ670" s="10">
        <f t="shared" si="97"/>
        <v>0.24338766642340201</v>
      </c>
    </row>
    <row r="671" spans="1:36" hidden="1" x14ac:dyDescent="0.25">
      <c r="A671" t="b">
        <v>0</v>
      </c>
      <c r="B671">
        <v>1000</v>
      </c>
      <c r="C671">
        <v>0.24338766642340201</v>
      </c>
      <c r="D671" t="s">
        <v>52</v>
      </c>
      <c r="E671" t="b">
        <v>1</v>
      </c>
      <c r="F671" t="s">
        <v>53</v>
      </c>
      <c r="G671">
        <v>7.4999999999999997E-2</v>
      </c>
      <c r="H671">
        <v>0.5</v>
      </c>
      <c r="I671">
        <v>1E-4</v>
      </c>
      <c r="J671" t="b">
        <v>1</v>
      </c>
      <c r="K671">
        <v>2</v>
      </c>
      <c r="L671">
        <v>1500</v>
      </c>
      <c r="M671">
        <v>0.25</v>
      </c>
      <c r="N671">
        <v>0.154</v>
      </c>
      <c r="O671" t="s">
        <v>334</v>
      </c>
      <c r="P671" t="s">
        <v>337</v>
      </c>
      <c r="Q671" s="1">
        <v>-4.0762823908194599E-5</v>
      </c>
      <c r="R671" s="1">
        <v>5.3968262691233204E-6</v>
      </c>
      <c r="S671">
        <v>1.2353473620582201E-4</v>
      </c>
      <c r="T671">
        <v>-2.4742613848919198E-4</v>
      </c>
      <c r="U671">
        <v>2.0534829196891802</v>
      </c>
      <c r="V671" s="1">
        <v>2.2237662042382701E-15</v>
      </c>
      <c r="W671">
        <v>1.59058482557216E-2</v>
      </c>
      <c r="X671">
        <v>2.11236602970334</v>
      </c>
      <c r="Y671">
        <v>0.57542714392249406</v>
      </c>
      <c r="Z671">
        <v>2.5858706711992502E-4</v>
      </c>
      <c r="AA671">
        <v>0.59162000675999704</v>
      </c>
      <c r="AB671" s="9">
        <f t="shared" si="89"/>
        <v>-0.50072179309338893</v>
      </c>
      <c r="AC671" s="9">
        <f t="shared" si="90"/>
        <v>-0.50540410712752548</v>
      </c>
      <c r="AD671" s="2">
        <f t="shared" si="91"/>
        <v>9.3511289077510273E-3</v>
      </c>
      <c r="AE671" s="8">
        <f t="shared" si="92"/>
        <v>5.9093333971899469E-2</v>
      </c>
      <c r="AF671" s="2">
        <f t="shared" si="93"/>
        <v>-1.7535826339510341E-3</v>
      </c>
      <c r="AG671" s="8">
        <f t="shared" si="94"/>
        <v>6.0846916605850503E-2</v>
      </c>
      <c r="AH671" s="7">
        <f t="shared" si="95"/>
        <v>-2.8819580872277512E-2</v>
      </c>
      <c r="AI671">
        <f t="shared" si="96"/>
        <v>2</v>
      </c>
      <c r="AJ671" s="10">
        <f t="shared" si="97"/>
        <v>0.24338766642340201</v>
      </c>
    </row>
    <row r="672" spans="1:36" hidden="1" x14ac:dyDescent="0.25">
      <c r="A672" t="b">
        <v>0</v>
      </c>
      <c r="B672">
        <v>1000</v>
      </c>
      <c r="C672">
        <v>0.24338766642340201</v>
      </c>
      <c r="D672" t="s">
        <v>52</v>
      </c>
      <c r="E672" t="b">
        <v>1</v>
      </c>
      <c r="F672" t="s">
        <v>53</v>
      </c>
      <c r="G672">
        <v>7.4999999999999997E-2</v>
      </c>
      <c r="H672">
        <v>0.5</v>
      </c>
      <c r="I672">
        <v>1E-4</v>
      </c>
      <c r="J672" t="b">
        <v>1</v>
      </c>
      <c r="K672">
        <v>2</v>
      </c>
      <c r="L672">
        <v>1500</v>
      </c>
      <c r="M672">
        <v>0.25</v>
      </c>
      <c r="N672">
        <v>0.154</v>
      </c>
      <c r="O672" t="s">
        <v>334</v>
      </c>
      <c r="P672" t="s">
        <v>338</v>
      </c>
      <c r="Q672" s="1">
        <v>-4.6588979980145198E-5</v>
      </c>
      <c r="R672" s="1">
        <v>5.9749036886127098E-6</v>
      </c>
      <c r="S672">
        <v>1.4119143846795401E-4</v>
      </c>
      <c r="T672">
        <v>-2.8279643036298199E-4</v>
      </c>
      <c r="U672">
        <v>2.0534700005850501</v>
      </c>
      <c r="V672" s="1">
        <v>2.2236320432448601E-15</v>
      </c>
      <c r="W672">
        <v>1.3158928771405599E-2</v>
      </c>
      <c r="X672">
        <v>2.1123677505115399</v>
      </c>
      <c r="Y672">
        <v>0.57618409782441804</v>
      </c>
      <c r="Z672">
        <v>2.5858701259840898E-4</v>
      </c>
      <c r="AA672">
        <v>0.573138991704774</v>
      </c>
      <c r="AB672" s="9">
        <f t="shared" si="89"/>
        <v>-0.50073225655811959</v>
      </c>
      <c r="AC672" s="9">
        <f t="shared" si="90"/>
        <v>-0.50540410712752548</v>
      </c>
      <c r="AD672" s="2">
        <f t="shared" si="91"/>
        <v>9.3300371769911017E-3</v>
      </c>
      <c r="AE672" s="8">
        <f t="shared" si="92"/>
        <v>5.9097246201488512E-2</v>
      </c>
      <c r="AF672" s="2">
        <f t="shared" si="93"/>
        <v>-1.7496704043619901E-3</v>
      </c>
      <c r="AG672" s="8">
        <f t="shared" si="94"/>
        <v>6.0846916605850503E-2</v>
      </c>
      <c r="AH672" s="7">
        <f t="shared" si="95"/>
        <v>-2.8755284605395389E-2</v>
      </c>
      <c r="AI672">
        <f t="shared" si="96"/>
        <v>2</v>
      </c>
      <c r="AJ672" s="10">
        <f t="shared" si="97"/>
        <v>0.24338766642340201</v>
      </c>
    </row>
    <row r="673" spans="1:36" hidden="1" x14ac:dyDescent="0.25">
      <c r="A673" t="b">
        <v>0</v>
      </c>
      <c r="B673">
        <v>1000</v>
      </c>
      <c r="C673">
        <v>0.24338766642340201</v>
      </c>
      <c r="D673" t="s">
        <v>52</v>
      </c>
      <c r="E673" t="b">
        <v>1</v>
      </c>
      <c r="F673" t="s">
        <v>53</v>
      </c>
      <c r="G673">
        <v>7.4999999999999997E-2</v>
      </c>
      <c r="H673">
        <v>0.5</v>
      </c>
      <c r="I673">
        <v>1E-4</v>
      </c>
      <c r="J673" t="b">
        <v>1</v>
      </c>
      <c r="K673">
        <v>2</v>
      </c>
      <c r="L673">
        <v>1500</v>
      </c>
      <c r="M673">
        <v>0.25</v>
      </c>
      <c r="N673">
        <v>0.154</v>
      </c>
      <c r="O673" t="s">
        <v>334</v>
      </c>
      <c r="P673" t="s">
        <v>339</v>
      </c>
      <c r="Q673" s="1">
        <v>-8.5541211529381901E-5</v>
      </c>
      <c r="R673" s="1">
        <v>2.09826822102166E-7</v>
      </c>
      <c r="S673">
        <v>2.64722294285124E-4</v>
      </c>
      <c r="T673">
        <v>-5.3019601499333603E-4</v>
      </c>
      <c r="U673">
        <v>2.05337963297593</v>
      </c>
      <c r="V673" s="1">
        <v>9.1257749889504804E-15</v>
      </c>
      <c r="W673">
        <v>2.712921335183E-4</v>
      </c>
      <c r="X673">
        <v>2.2906755442817399</v>
      </c>
      <c r="Y673">
        <v>8.1973326171038696E-3</v>
      </c>
      <c r="Z673">
        <v>0.166102590838727</v>
      </c>
      <c r="AA673">
        <v>1.21916727267865E-2</v>
      </c>
      <c r="AB673" s="9">
        <f t="shared" si="89"/>
        <v>-0.50070963651278144</v>
      </c>
      <c r="AC673" s="9">
        <f t="shared" si="90"/>
        <v>-0.50540410712752548</v>
      </c>
      <c r="AD673" s="2">
        <f t="shared" si="91"/>
        <v>9.3756346441400407E-3</v>
      </c>
      <c r="AE673" s="8">
        <f t="shared" si="92"/>
        <v>5.9088788732268901E-2</v>
      </c>
      <c r="AF673" s="2">
        <f t="shared" si="93"/>
        <v>-1.7581278735816011E-3</v>
      </c>
      <c r="AG673" s="8">
        <f t="shared" si="94"/>
        <v>6.0846916605850503E-2</v>
      </c>
      <c r="AH673" s="7">
        <f t="shared" si="95"/>
        <v>-2.8894280460754769E-2</v>
      </c>
      <c r="AI673">
        <f t="shared" si="96"/>
        <v>2</v>
      </c>
      <c r="AJ673" s="10">
        <f t="shared" si="97"/>
        <v>0.24338766642340201</v>
      </c>
    </row>
    <row r="674" spans="1:36" hidden="1" x14ac:dyDescent="0.25">
      <c r="A674" t="b">
        <v>0</v>
      </c>
      <c r="B674">
        <v>1000</v>
      </c>
      <c r="C674">
        <v>0.24338766642340201</v>
      </c>
      <c r="D674" t="s">
        <v>52</v>
      </c>
      <c r="E674" t="b">
        <v>1</v>
      </c>
      <c r="F674" t="s">
        <v>53</v>
      </c>
      <c r="G674">
        <v>7.4999999999999997E-2</v>
      </c>
      <c r="H674">
        <v>0.5</v>
      </c>
      <c r="I674">
        <v>1E-4</v>
      </c>
      <c r="J674" t="b">
        <v>1</v>
      </c>
      <c r="K674">
        <v>2</v>
      </c>
      <c r="L674">
        <v>1500</v>
      </c>
      <c r="M674">
        <v>0.25</v>
      </c>
      <c r="N674">
        <v>0.154</v>
      </c>
      <c r="O674" t="s">
        <v>335</v>
      </c>
      <c r="P674" t="s">
        <v>336</v>
      </c>
      <c r="Q674" s="1">
        <v>-4.0762677867081003E-5</v>
      </c>
      <c r="R674" s="1">
        <v>5.5245059267514299E-6</v>
      </c>
      <c r="S674">
        <v>1.2353425086294401E-4</v>
      </c>
      <c r="T674">
        <v>-2.4742281680437399E-4</v>
      </c>
      <c r="U674">
        <v>2.0534570814972999</v>
      </c>
      <c r="V674" s="1">
        <v>2.2234975866739198E-15</v>
      </c>
      <c r="W674">
        <v>1.56608225648853E-2</v>
      </c>
      <c r="X674">
        <v>2.1123652139203899</v>
      </c>
      <c r="Y674">
        <v>0.57996147096944195</v>
      </c>
      <c r="Z674">
        <v>2.5858708377233001E-4</v>
      </c>
      <c r="AA674">
        <v>0.60558902594364195</v>
      </c>
      <c r="AB674" s="9">
        <f t="shared" si="89"/>
        <v>-0.50071703814126634</v>
      </c>
      <c r="AC674" s="9">
        <f t="shared" si="90"/>
        <v>-0.50540410712752548</v>
      </c>
      <c r="AD674" s="2">
        <f t="shared" si="91"/>
        <v>9.3607139945910411E-3</v>
      </c>
      <c r="AE674" s="8">
        <f t="shared" si="92"/>
        <v>5.9091556132061102E-2</v>
      </c>
      <c r="AF674" s="2">
        <f t="shared" si="93"/>
        <v>-1.755360473789401E-3</v>
      </c>
      <c r="AG674" s="8">
        <f t="shared" si="94"/>
        <v>6.0846916605850503E-2</v>
      </c>
      <c r="AH674" s="7">
        <f t="shared" si="95"/>
        <v>-2.8848799112700167E-2</v>
      </c>
      <c r="AI674">
        <f t="shared" si="96"/>
        <v>2</v>
      </c>
      <c r="AJ674" s="10">
        <f t="shared" si="97"/>
        <v>0.24338766642340201</v>
      </c>
    </row>
    <row r="675" spans="1:36" hidden="1" x14ac:dyDescent="0.25">
      <c r="A675" t="b">
        <v>0</v>
      </c>
      <c r="B675">
        <v>1000</v>
      </c>
      <c r="C675">
        <v>0.24338766642340201</v>
      </c>
      <c r="D675" t="s">
        <v>52</v>
      </c>
      <c r="E675" t="b">
        <v>1</v>
      </c>
      <c r="F675" t="s">
        <v>53</v>
      </c>
      <c r="G675">
        <v>7.4999999999999997E-2</v>
      </c>
      <c r="H675">
        <v>0.5</v>
      </c>
      <c r="I675">
        <v>1E-4</v>
      </c>
      <c r="J675" t="b">
        <v>1</v>
      </c>
      <c r="K675">
        <v>2</v>
      </c>
      <c r="L675">
        <v>1500</v>
      </c>
      <c r="M675">
        <v>0.25</v>
      </c>
      <c r="N675">
        <v>0.154</v>
      </c>
      <c r="O675" t="s">
        <v>335</v>
      </c>
      <c r="P675" t="s">
        <v>337</v>
      </c>
      <c r="Q675" s="1">
        <v>-3.4936521795029499E-5</v>
      </c>
      <c r="R675" s="1">
        <v>4.6810510174435001E-6</v>
      </c>
      <c r="S675">
        <v>1.05877548600807E-4</v>
      </c>
      <c r="T675">
        <v>-2.12052524930477E-4</v>
      </c>
      <c r="U675">
        <v>2.0534700005847899</v>
      </c>
      <c r="V675" s="1">
        <v>2.22349014769941E-15</v>
      </c>
      <c r="W675">
        <v>1.5284468239698199E-2</v>
      </c>
      <c r="X675">
        <v>2.1123627826662399</v>
      </c>
      <c r="Y675">
        <v>0.578726214400057</v>
      </c>
      <c r="Z675">
        <v>2.5858715925550999E-4</v>
      </c>
      <c r="AA675">
        <v>0.59871408757599798</v>
      </c>
      <c r="AB675" s="9">
        <f t="shared" si="89"/>
        <v>-0.50070229178138703</v>
      </c>
      <c r="AC675" s="9">
        <f t="shared" si="90"/>
        <v>-0.50540410712752548</v>
      </c>
      <c r="AD675" s="2">
        <f t="shared" si="91"/>
        <v>9.3904410331544508E-3</v>
      </c>
      <c r="AE675" s="8">
        <f t="shared" si="92"/>
        <v>5.9086042620063686E-2</v>
      </c>
      <c r="AF675" s="2">
        <f t="shared" si="93"/>
        <v>-1.7608739857868164E-3</v>
      </c>
      <c r="AG675" s="8">
        <f t="shared" si="94"/>
        <v>6.0846916605850503E-2</v>
      </c>
      <c r="AH675" s="7">
        <f t="shared" si="95"/>
        <v>-2.8939411953990555E-2</v>
      </c>
      <c r="AI675">
        <f t="shared" si="96"/>
        <v>2</v>
      </c>
      <c r="AJ675" s="10">
        <f t="shared" si="97"/>
        <v>0.24338766642340201</v>
      </c>
    </row>
    <row r="676" spans="1:36" hidden="1" x14ac:dyDescent="0.25">
      <c r="A676" t="b">
        <v>0</v>
      </c>
      <c r="B676">
        <v>1000</v>
      </c>
      <c r="C676">
        <v>0.24338766642340201</v>
      </c>
      <c r="D676" t="s">
        <v>52</v>
      </c>
      <c r="E676" t="b">
        <v>1</v>
      </c>
      <c r="F676" t="s">
        <v>53</v>
      </c>
      <c r="G676">
        <v>7.4999999999999997E-2</v>
      </c>
      <c r="H676">
        <v>0.5</v>
      </c>
      <c r="I676">
        <v>1E-4</v>
      </c>
      <c r="J676" t="b">
        <v>1</v>
      </c>
      <c r="K676">
        <v>2</v>
      </c>
      <c r="L676">
        <v>1500</v>
      </c>
      <c r="M676">
        <v>0.25</v>
      </c>
      <c r="N676">
        <v>0.154</v>
      </c>
      <c r="O676" t="s">
        <v>335</v>
      </c>
      <c r="P676" t="s">
        <v>338</v>
      </c>
      <c r="Q676" s="1">
        <v>-4.0762677867079797E-5</v>
      </c>
      <c r="R676" s="1">
        <v>5.4535229712287903E-6</v>
      </c>
      <c r="S676">
        <v>1.2353425086294201E-4</v>
      </c>
      <c r="T676">
        <v>-2.4742281680445899E-4</v>
      </c>
      <c r="U676">
        <v>2.0534570814806599</v>
      </c>
      <c r="V676" s="1">
        <v>2.2234975866542598E-15</v>
      </c>
      <c r="W676">
        <v>1.5641326919140199E-2</v>
      </c>
      <c r="X676">
        <v>2.1123652139203601</v>
      </c>
      <c r="Y676">
        <v>0.57756031855263401</v>
      </c>
      <c r="Z676">
        <v>2.5858708377231402E-4</v>
      </c>
      <c r="AA676">
        <v>0.59780457064908998</v>
      </c>
      <c r="AB676" s="9">
        <f t="shared" ref="AB676:AB739" si="98">T676/S676/K676^2</f>
        <v>-0.50071703814144641</v>
      </c>
      <c r="AC676" s="9">
        <f t="shared" ref="AC676:AC739" si="99">(1+10*C676/K676^2)/(-3-3*C676/K676^2)</f>
        <v>-0.50540410712752548</v>
      </c>
      <c r="AD676" s="2">
        <f t="shared" ref="AD676:AD739" si="100">(AC676/AB676-1)</f>
        <v>9.3607139942279982E-3</v>
      </c>
      <c r="AE676" s="8">
        <f t="shared" ref="AE676:AE739" si="101">-(1+3*AB676)/(10+3*AB676)</f>
        <v>5.909155613212845E-2</v>
      </c>
      <c r="AF676" s="2">
        <f t="shared" ref="AF676:AF739" si="102">(AE676-C676/K676^2)</f>
        <v>-1.7553604737220521E-3</v>
      </c>
      <c r="AG676" s="8">
        <f t="shared" ref="AG676:AG739" si="103">C676/K676^2</f>
        <v>6.0846916605850503E-2</v>
      </c>
      <c r="AH676" s="7">
        <f t="shared" ref="AH676:AH739" si="104">AF676/AG676</f>
        <v>-2.8848799111593309E-2</v>
      </c>
      <c r="AI676">
        <f t="shared" ref="AI676:AI739" si="105">K676</f>
        <v>2</v>
      </c>
      <c r="AJ676" s="10">
        <f t="shared" ref="AJ676:AJ739" si="106">C676</f>
        <v>0.24338766642340201</v>
      </c>
    </row>
    <row r="677" spans="1:36" hidden="1" x14ac:dyDescent="0.25">
      <c r="A677" t="b">
        <v>0</v>
      </c>
      <c r="B677">
        <v>1000</v>
      </c>
      <c r="C677">
        <v>0.24338766642340201</v>
      </c>
      <c r="D677" t="s">
        <v>52</v>
      </c>
      <c r="E677" t="b">
        <v>1</v>
      </c>
      <c r="F677" t="s">
        <v>53</v>
      </c>
      <c r="G677">
        <v>7.4999999999999997E-2</v>
      </c>
      <c r="H677">
        <v>0.5</v>
      </c>
      <c r="I677">
        <v>1E-4</v>
      </c>
      <c r="J677" t="b">
        <v>1</v>
      </c>
      <c r="K677">
        <v>2</v>
      </c>
      <c r="L677">
        <v>1500</v>
      </c>
      <c r="M677">
        <v>0.25</v>
      </c>
      <c r="N677">
        <v>0.154</v>
      </c>
      <c r="O677" t="s">
        <v>335</v>
      </c>
      <c r="P677" t="s">
        <v>339</v>
      </c>
      <c r="Q677" s="1">
        <v>-7.9835672286789901E-5</v>
      </c>
      <c r="R677" s="1">
        <v>2.2414721472613301E-7</v>
      </c>
      <c r="S677">
        <v>2.4706510668010998E-4</v>
      </c>
      <c r="T677">
        <v>-4.9482240143480197E-4</v>
      </c>
      <c r="U677">
        <v>2.0533667138715401</v>
      </c>
      <c r="V677" s="1">
        <v>9.2736258769012202E-15</v>
      </c>
      <c r="W677">
        <v>3.2910012198444601E-4</v>
      </c>
      <c r="X677">
        <v>2.2906616984418098</v>
      </c>
      <c r="Y677">
        <v>8.7389440599326094E-3</v>
      </c>
      <c r="Z677">
        <v>0.16609189638028901</v>
      </c>
      <c r="AA677">
        <v>1.4036437446657999E-2</v>
      </c>
      <c r="AB677" s="9">
        <f t="shared" si="98"/>
        <v>-0.50070041059610071</v>
      </c>
      <c r="AC677" s="9">
        <f t="shared" si="99"/>
        <v>-0.50540410712752548</v>
      </c>
      <c r="AD677" s="2">
        <f t="shared" si="100"/>
        <v>9.3942334215881829E-3</v>
      </c>
      <c r="AE677" s="8">
        <f t="shared" si="101"/>
        <v>5.9085339268399456E-2</v>
      </c>
      <c r="AF677" s="2">
        <f t="shared" si="102"/>
        <v>-1.7615773374510466E-3</v>
      </c>
      <c r="AG677" s="8">
        <f t="shared" si="103"/>
        <v>6.0846916605850503E-2</v>
      </c>
      <c r="AH677" s="7">
        <f t="shared" si="104"/>
        <v>-2.8950971318104042E-2</v>
      </c>
      <c r="AI677">
        <f t="shared" si="105"/>
        <v>2</v>
      </c>
      <c r="AJ677" s="10">
        <f t="shared" si="106"/>
        <v>0.24338766642340201</v>
      </c>
    </row>
    <row r="678" spans="1:36" hidden="1" x14ac:dyDescent="0.25">
      <c r="A678" t="b">
        <v>0</v>
      </c>
      <c r="B678">
        <v>1000</v>
      </c>
      <c r="C678">
        <v>0.24338766642340201</v>
      </c>
      <c r="D678" t="s">
        <v>52</v>
      </c>
      <c r="E678" t="b">
        <v>1</v>
      </c>
      <c r="F678" t="s">
        <v>53</v>
      </c>
      <c r="G678">
        <v>7.4999999999999997E-2</v>
      </c>
      <c r="H678">
        <v>0.5</v>
      </c>
      <c r="I678">
        <v>1E-4</v>
      </c>
      <c r="J678" t="b">
        <v>1</v>
      </c>
      <c r="K678">
        <v>2</v>
      </c>
      <c r="L678">
        <v>1500</v>
      </c>
      <c r="M678">
        <v>0.25</v>
      </c>
      <c r="N678">
        <v>0.154</v>
      </c>
      <c r="O678" t="s">
        <v>336</v>
      </c>
      <c r="P678" t="s">
        <v>338</v>
      </c>
      <c r="Q678" s="1">
        <v>-1E-10</v>
      </c>
      <c r="R678" s="1">
        <v>3.5857859388352798E-12</v>
      </c>
      <c r="S678" s="1">
        <v>4.7202104413597504E-18</v>
      </c>
      <c r="T678" s="1">
        <v>8.3329928190695994E-17</v>
      </c>
      <c r="U678">
        <v>2.0533667133195599</v>
      </c>
      <c r="V678">
        <v>0</v>
      </c>
      <c r="W678">
        <v>6.8474548390046006E-2</v>
      </c>
      <c r="X678">
        <v>2</v>
      </c>
      <c r="Y678">
        <v>4.0005664216229298E-3</v>
      </c>
      <c r="Z678">
        <v>2.5000000000000001E-4</v>
      </c>
      <c r="AA678">
        <v>4.7933529904321303E-3</v>
      </c>
      <c r="AB678" s="9">
        <f t="shared" si="98"/>
        <v>4.4134646763064209</v>
      </c>
      <c r="AC678" s="9">
        <f t="shared" si="99"/>
        <v>-0.50540410712752548</v>
      </c>
      <c r="AD678" s="2">
        <f t="shared" si="100"/>
        <v>-1.1145141389350584</v>
      </c>
      <c r="AE678" s="8">
        <f t="shared" si="101"/>
        <v>-0.61274322678002702</v>
      </c>
      <c r="AF678" s="2">
        <f t="shared" si="102"/>
        <v>-0.67359014338587753</v>
      </c>
      <c r="AG678" s="8">
        <f t="shared" si="103"/>
        <v>6.0846916605850503E-2</v>
      </c>
      <c r="AH678" s="7">
        <f t="shared" si="104"/>
        <v>-11.070242848116827</v>
      </c>
      <c r="AI678">
        <f t="shared" si="105"/>
        <v>2</v>
      </c>
      <c r="AJ678" s="10">
        <f t="shared" si="106"/>
        <v>0.24338766642340201</v>
      </c>
    </row>
    <row r="679" spans="1:36" hidden="1" x14ac:dyDescent="0.25">
      <c r="A679" t="b">
        <v>0</v>
      </c>
      <c r="B679">
        <v>1000</v>
      </c>
      <c r="C679">
        <v>0.24338766642340201</v>
      </c>
      <c r="D679" t="s">
        <v>52</v>
      </c>
      <c r="E679" t="b">
        <v>1</v>
      </c>
      <c r="F679" t="s">
        <v>53</v>
      </c>
      <c r="G679">
        <v>7.4999999999999997E-2</v>
      </c>
      <c r="H679">
        <v>0.5</v>
      </c>
      <c r="I679">
        <v>1E-4</v>
      </c>
      <c r="J679" t="b">
        <v>1</v>
      </c>
      <c r="K679">
        <v>2</v>
      </c>
      <c r="L679">
        <v>1500</v>
      </c>
      <c r="M679">
        <v>0.25</v>
      </c>
      <c r="N679">
        <v>0.154</v>
      </c>
      <c r="O679" t="s">
        <v>336</v>
      </c>
      <c r="P679" t="s">
        <v>339</v>
      </c>
      <c r="Q679" s="1">
        <v>-4.0761656265706598E-5</v>
      </c>
      <c r="R679" s="1">
        <v>5.4644927827856504E-6</v>
      </c>
      <c r="S679">
        <v>1.2353085581716299E-4</v>
      </c>
      <c r="T679">
        <v>-2.4739958463036499E-4</v>
      </c>
      <c r="U679">
        <v>2.0532763457104299</v>
      </c>
      <c r="V679" s="1">
        <v>2.2238987931130999E-15</v>
      </c>
      <c r="W679">
        <v>1.53365747751116E-2</v>
      </c>
      <c r="X679">
        <v>2.1123595077136801</v>
      </c>
      <c r="Y679">
        <v>0.57861234133586104</v>
      </c>
      <c r="Z679">
        <v>2.58587199890399E-4</v>
      </c>
      <c r="AA679">
        <v>0.59905475446326595</v>
      </c>
      <c r="AB679" s="9">
        <f t="shared" si="98"/>
        <v>-0.5006837825938385</v>
      </c>
      <c r="AC679" s="9">
        <f t="shared" si="99"/>
        <v>-0.50540410712752548</v>
      </c>
      <c r="AD679" s="2">
        <f t="shared" si="100"/>
        <v>9.4277559964752733E-3</v>
      </c>
      <c r="AE679" s="8">
        <f t="shared" si="101"/>
        <v>5.9079122306822746E-2</v>
      </c>
      <c r="AF679" s="2">
        <f t="shared" si="102"/>
        <v>-1.767794299027757E-3</v>
      </c>
      <c r="AG679" s="8">
        <f t="shared" si="103"/>
        <v>6.0846916605850503E-2</v>
      </c>
      <c r="AH679" s="7">
        <f t="shared" si="104"/>
        <v>-2.905314513271132E-2</v>
      </c>
      <c r="AI679">
        <f t="shared" si="105"/>
        <v>2</v>
      </c>
      <c r="AJ679" s="10">
        <f t="shared" si="106"/>
        <v>0.24338766642340201</v>
      </c>
    </row>
    <row r="680" spans="1:36" hidden="1" x14ac:dyDescent="0.25">
      <c r="A680" t="b">
        <v>0</v>
      </c>
      <c r="B680">
        <v>1000</v>
      </c>
      <c r="C680">
        <v>0.24338766642340201</v>
      </c>
      <c r="D680" t="s">
        <v>52</v>
      </c>
      <c r="E680" t="b">
        <v>1</v>
      </c>
      <c r="F680" t="s">
        <v>53</v>
      </c>
      <c r="G680">
        <v>7.4999999999999997E-2</v>
      </c>
      <c r="H680">
        <v>0.5</v>
      </c>
      <c r="I680">
        <v>1E-4</v>
      </c>
      <c r="J680" t="b">
        <v>1</v>
      </c>
      <c r="K680">
        <v>2</v>
      </c>
      <c r="L680">
        <v>1500</v>
      </c>
      <c r="M680">
        <v>0.25</v>
      </c>
      <c r="N680">
        <v>0.154</v>
      </c>
      <c r="O680" t="s">
        <v>337</v>
      </c>
      <c r="P680" t="s">
        <v>338</v>
      </c>
      <c r="Q680" s="1">
        <v>-5.8261560712805896E-6</v>
      </c>
      <c r="R680" s="1">
        <v>7.5039287007758104E-7</v>
      </c>
      <c r="S680" s="1">
        <v>1.76567022621318E-5</v>
      </c>
      <c r="T680" s="1">
        <v>-3.5370291873796903E-5</v>
      </c>
      <c r="U680">
        <v>2.0533796324070401</v>
      </c>
      <c r="V680" s="1">
        <v>2.2238263373357201E-15</v>
      </c>
      <c r="W680">
        <v>1.3014563803964201E-2</v>
      </c>
      <c r="X680">
        <v>2.11237978750153</v>
      </c>
      <c r="Y680">
        <v>0.57747233965809197</v>
      </c>
      <c r="Z680">
        <v>2.58586630448412E-4</v>
      </c>
      <c r="AA680">
        <v>0.57560571331633203</v>
      </c>
      <c r="AB680" s="9">
        <f t="shared" si="98"/>
        <v>-0.50080546396332615</v>
      </c>
      <c r="AC680" s="9">
        <f t="shared" si="99"/>
        <v>-0.50540410712752548</v>
      </c>
      <c r="AD680" s="2">
        <f t="shared" si="100"/>
        <v>9.1824939923899063E-3</v>
      </c>
      <c r="AE680" s="8">
        <f t="shared" si="101"/>
        <v>5.9124618839934272E-2</v>
      </c>
      <c r="AF680" s="2">
        <f t="shared" si="102"/>
        <v>-1.7222977659162308E-3</v>
      </c>
      <c r="AG680" s="8">
        <f t="shared" si="103"/>
        <v>6.0846916605850503E-2</v>
      </c>
      <c r="AH680" s="7">
        <f t="shared" si="104"/>
        <v>-2.8305423873370601E-2</v>
      </c>
      <c r="AI680">
        <f t="shared" si="105"/>
        <v>2</v>
      </c>
      <c r="AJ680" s="10">
        <f t="shared" si="106"/>
        <v>0.24338766642340201</v>
      </c>
    </row>
    <row r="681" spans="1:36" hidden="1" x14ac:dyDescent="0.25">
      <c r="A681" t="b">
        <v>0</v>
      </c>
      <c r="B681">
        <v>1000</v>
      </c>
      <c r="C681">
        <v>0.24338766642340201</v>
      </c>
      <c r="D681" t="s">
        <v>52</v>
      </c>
      <c r="E681" t="b">
        <v>1</v>
      </c>
      <c r="F681" t="s">
        <v>53</v>
      </c>
      <c r="G681">
        <v>7.4999999999999997E-2</v>
      </c>
      <c r="H681">
        <v>0.5</v>
      </c>
      <c r="I681">
        <v>1E-4</v>
      </c>
      <c r="J681" t="b">
        <v>1</v>
      </c>
      <c r="K681">
        <v>2</v>
      </c>
      <c r="L681">
        <v>1500</v>
      </c>
      <c r="M681">
        <v>0.25</v>
      </c>
      <c r="N681">
        <v>0.154</v>
      </c>
      <c r="O681" t="s">
        <v>337</v>
      </c>
      <c r="P681" t="s">
        <v>339</v>
      </c>
      <c r="Q681" s="1">
        <v>-4.6587812337991599E-5</v>
      </c>
      <c r="R681" s="1">
        <v>5.8575546281515704E-6</v>
      </c>
      <c r="S681">
        <v>1.41187558079299E-4</v>
      </c>
      <c r="T681">
        <v>-2.8276987650409998E-4</v>
      </c>
      <c r="U681">
        <v>2.0532892647979102</v>
      </c>
      <c r="V681" s="1">
        <v>2.2252979609722001E-15</v>
      </c>
      <c r="W681">
        <v>1.2925813261782401E-2</v>
      </c>
      <c r="X681">
        <v>2.1123620449163498</v>
      </c>
      <c r="Y681">
        <v>0.57381871050736499</v>
      </c>
      <c r="Z681">
        <v>2.5858712887364099E-4</v>
      </c>
      <c r="AA681">
        <v>0.56191847866880096</v>
      </c>
      <c r="AB681" s="9">
        <f t="shared" si="98"/>
        <v>-0.50069899988156219</v>
      </c>
      <c r="AC681" s="9">
        <f t="shared" si="99"/>
        <v>-0.50540410712752548</v>
      </c>
      <c r="AD681" s="2">
        <f t="shared" si="100"/>
        <v>9.3970773799754159E-3</v>
      </c>
      <c r="AE681" s="8">
        <f t="shared" si="101"/>
        <v>5.9084811820480046E-2</v>
      </c>
      <c r="AF681" s="2">
        <f t="shared" si="102"/>
        <v>-1.7621047853704566E-3</v>
      </c>
      <c r="AG681" s="8">
        <f t="shared" si="103"/>
        <v>6.0846916605850503E-2</v>
      </c>
      <c r="AH681" s="7">
        <f t="shared" si="104"/>
        <v>-2.8959639759314086E-2</v>
      </c>
      <c r="AI681">
        <f t="shared" si="105"/>
        <v>2</v>
      </c>
      <c r="AJ681" s="10">
        <f t="shared" si="106"/>
        <v>0.24338766642340201</v>
      </c>
    </row>
    <row r="682" spans="1:36" hidden="1" x14ac:dyDescent="0.25">
      <c r="A682" t="b">
        <v>0</v>
      </c>
      <c r="B682">
        <v>1000</v>
      </c>
      <c r="C682">
        <v>0.24338766642340201</v>
      </c>
      <c r="D682" t="s">
        <v>52</v>
      </c>
      <c r="E682" t="b">
        <v>1</v>
      </c>
      <c r="F682" t="s">
        <v>53</v>
      </c>
      <c r="G682">
        <v>7.4999999999999997E-2</v>
      </c>
      <c r="H682">
        <v>0.5</v>
      </c>
      <c r="I682">
        <v>1E-4</v>
      </c>
      <c r="J682" t="b">
        <v>1</v>
      </c>
      <c r="K682">
        <v>2</v>
      </c>
      <c r="L682">
        <v>1500</v>
      </c>
      <c r="M682">
        <v>0.25</v>
      </c>
      <c r="N682">
        <v>0.154</v>
      </c>
      <c r="O682" t="s">
        <v>338</v>
      </c>
      <c r="P682" t="s">
        <v>339</v>
      </c>
      <c r="Q682" s="1">
        <v>-4.0761656265707703E-5</v>
      </c>
      <c r="R682" s="1">
        <v>5.4883591945359303E-6</v>
      </c>
      <c r="S682">
        <v>1.23530855817167E-4</v>
      </c>
      <c r="T682">
        <v>-2.4739958463042597E-4</v>
      </c>
      <c r="U682">
        <v>2.0532763456937899</v>
      </c>
      <c r="V682" s="1">
        <v>2.22389879077946E-15</v>
      </c>
      <c r="W682">
        <v>1.5569346758420701E-2</v>
      </c>
      <c r="X682">
        <v>2.11235950771384</v>
      </c>
      <c r="Y682">
        <v>0.57884476931892004</v>
      </c>
      <c r="Z682">
        <v>2.5858719989043402E-4</v>
      </c>
      <c r="AA682">
        <v>0.60165242479848902</v>
      </c>
      <c r="AB682" s="9">
        <f t="shared" si="98"/>
        <v>-0.50068378259394564</v>
      </c>
      <c r="AC682" s="9">
        <f t="shared" si="99"/>
        <v>-0.50540410712752548</v>
      </c>
      <c r="AD682" s="2">
        <f t="shared" si="100"/>
        <v>9.4277559962592239E-3</v>
      </c>
      <c r="AE682" s="8">
        <f t="shared" si="101"/>
        <v>5.9079122306862818E-2</v>
      </c>
      <c r="AF682" s="2">
        <f t="shared" si="102"/>
        <v>-1.7677942989876849E-3</v>
      </c>
      <c r="AG682" s="8">
        <f t="shared" si="103"/>
        <v>6.0846916605850503E-2</v>
      </c>
      <c r="AH682" s="7">
        <f t="shared" si="104"/>
        <v>-2.9053145132052746E-2</v>
      </c>
      <c r="AI682">
        <f t="shared" si="105"/>
        <v>2</v>
      </c>
      <c r="AJ682" s="10">
        <f t="shared" si="106"/>
        <v>0.24338766642340201</v>
      </c>
    </row>
    <row r="683" spans="1:36" hidden="1" x14ac:dyDescent="0.25">
      <c r="A683" t="b">
        <v>0</v>
      </c>
      <c r="B683">
        <v>1000</v>
      </c>
      <c r="C683">
        <v>0.24338766642340201</v>
      </c>
      <c r="D683" t="s">
        <v>52</v>
      </c>
      <c r="E683" t="b">
        <v>1</v>
      </c>
      <c r="F683" t="s">
        <v>53</v>
      </c>
      <c r="G683">
        <v>7.4999999999999997E-2</v>
      </c>
      <c r="H683">
        <v>0.5</v>
      </c>
      <c r="I683">
        <v>1E-4</v>
      </c>
      <c r="J683" t="b">
        <v>1</v>
      </c>
      <c r="K683">
        <v>4</v>
      </c>
      <c r="L683">
        <v>1500</v>
      </c>
      <c r="M683">
        <v>0.25</v>
      </c>
      <c r="N683">
        <v>0.154</v>
      </c>
      <c r="O683" t="s">
        <v>340</v>
      </c>
      <c r="P683" t="s">
        <v>341</v>
      </c>
      <c r="Q683" s="1">
        <v>-1.95493979838092E-5</v>
      </c>
      <c r="R683" s="1">
        <v>4.6685935168190903E-5</v>
      </c>
      <c r="S683" s="1">
        <v>6.75104761640402E-5</v>
      </c>
      <c r="T683">
        <v>-3.9977446976379003E-4</v>
      </c>
      <c r="U683">
        <v>4.0174520715083402</v>
      </c>
      <c r="V683" s="1">
        <v>9.9999999999999905E-15</v>
      </c>
      <c r="W683">
        <v>0.15816312688590001</v>
      </c>
      <c r="X683">
        <v>2.4999999999999898</v>
      </c>
      <c r="Y683">
        <v>7.3268786481739401</v>
      </c>
      <c r="Z683">
        <v>0.49999999998644701</v>
      </c>
      <c r="AA683">
        <v>13.2250632533699</v>
      </c>
      <c r="AB683" s="9">
        <f t="shared" si="98"/>
        <v>-0.37010410502104779</v>
      </c>
      <c r="AC683" s="9">
        <f t="shared" si="99"/>
        <v>-0.37828473228193571</v>
      </c>
      <c r="AD683" s="2">
        <f t="shared" si="100"/>
        <v>2.2103584234556717E-2</v>
      </c>
      <c r="AE683" s="8">
        <f t="shared" si="101"/>
        <v>1.2409020313510245E-2</v>
      </c>
      <c r="AF683" s="2">
        <f t="shared" si="102"/>
        <v>-2.8027088379523803E-3</v>
      </c>
      <c r="AG683" s="8">
        <f t="shared" si="103"/>
        <v>1.5211729151462626E-2</v>
      </c>
      <c r="AH683" s="7">
        <f t="shared" si="104"/>
        <v>-0.18424656461115707</v>
      </c>
      <c r="AI683">
        <f t="shared" si="105"/>
        <v>4</v>
      </c>
      <c r="AJ683" s="10">
        <f t="shared" si="106"/>
        <v>0.24338766642340201</v>
      </c>
    </row>
    <row r="684" spans="1:36" hidden="1" x14ac:dyDescent="0.25">
      <c r="A684" t="b">
        <v>0</v>
      </c>
      <c r="B684">
        <v>1000</v>
      </c>
      <c r="C684">
        <v>0.24338766642340201</v>
      </c>
      <c r="D684" t="s">
        <v>52</v>
      </c>
      <c r="E684" t="b">
        <v>1</v>
      </c>
      <c r="F684" t="s">
        <v>53</v>
      </c>
      <c r="G684">
        <v>7.4999999999999997E-2</v>
      </c>
      <c r="H684">
        <v>0.5</v>
      </c>
      <c r="I684">
        <v>1E-4</v>
      </c>
      <c r="J684" t="b">
        <v>1</v>
      </c>
      <c r="K684">
        <v>4</v>
      </c>
      <c r="L684">
        <v>1500</v>
      </c>
      <c r="M684">
        <v>0.25</v>
      </c>
      <c r="N684">
        <v>0.154</v>
      </c>
      <c r="O684" t="s">
        <v>340</v>
      </c>
      <c r="P684" t="s">
        <v>342</v>
      </c>
      <c r="Q684">
        <v>-1.5627853272530699E-4</v>
      </c>
      <c r="R684">
        <v>3.6709797695933801E-4</v>
      </c>
      <c r="S684">
        <v>5.3964462007888596E-4</v>
      </c>
      <c r="T684">
        <v>-3.1938831584031602E-3</v>
      </c>
      <c r="U684">
        <v>4.0169303745101104</v>
      </c>
      <c r="V684" s="1">
        <v>9.9999999999999101E-15</v>
      </c>
      <c r="W684">
        <v>0.15607101521588701</v>
      </c>
      <c r="X684">
        <v>2.4999999999999898</v>
      </c>
      <c r="Y684">
        <v>7.2076468087703303</v>
      </c>
      <c r="Z684">
        <v>0.49999999988125299</v>
      </c>
      <c r="AA684">
        <v>13.0089557602199</v>
      </c>
      <c r="AB684" s="9">
        <f t="shared" si="98"/>
        <v>-0.36990584168339735</v>
      </c>
      <c r="AC684" s="9">
        <f t="shared" si="99"/>
        <v>-0.37828473228193571</v>
      </c>
      <c r="AD684" s="2">
        <f t="shared" si="100"/>
        <v>2.2651414642188561E-2</v>
      </c>
      <c r="AE684" s="8">
        <f t="shared" si="101"/>
        <v>1.2341286720567501E-2</v>
      </c>
      <c r="AF684" s="2">
        <f t="shared" si="102"/>
        <v>-2.8704424308951242E-3</v>
      </c>
      <c r="AG684" s="8">
        <f t="shared" si="103"/>
        <v>1.5211729151462626E-2</v>
      </c>
      <c r="AH684" s="7">
        <f t="shared" si="104"/>
        <v>-0.18869928607814634</v>
      </c>
      <c r="AI684">
        <f t="shared" si="105"/>
        <v>4</v>
      </c>
      <c r="AJ684" s="10">
        <f t="shared" si="106"/>
        <v>0.24338766642340201</v>
      </c>
    </row>
    <row r="685" spans="1:36" hidden="1" x14ac:dyDescent="0.25">
      <c r="A685" t="b">
        <v>0</v>
      </c>
      <c r="B685">
        <v>1000</v>
      </c>
      <c r="C685">
        <v>0.24338766642340201</v>
      </c>
      <c r="D685" t="s">
        <v>52</v>
      </c>
      <c r="E685" t="b">
        <v>1</v>
      </c>
      <c r="F685" t="s">
        <v>53</v>
      </c>
      <c r="G685">
        <v>7.4999999999999997E-2</v>
      </c>
      <c r="H685">
        <v>0.5</v>
      </c>
      <c r="I685">
        <v>1E-4</v>
      </c>
      <c r="J685" t="b">
        <v>1</v>
      </c>
      <c r="K685">
        <v>4</v>
      </c>
      <c r="L685">
        <v>1500</v>
      </c>
      <c r="M685">
        <v>0.25</v>
      </c>
      <c r="N685">
        <v>0.154</v>
      </c>
      <c r="O685" t="s">
        <v>340</v>
      </c>
      <c r="P685" t="s">
        <v>343</v>
      </c>
      <c r="Q685" s="1">
        <v>-1.95493979838096E-5</v>
      </c>
      <c r="R685" s="1">
        <v>4.77110328566684E-5</v>
      </c>
      <c r="S685" s="1">
        <v>6.75104761640431E-5</v>
      </c>
      <c r="T685">
        <v>-3.9977446976395E-4</v>
      </c>
      <c r="U685">
        <v>4.0174520715013298</v>
      </c>
      <c r="V685" s="1">
        <v>9.9999999999999905E-15</v>
      </c>
      <c r="W685">
        <v>0.16208186057096</v>
      </c>
      <c r="X685">
        <v>2.4999999999999898</v>
      </c>
      <c r="Y685">
        <v>7.4715337320539703</v>
      </c>
      <c r="Z685">
        <v>0.49999999998644801</v>
      </c>
      <c r="AA685">
        <v>13.520179029759101</v>
      </c>
      <c r="AB685" s="9">
        <f t="shared" si="98"/>
        <v>-0.37010410502117996</v>
      </c>
      <c r="AC685" s="9">
        <f t="shared" si="99"/>
        <v>-0.37828473228193571</v>
      </c>
      <c r="AD685" s="2">
        <f t="shared" si="100"/>
        <v>2.2103584234191676E-2</v>
      </c>
      <c r="AE685" s="8">
        <f t="shared" si="101"/>
        <v>1.2409020313555409E-2</v>
      </c>
      <c r="AF685" s="2">
        <f t="shared" si="102"/>
        <v>-2.8027088379072168E-3</v>
      </c>
      <c r="AG685" s="8">
        <f t="shared" si="103"/>
        <v>1.5211729151462626E-2</v>
      </c>
      <c r="AH685" s="7">
        <f t="shared" si="104"/>
        <v>-0.18424656460818808</v>
      </c>
      <c r="AI685">
        <f t="shared" si="105"/>
        <v>4</v>
      </c>
      <c r="AJ685" s="10">
        <f t="shared" si="106"/>
        <v>0.24338766642340201</v>
      </c>
    </row>
    <row r="686" spans="1:36" hidden="1" x14ac:dyDescent="0.25">
      <c r="A686" t="b">
        <v>0</v>
      </c>
      <c r="B686">
        <v>1000</v>
      </c>
      <c r="C686">
        <v>0.24338766642340201</v>
      </c>
      <c r="D686" t="s">
        <v>52</v>
      </c>
      <c r="E686" t="b">
        <v>1</v>
      </c>
      <c r="F686" t="s">
        <v>53</v>
      </c>
      <c r="G686">
        <v>7.4999999999999997E-2</v>
      </c>
      <c r="H686">
        <v>0.5</v>
      </c>
      <c r="I686">
        <v>1E-4</v>
      </c>
      <c r="J686" t="b">
        <v>1</v>
      </c>
      <c r="K686">
        <v>4</v>
      </c>
      <c r="L686">
        <v>1500</v>
      </c>
      <c r="M686">
        <v>0.25</v>
      </c>
      <c r="N686">
        <v>0.154</v>
      </c>
      <c r="O686" t="s">
        <v>340</v>
      </c>
      <c r="P686" t="s">
        <v>344</v>
      </c>
      <c r="Q686" s="1">
        <v>-3.9098753909726203E-5</v>
      </c>
      <c r="R686" s="1">
        <v>9.2789254311041296E-5</v>
      </c>
      <c r="S686">
        <v>1.3502066808745799E-4</v>
      </c>
      <c r="T686">
        <v>-7.9954071000294604E-4</v>
      </c>
      <c r="U686">
        <v>4.0173774381833898</v>
      </c>
      <c r="V686" s="1">
        <v>9.9999999999999795E-15</v>
      </c>
      <c r="W686">
        <v>0.15861402377122</v>
      </c>
      <c r="X686">
        <v>2.4999999999999898</v>
      </c>
      <c r="Y686">
        <v>7.2635815242727597</v>
      </c>
      <c r="Z686">
        <v>0.49999999995640998</v>
      </c>
      <c r="AA686">
        <v>13.1505008656708</v>
      </c>
      <c r="AB686" s="9">
        <f t="shared" si="98"/>
        <v>-0.37010107476890747</v>
      </c>
      <c r="AC686" s="9">
        <f t="shared" si="99"/>
        <v>-0.37828473228193571</v>
      </c>
      <c r="AD686" s="2">
        <f t="shared" si="100"/>
        <v>2.2111952844606542E-2</v>
      </c>
      <c r="AE686" s="8">
        <f t="shared" si="101"/>
        <v>1.240798500667872E-2</v>
      </c>
      <c r="AF686" s="2">
        <f t="shared" si="102"/>
        <v>-2.8037441447839057E-3</v>
      </c>
      <c r="AG686" s="8">
        <f t="shared" si="103"/>
        <v>1.5211729151462626E-2</v>
      </c>
      <c r="AH686" s="7">
        <f t="shared" si="104"/>
        <v>-0.18431462438406107</v>
      </c>
      <c r="AI686">
        <f t="shared" si="105"/>
        <v>4</v>
      </c>
      <c r="AJ686" s="10">
        <f t="shared" si="106"/>
        <v>0.24338766642340201</v>
      </c>
    </row>
    <row r="687" spans="1:36" hidden="1" x14ac:dyDescent="0.25">
      <c r="A687" t="b">
        <v>0</v>
      </c>
      <c r="B687">
        <v>1000</v>
      </c>
      <c r="C687">
        <v>0.24338766642340201</v>
      </c>
      <c r="D687" t="s">
        <v>52</v>
      </c>
      <c r="E687" t="b">
        <v>1</v>
      </c>
      <c r="F687" t="s">
        <v>53</v>
      </c>
      <c r="G687">
        <v>7.4999999999999997E-2</v>
      </c>
      <c r="H687">
        <v>0.5</v>
      </c>
      <c r="I687">
        <v>1E-4</v>
      </c>
      <c r="J687" t="b">
        <v>1</v>
      </c>
      <c r="K687">
        <v>4</v>
      </c>
      <c r="L687">
        <v>1500</v>
      </c>
      <c r="M687">
        <v>0.25</v>
      </c>
      <c r="N687">
        <v>0.154</v>
      </c>
      <c r="O687" t="s">
        <v>340</v>
      </c>
      <c r="P687" t="s">
        <v>345</v>
      </c>
      <c r="Q687">
        <v>-1.7582759464157099E-4</v>
      </c>
      <c r="R687">
        <v>3.8291365573412197E-4</v>
      </c>
      <c r="S687">
        <v>6.0715282525313104E-4</v>
      </c>
      <c r="T687">
        <v>-3.5935918905615101E-3</v>
      </c>
      <c r="U687">
        <v>4.0168557325377403</v>
      </c>
      <c r="V687" s="1">
        <v>9.9999999999999101E-15</v>
      </c>
      <c r="W687">
        <v>0.143220706096261</v>
      </c>
      <c r="X687">
        <v>2.4999999999999898</v>
      </c>
      <c r="Y687">
        <v>6.7431719863900801</v>
      </c>
      <c r="Z687">
        <v>0.499999999879426</v>
      </c>
      <c r="AA687">
        <v>12.0408434146332</v>
      </c>
      <c r="AB687" s="9">
        <f t="shared" si="98"/>
        <v>-0.36992250355823597</v>
      </c>
      <c r="AC687" s="9">
        <f t="shared" si="99"/>
        <v>-0.37828473228193571</v>
      </c>
      <c r="AD687" s="2">
        <f t="shared" si="100"/>
        <v>2.2605352859760064E-2</v>
      </c>
      <c r="AE687" s="8">
        <f t="shared" si="101"/>
        <v>1.2346978642741729E-2</v>
      </c>
      <c r="AF687" s="2">
        <f t="shared" si="102"/>
        <v>-2.8647505087208962E-3</v>
      </c>
      <c r="AG687" s="8">
        <f t="shared" si="103"/>
        <v>1.5211729151462626E-2</v>
      </c>
      <c r="AH687" s="7">
        <f t="shared" si="104"/>
        <v>-0.1883251062516747</v>
      </c>
      <c r="AI687">
        <f t="shared" si="105"/>
        <v>4</v>
      </c>
      <c r="AJ687" s="10">
        <f t="shared" si="106"/>
        <v>0.24338766642340201</v>
      </c>
    </row>
    <row r="688" spans="1:36" hidden="1" x14ac:dyDescent="0.25">
      <c r="A688" t="b">
        <v>0</v>
      </c>
      <c r="B688">
        <v>1000</v>
      </c>
      <c r="C688">
        <v>0.24338766642340201</v>
      </c>
      <c r="D688" t="s">
        <v>52</v>
      </c>
      <c r="E688" t="b">
        <v>1</v>
      </c>
      <c r="F688" t="s">
        <v>53</v>
      </c>
      <c r="G688">
        <v>7.4999999999999997E-2</v>
      </c>
      <c r="H688">
        <v>0.5</v>
      </c>
      <c r="I688">
        <v>1E-4</v>
      </c>
      <c r="J688" t="b">
        <v>1</v>
      </c>
      <c r="K688">
        <v>4</v>
      </c>
      <c r="L688">
        <v>1500</v>
      </c>
      <c r="M688">
        <v>0.25</v>
      </c>
      <c r="N688">
        <v>0.154</v>
      </c>
      <c r="O688" t="s">
        <v>340</v>
      </c>
      <c r="P688" t="s">
        <v>346</v>
      </c>
      <c r="Q688">
        <v>-1.5627853272531599E-4</v>
      </c>
      <c r="R688">
        <v>3.8309967233943301E-4</v>
      </c>
      <c r="S688">
        <v>5.3964462007888802E-4</v>
      </c>
      <c r="T688">
        <v>-3.1938831584031602E-3</v>
      </c>
      <c r="U688">
        <v>4.0169303745001503</v>
      </c>
      <c r="V688" s="1">
        <v>9.9999999999999101E-15</v>
      </c>
      <c r="W688">
        <v>0.16283503580064801</v>
      </c>
      <c r="X688">
        <v>2.4999999999999898</v>
      </c>
      <c r="Y688">
        <v>7.5010414097215703</v>
      </c>
      <c r="Z688">
        <v>0.49999999988125698</v>
      </c>
      <c r="AA688">
        <v>13.5813907751025</v>
      </c>
      <c r="AB688" s="9">
        <f t="shared" si="98"/>
        <v>-0.36990584168339596</v>
      </c>
      <c r="AC688" s="9">
        <f t="shared" si="99"/>
        <v>-0.37828473228193571</v>
      </c>
      <c r="AD688" s="2">
        <f t="shared" si="100"/>
        <v>2.2651414642192336E-2</v>
      </c>
      <c r="AE688" s="8">
        <f t="shared" si="101"/>
        <v>1.2341286720567023E-2</v>
      </c>
      <c r="AF688" s="2">
        <f t="shared" si="102"/>
        <v>-2.870442430895603E-3</v>
      </c>
      <c r="AG688" s="8">
        <f t="shared" si="103"/>
        <v>1.5211729151462626E-2</v>
      </c>
      <c r="AH688" s="7">
        <f t="shared" si="104"/>
        <v>-0.18869928607817782</v>
      </c>
      <c r="AI688">
        <f t="shared" si="105"/>
        <v>4</v>
      </c>
      <c r="AJ688" s="10">
        <f t="shared" si="106"/>
        <v>0.24338766642340201</v>
      </c>
    </row>
    <row r="689" spans="1:36" hidden="1" x14ac:dyDescent="0.25">
      <c r="A689" t="b">
        <v>0</v>
      </c>
      <c r="B689">
        <v>1000</v>
      </c>
      <c r="C689">
        <v>0.24338766642340201</v>
      </c>
      <c r="D689" t="s">
        <v>52</v>
      </c>
      <c r="E689" t="b">
        <v>1</v>
      </c>
      <c r="F689" t="s">
        <v>53</v>
      </c>
      <c r="G689">
        <v>7.4999999999999997E-2</v>
      </c>
      <c r="H689">
        <v>0.5</v>
      </c>
      <c r="I689">
        <v>1E-4</v>
      </c>
      <c r="J689" t="b">
        <v>1</v>
      </c>
      <c r="K689">
        <v>4</v>
      </c>
      <c r="L689">
        <v>1500</v>
      </c>
      <c r="M689">
        <v>0.25</v>
      </c>
      <c r="N689">
        <v>0.154</v>
      </c>
      <c r="O689" t="s">
        <v>340</v>
      </c>
      <c r="P689" t="s">
        <v>347</v>
      </c>
      <c r="Q689">
        <v>-1.7582759464157199E-4</v>
      </c>
      <c r="R689">
        <v>3.9330353834242002E-4</v>
      </c>
      <c r="S689">
        <v>6.0715282525314101E-4</v>
      </c>
      <c r="T689">
        <v>-3.5935918905618601E-3</v>
      </c>
      <c r="U689">
        <v>4.0168557325268903</v>
      </c>
      <c r="V689" s="1">
        <v>9.9999999999999101E-15</v>
      </c>
      <c r="W689">
        <v>0.14832541268393701</v>
      </c>
      <c r="X689">
        <v>2.4999999999999898</v>
      </c>
      <c r="Y689">
        <v>6.8942930854806104</v>
      </c>
      <c r="Z689">
        <v>0.499999999879432</v>
      </c>
      <c r="AA689">
        <v>12.378965625355599</v>
      </c>
      <c r="AB689" s="9">
        <f t="shared" si="98"/>
        <v>-0.36992250355826589</v>
      </c>
      <c r="AC689" s="9">
        <f t="shared" si="99"/>
        <v>-0.37828473228193571</v>
      </c>
      <c r="AD689" s="2">
        <f t="shared" si="100"/>
        <v>2.2605352859677241E-2</v>
      </c>
      <c r="AE689" s="8">
        <f t="shared" si="101"/>
        <v>1.2346978642751945E-2</v>
      </c>
      <c r="AF689" s="2">
        <f t="shared" si="102"/>
        <v>-2.8647505087106805E-3</v>
      </c>
      <c r="AG689" s="8">
        <f t="shared" si="103"/>
        <v>1.5211729151462626E-2</v>
      </c>
      <c r="AH689" s="7">
        <f t="shared" si="104"/>
        <v>-0.18832510625100313</v>
      </c>
      <c r="AI689">
        <f t="shared" si="105"/>
        <v>4</v>
      </c>
      <c r="AJ689" s="10">
        <f t="shared" si="106"/>
        <v>0.24338766642340201</v>
      </c>
    </row>
    <row r="690" spans="1:36" hidden="1" x14ac:dyDescent="0.25">
      <c r="A690" t="b">
        <v>0</v>
      </c>
      <c r="B690">
        <v>1000</v>
      </c>
      <c r="C690">
        <v>0.24338766642340201</v>
      </c>
      <c r="D690" t="s">
        <v>52</v>
      </c>
      <c r="E690" t="b">
        <v>1</v>
      </c>
      <c r="F690" t="s">
        <v>53</v>
      </c>
      <c r="G690">
        <v>7.4999999999999997E-2</v>
      </c>
      <c r="H690">
        <v>0.5</v>
      </c>
      <c r="I690">
        <v>1E-4</v>
      </c>
      <c r="J690" t="b">
        <v>1</v>
      </c>
      <c r="K690">
        <v>4</v>
      </c>
      <c r="L690">
        <v>1500</v>
      </c>
      <c r="M690">
        <v>0.25</v>
      </c>
      <c r="N690">
        <v>0.154</v>
      </c>
      <c r="O690" t="s">
        <v>340</v>
      </c>
      <c r="P690" t="s">
        <v>348</v>
      </c>
      <c r="Q690">
        <v>-3.1255437979845998E-4</v>
      </c>
      <c r="R690">
        <v>7.6742061068976297E-4</v>
      </c>
      <c r="S690">
        <v>1.0792710956902601E-3</v>
      </c>
      <c r="T690">
        <v>-6.3872412035487604E-3</v>
      </c>
      <c r="U690">
        <v>4.0163339663901496</v>
      </c>
      <c r="V690" s="1">
        <v>9.9999999999998801E-15</v>
      </c>
      <c r="W690">
        <v>0.162520669626874</v>
      </c>
      <c r="X690">
        <v>2.4999999999999898</v>
      </c>
      <c r="Y690">
        <v>7.5198002743613097</v>
      </c>
      <c r="Z690">
        <v>0.499999999864916</v>
      </c>
      <c r="AA690">
        <v>13.600556654564301</v>
      </c>
      <c r="AB690" s="9">
        <f t="shared" si="98"/>
        <v>-0.36988165143668839</v>
      </c>
      <c r="AC690" s="9">
        <f t="shared" si="99"/>
        <v>-0.37828473228193571</v>
      </c>
      <c r="AD690" s="2">
        <f t="shared" si="100"/>
        <v>2.2718296007947947E-2</v>
      </c>
      <c r="AE690" s="8">
        <f t="shared" si="101"/>
        <v>1.2333023118488521E-2</v>
      </c>
      <c r="AF690" s="2">
        <f t="shared" si="102"/>
        <v>-2.8787060329741043E-3</v>
      </c>
      <c r="AG690" s="8">
        <f t="shared" si="103"/>
        <v>1.5211729151462626E-2</v>
      </c>
      <c r="AH690" s="7">
        <f t="shared" si="104"/>
        <v>-0.18924252491685425</v>
      </c>
      <c r="AI690">
        <f t="shared" si="105"/>
        <v>4</v>
      </c>
      <c r="AJ690" s="10">
        <f t="shared" si="106"/>
        <v>0.24338766642340201</v>
      </c>
    </row>
    <row r="691" spans="1:36" hidden="1" x14ac:dyDescent="0.25">
      <c r="A691" t="b">
        <v>0</v>
      </c>
      <c r="B691">
        <v>1000</v>
      </c>
      <c r="C691">
        <v>0.24338766642340201</v>
      </c>
      <c r="D691" t="s">
        <v>52</v>
      </c>
      <c r="E691" t="b">
        <v>1</v>
      </c>
      <c r="F691" t="s">
        <v>53</v>
      </c>
      <c r="G691">
        <v>7.4999999999999997E-2</v>
      </c>
      <c r="H691">
        <v>0.5</v>
      </c>
      <c r="I691">
        <v>1E-4</v>
      </c>
      <c r="J691" t="b">
        <v>1</v>
      </c>
      <c r="K691">
        <v>4</v>
      </c>
      <c r="L691">
        <v>1500</v>
      </c>
      <c r="M691">
        <v>0.25</v>
      </c>
      <c r="N691">
        <v>0.154</v>
      </c>
      <c r="O691" t="s">
        <v>341</v>
      </c>
      <c r="P691" t="s">
        <v>342</v>
      </c>
      <c r="Q691">
        <v>-1.3672913475502499E-4</v>
      </c>
      <c r="R691">
        <v>3.5212939925300199E-4</v>
      </c>
      <c r="S691">
        <v>4.7213414391485001E-4</v>
      </c>
      <c r="T691">
        <v>-2.7941086886394502E-3</v>
      </c>
      <c r="U691">
        <v>4.0168557424609501</v>
      </c>
      <c r="V691" s="1">
        <v>9.9999999999999101E-15</v>
      </c>
      <c r="W691">
        <v>0.17243501349099899</v>
      </c>
      <c r="X691">
        <v>2.4999999999999898</v>
      </c>
      <c r="Y691">
        <v>7.8352414330426203</v>
      </c>
      <c r="Z691">
        <v>0.49999999988298999</v>
      </c>
      <c r="AA691">
        <v>14.283604802979999</v>
      </c>
      <c r="AB691" s="9">
        <f t="shared" si="98"/>
        <v>-0.36987749200248626</v>
      </c>
      <c r="AC691" s="9">
        <f t="shared" si="99"/>
        <v>-0.37828473228193571</v>
      </c>
      <c r="AD691" s="2">
        <f t="shared" si="100"/>
        <v>2.272979692257926E-2</v>
      </c>
      <c r="AE691" s="8">
        <f t="shared" si="101"/>
        <v>1.2331602232595251E-2</v>
      </c>
      <c r="AF691" s="2">
        <f t="shared" si="102"/>
        <v>-2.8801269188673748E-3</v>
      </c>
      <c r="AG691" s="8">
        <f t="shared" si="103"/>
        <v>1.5211729151462626E-2</v>
      </c>
      <c r="AH691" s="7">
        <f t="shared" si="104"/>
        <v>-0.18933593217378888</v>
      </c>
      <c r="AI691">
        <f t="shared" si="105"/>
        <v>4</v>
      </c>
      <c r="AJ691" s="10">
        <f t="shared" si="106"/>
        <v>0.24338766642340201</v>
      </c>
    </row>
    <row r="692" spans="1:36" hidden="1" x14ac:dyDescent="0.25">
      <c r="A692" t="b">
        <v>0</v>
      </c>
      <c r="B692">
        <v>1000</v>
      </c>
      <c r="C692">
        <v>0.24338766642340201</v>
      </c>
      <c r="D692" t="s">
        <v>52</v>
      </c>
      <c r="E692" t="b">
        <v>1</v>
      </c>
      <c r="F692" t="s">
        <v>53</v>
      </c>
      <c r="G692">
        <v>7.4999999999999997E-2</v>
      </c>
      <c r="H692">
        <v>0.5</v>
      </c>
      <c r="I692">
        <v>1E-4</v>
      </c>
      <c r="J692" t="b">
        <v>1</v>
      </c>
      <c r="K692">
        <v>4</v>
      </c>
      <c r="L692">
        <v>1500</v>
      </c>
      <c r="M692">
        <v>0.25</v>
      </c>
      <c r="N692">
        <v>0.154</v>
      </c>
      <c r="O692" t="s">
        <v>341</v>
      </c>
      <c r="P692" t="s">
        <v>344</v>
      </c>
      <c r="Q692" s="1">
        <v>-1.95493559332866E-5</v>
      </c>
      <c r="R692" s="1">
        <v>4.6352882733418201E-5</v>
      </c>
      <c r="S692" s="1">
        <v>6.7510191923420199E-5</v>
      </c>
      <c r="T692">
        <v>-3.9976624023929902E-4</v>
      </c>
      <c r="U692">
        <v>4.0173028061342304</v>
      </c>
      <c r="V692" s="1">
        <v>9.9999999999999905E-15</v>
      </c>
      <c r="W692">
        <v>0.15873738416036401</v>
      </c>
      <c r="X692">
        <v>2.4999999999999898</v>
      </c>
      <c r="Y692">
        <v>7.2547561668608997</v>
      </c>
      <c r="Z692">
        <v>0.49999999998644201</v>
      </c>
      <c r="AA692">
        <v>13.139369155157899</v>
      </c>
      <c r="AB692" s="9">
        <f t="shared" si="98"/>
        <v>-0.37009804450412798</v>
      </c>
      <c r="AC692" s="9">
        <f t="shared" si="99"/>
        <v>-0.37828473228193571</v>
      </c>
      <c r="AD692" s="2">
        <f t="shared" si="100"/>
        <v>2.2120321626601935E-2</v>
      </c>
      <c r="AE692" s="8">
        <f t="shared" si="101"/>
        <v>1.2406949697646396E-2</v>
      </c>
      <c r="AF692" s="2">
        <f t="shared" si="102"/>
        <v>-2.8047794538162297E-3</v>
      </c>
      <c r="AG692" s="8">
        <f t="shared" si="103"/>
        <v>1.5211729151462626E-2</v>
      </c>
      <c r="AH692" s="7">
        <f t="shared" si="104"/>
        <v>-0.18438268430164279</v>
      </c>
      <c r="AI692">
        <f t="shared" si="105"/>
        <v>4</v>
      </c>
      <c r="AJ692" s="10">
        <f t="shared" si="106"/>
        <v>0.24338766642340201</v>
      </c>
    </row>
    <row r="693" spans="1:36" hidden="1" x14ac:dyDescent="0.25">
      <c r="A693" t="b">
        <v>0</v>
      </c>
      <c r="B693">
        <v>1000</v>
      </c>
      <c r="C693">
        <v>0.24338766642340201</v>
      </c>
      <c r="D693" t="s">
        <v>52</v>
      </c>
      <c r="E693" t="b">
        <v>1</v>
      </c>
      <c r="F693" t="s">
        <v>53</v>
      </c>
      <c r="G693">
        <v>7.4999999999999997E-2</v>
      </c>
      <c r="H693">
        <v>0.5</v>
      </c>
      <c r="I693">
        <v>1E-4</v>
      </c>
      <c r="J693" t="b">
        <v>1</v>
      </c>
      <c r="K693">
        <v>4</v>
      </c>
      <c r="L693">
        <v>1500</v>
      </c>
      <c r="M693">
        <v>0.25</v>
      </c>
      <c r="N693">
        <v>0.154</v>
      </c>
      <c r="O693" t="s">
        <v>341</v>
      </c>
      <c r="P693" t="s">
        <v>345</v>
      </c>
      <c r="Q693">
        <v>-1.56278196671647E-4</v>
      </c>
      <c r="R693">
        <v>3.69718776817799E-4</v>
      </c>
      <c r="S693">
        <v>5.3964234908909E-4</v>
      </c>
      <c r="T693">
        <v>-3.19381742079768E-3</v>
      </c>
      <c r="U693">
        <v>4.0167811004885801</v>
      </c>
      <c r="V693" s="1">
        <v>9.9999999999999101E-15</v>
      </c>
      <c r="W693">
        <v>0.15817835094334401</v>
      </c>
      <c r="X693">
        <v>2.4999999999999898</v>
      </c>
      <c r="Y693">
        <v>7.24064001407476</v>
      </c>
      <c r="Z693">
        <v>0.49999999988121102</v>
      </c>
      <c r="AA693">
        <v>13.1091007900426</v>
      </c>
      <c r="AB693" s="9">
        <f t="shared" si="98"/>
        <v>-0.36989978480525187</v>
      </c>
      <c r="AC693" s="9">
        <f t="shared" si="99"/>
        <v>-0.37828473228193571</v>
      </c>
      <c r="AD693" s="2">
        <f t="shared" si="100"/>
        <v>2.2668159920932185E-2</v>
      </c>
      <c r="AE693" s="8">
        <f t="shared" si="101"/>
        <v>1.2339217624799066E-2</v>
      </c>
      <c r="AF693" s="2">
        <f t="shared" si="102"/>
        <v>-2.8725115266635595E-3</v>
      </c>
      <c r="AG693" s="8">
        <f t="shared" si="103"/>
        <v>1.5211729151462626E-2</v>
      </c>
      <c r="AH693" s="7">
        <f t="shared" si="104"/>
        <v>-0.18883530583946559</v>
      </c>
      <c r="AI693">
        <f t="shared" si="105"/>
        <v>4</v>
      </c>
      <c r="AJ693" s="10">
        <f t="shared" si="106"/>
        <v>0.24338766642340201</v>
      </c>
    </row>
    <row r="694" spans="1:36" hidden="1" x14ac:dyDescent="0.25">
      <c r="A694" t="b">
        <v>0</v>
      </c>
      <c r="B694">
        <v>1000</v>
      </c>
      <c r="C694">
        <v>0.24338766642340201</v>
      </c>
      <c r="D694" t="s">
        <v>52</v>
      </c>
      <c r="E694" t="b">
        <v>1</v>
      </c>
      <c r="F694" t="s">
        <v>53</v>
      </c>
      <c r="G694">
        <v>7.4999999999999997E-2</v>
      </c>
      <c r="H694">
        <v>0.5</v>
      </c>
      <c r="I694">
        <v>1E-4</v>
      </c>
      <c r="J694" t="b">
        <v>1</v>
      </c>
      <c r="K694">
        <v>4</v>
      </c>
      <c r="L694">
        <v>1500</v>
      </c>
      <c r="M694">
        <v>0.25</v>
      </c>
      <c r="N694">
        <v>0.154</v>
      </c>
      <c r="O694" t="s">
        <v>341</v>
      </c>
      <c r="P694" t="s">
        <v>346</v>
      </c>
      <c r="Q694">
        <v>-1.3672913475502101E-4</v>
      </c>
      <c r="R694">
        <v>3.4501635047441302E-4</v>
      </c>
      <c r="S694">
        <v>4.7213414391485597E-4</v>
      </c>
      <c r="T694">
        <v>-2.7941086886396002E-3</v>
      </c>
      <c r="U694">
        <v>4.0168557424509901</v>
      </c>
      <c r="V694" s="1">
        <v>9.9999999999999101E-15</v>
      </c>
      <c r="W694">
        <v>0.17208481588229499</v>
      </c>
      <c r="X694">
        <v>2.4999999999999898</v>
      </c>
      <c r="Y694">
        <v>7.6373482128802097</v>
      </c>
      <c r="Z694">
        <v>0.49999999988298599</v>
      </c>
      <c r="AA694">
        <v>14.013409470204801</v>
      </c>
      <c r="AB694" s="9">
        <f t="shared" si="98"/>
        <v>-0.36987749200250147</v>
      </c>
      <c r="AC694" s="9">
        <f t="shared" si="99"/>
        <v>-0.37828473228193571</v>
      </c>
      <c r="AD694" s="2">
        <f t="shared" si="100"/>
        <v>2.2729796922537293E-2</v>
      </c>
      <c r="AE694" s="8">
        <f t="shared" si="101"/>
        <v>1.233160223260046E-2</v>
      </c>
      <c r="AF694" s="2">
        <f t="shared" si="102"/>
        <v>-2.8801269188621654E-3</v>
      </c>
      <c r="AG694" s="8">
        <f t="shared" si="103"/>
        <v>1.5211729151462626E-2</v>
      </c>
      <c r="AH694" s="7">
        <f t="shared" si="104"/>
        <v>-0.18933593217344641</v>
      </c>
      <c r="AI694">
        <f t="shared" si="105"/>
        <v>4</v>
      </c>
      <c r="AJ694" s="10">
        <f t="shared" si="106"/>
        <v>0.24338766642340201</v>
      </c>
    </row>
    <row r="695" spans="1:36" hidden="1" x14ac:dyDescent="0.25">
      <c r="A695" t="b">
        <v>0</v>
      </c>
      <c r="B695">
        <v>1000</v>
      </c>
      <c r="C695">
        <v>0.24338766642340201</v>
      </c>
      <c r="D695" t="s">
        <v>52</v>
      </c>
      <c r="E695" t="b">
        <v>1</v>
      </c>
      <c r="F695" t="s">
        <v>53</v>
      </c>
      <c r="G695">
        <v>7.4999999999999997E-2</v>
      </c>
      <c r="H695">
        <v>0.5</v>
      </c>
      <c r="I695">
        <v>1E-4</v>
      </c>
      <c r="J695" t="b">
        <v>1</v>
      </c>
      <c r="K695">
        <v>4</v>
      </c>
      <c r="L695">
        <v>1500</v>
      </c>
      <c r="M695">
        <v>0.25</v>
      </c>
      <c r="N695">
        <v>0.154</v>
      </c>
      <c r="O695" t="s">
        <v>341</v>
      </c>
      <c r="P695" t="s">
        <v>347</v>
      </c>
      <c r="Q695">
        <v>-1.5627819667164599E-4</v>
      </c>
      <c r="R695">
        <v>3.6957650502574398E-4</v>
      </c>
      <c r="S695">
        <v>5.3964234908909596E-4</v>
      </c>
      <c r="T695">
        <v>-3.19381742079784E-3</v>
      </c>
      <c r="U695">
        <v>4.0167811004777301</v>
      </c>
      <c r="V695" s="1">
        <v>9.9999999999999101E-15</v>
      </c>
      <c r="W695">
        <v>0.15931050531129801</v>
      </c>
      <c r="X695">
        <v>2.4999999999999898</v>
      </c>
      <c r="Y695">
        <v>7.2202373644863096</v>
      </c>
      <c r="Z695">
        <v>0.49999999988121202</v>
      </c>
      <c r="AA695">
        <v>13.111492579299</v>
      </c>
      <c r="AB695" s="9">
        <f t="shared" si="98"/>
        <v>-0.36989978480526631</v>
      </c>
      <c r="AC695" s="9">
        <f t="shared" si="99"/>
        <v>-0.37828473228193571</v>
      </c>
      <c r="AD695" s="2">
        <f t="shared" si="100"/>
        <v>2.2668159920892217E-2</v>
      </c>
      <c r="AE695" s="8">
        <f t="shared" si="101"/>
        <v>1.2339217624803996E-2</v>
      </c>
      <c r="AF695" s="2">
        <f t="shared" si="102"/>
        <v>-2.8725115266586294E-3</v>
      </c>
      <c r="AG695" s="8">
        <f t="shared" si="103"/>
        <v>1.5211729151462626E-2</v>
      </c>
      <c r="AH695" s="7">
        <f t="shared" si="104"/>
        <v>-0.18883530583914152</v>
      </c>
      <c r="AI695">
        <f t="shared" si="105"/>
        <v>4</v>
      </c>
      <c r="AJ695" s="10">
        <f t="shared" si="106"/>
        <v>0.24338766642340201</v>
      </c>
    </row>
    <row r="696" spans="1:36" hidden="1" x14ac:dyDescent="0.25">
      <c r="A696" t="b">
        <v>0</v>
      </c>
      <c r="B696">
        <v>1000</v>
      </c>
      <c r="C696">
        <v>0.24338766642340201</v>
      </c>
      <c r="D696" t="s">
        <v>52</v>
      </c>
      <c r="E696" t="b">
        <v>1</v>
      </c>
      <c r="F696" t="s">
        <v>53</v>
      </c>
      <c r="G696">
        <v>7.4999999999999997E-2</v>
      </c>
      <c r="H696">
        <v>0.5</v>
      </c>
      <c r="I696">
        <v>1E-4</v>
      </c>
      <c r="J696" t="b">
        <v>1</v>
      </c>
      <c r="K696">
        <v>4</v>
      </c>
      <c r="L696">
        <v>1500</v>
      </c>
      <c r="M696">
        <v>0.25</v>
      </c>
      <c r="N696">
        <v>0.154</v>
      </c>
      <c r="O696" t="s">
        <v>341</v>
      </c>
      <c r="P696" t="s">
        <v>348</v>
      </c>
      <c r="Q696">
        <v>-2.9300498183129202E-4</v>
      </c>
      <c r="R696">
        <v>7.5215733592626601E-4</v>
      </c>
      <c r="S696">
        <v>1.01176061952622E-3</v>
      </c>
      <c r="T696">
        <v>-5.9874667337849897E-3</v>
      </c>
      <c r="U696">
        <v>4.0162593343409903</v>
      </c>
      <c r="V696" s="1">
        <v>9.9999999999998801E-15</v>
      </c>
      <c r="W696">
        <v>0.17413351924275899</v>
      </c>
      <c r="X696">
        <v>2.4999999999999898</v>
      </c>
      <c r="Y696">
        <v>7.7760550245945499</v>
      </c>
      <c r="Z696">
        <v>0.49999999986694399</v>
      </c>
      <c r="AA696">
        <v>14.251642107880301</v>
      </c>
      <c r="AB696" s="9">
        <f t="shared" si="98"/>
        <v>-0.36986680805663036</v>
      </c>
      <c r="AC696" s="9">
        <f t="shared" si="99"/>
        <v>-0.37828473228193571</v>
      </c>
      <c r="AD696" s="2">
        <f t="shared" si="100"/>
        <v>2.2759339421493774E-2</v>
      </c>
      <c r="AE696" s="8">
        <f t="shared" si="101"/>
        <v>1.2327952555457282E-2</v>
      </c>
      <c r="AF696" s="2">
        <f t="shared" si="102"/>
        <v>-2.8837765960053434E-3</v>
      </c>
      <c r="AG696" s="8">
        <f t="shared" si="103"/>
        <v>1.5211729151462626E-2</v>
      </c>
      <c r="AH696" s="7">
        <f t="shared" si="104"/>
        <v>-0.18957585737240562</v>
      </c>
      <c r="AI696">
        <f t="shared" si="105"/>
        <v>4</v>
      </c>
      <c r="AJ696" s="10">
        <f t="shared" si="106"/>
        <v>0.24338766642340201</v>
      </c>
    </row>
    <row r="697" spans="1:36" hidden="1" x14ac:dyDescent="0.25">
      <c r="A697" t="b">
        <v>0</v>
      </c>
      <c r="B697">
        <v>1000</v>
      </c>
      <c r="C697">
        <v>0.24338766642340201</v>
      </c>
      <c r="D697" t="s">
        <v>52</v>
      </c>
      <c r="E697" t="b">
        <v>1</v>
      </c>
      <c r="F697" t="s">
        <v>53</v>
      </c>
      <c r="G697">
        <v>7.4999999999999997E-2</v>
      </c>
      <c r="H697">
        <v>0.5</v>
      </c>
      <c r="I697">
        <v>1E-4</v>
      </c>
      <c r="J697" t="b">
        <v>1</v>
      </c>
      <c r="K697">
        <v>4</v>
      </c>
      <c r="L697">
        <v>1500</v>
      </c>
      <c r="M697">
        <v>0.25</v>
      </c>
      <c r="N697">
        <v>0.154</v>
      </c>
      <c r="O697" t="s">
        <v>342</v>
      </c>
      <c r="P697" t="s">
        <v>345</v>
      </c>
      <c r="Q697" s="1">
        <v>-1.9549061930160099E-5</v>
      </c>
      <c r="R697" s="1">
        <v>4.6572617529737097E-5</v>
      </c>
      <c r="S697" s="1">
        <v>6.7508205174238606E-5</v>
      </c>
      <c r="T697">
        <v>-3.9970873215821999E-4</v>
      </c>
      <c r="U697">
        <v>4.0162594034903503</v>
      </c>
      <c r="V697" s="1">
        <v>9.9999999999999905E-15</v>
      </c>
      <c r="W697">
        <v>0.15659181892668</v>
      </c>
      <c r="X697">
        <v>2.4999999999999898</v>
      </c>
      <c r="Y697">
        <v>7.3295964778514104</v>
      </c>
      <c r="Z697">
        <v>0.49999999998640898</v>
      </c>
      <c r="AA697">
        <v>13.1847014100707</v>
      </c>
      <c r="AB697" s="9">
        <f t="shared" si="98"/>
        <v>-0.37005569464349941</v>
      </c>
      <c r="AC697" s="9">
        <f t="shared" si="99"/>
        <v>-0.37828473228193571</v>
      </c>
      <c r="AD697" s="2">
        <f t="shared" si="100"/>
        <v>2.2237294973568522E-2</v>
      </c>
      <c r="AE697" s="8">
        <f t="shared" si="101"/>
        <v>1.2392480822823706E-2</v>
      </c>
      <c r="AF697" s="2">
        <f t="shared" si="102"/>
        <v>-2.8192483286389198E-3</v>
      </c>
      <c r="AG697" s="8">
        <f t="shared" si="103"/>
        <v>1.5211729151462626E-2</v>
      </c>
      <c r="AH697" s="7">
        <f t="shared" si="104"/>
        <v>-0.18533384998955532</v>
      </c>
      <c r="AI697">
        <f t="shared" si="105"/>
        <v>4</v>
      </c>
      <c r="AJ697" s="10">
        <f t="shared" si="106"/>
        <v>0.24338766642340201</v>
      </c>
    </row>
    <row r="698" spans="1:36" hidden="1" x14ac:dyDescent="0.25">
      <c r="A698" t="b">
        <v>0</v>
      </c>
      <c r="B698">
        <v>1000</v>
      </c>
      <c r="C698">
        <v>0.24338766642340201</v>
      </c>
      <c r="D698" t="s">
        <v>52</v>
      </c>
      <c r="E698" t="b">
        <v>1</v>
      </c>
      <c r="F698" t="s">
        <v>53</v>
      </c>
      <c r="G698">
        <v>7.4999999999999997E-2</v>
      </c>
      <c r="H698">
        <v>0.5</v>
      </c>
      <c r="I698">
        <v>1E-4</v>
      </c>
      <c r="J698" t="b">
        <v>1</v>
      </c>
      <c r="K698">
        <v>4</v>
      </c>
      <c r="L698">
        <v>1500</v>
      </c>
      <c r="M698">
        <v>0.25</v>
      </c>
      <c r="N698">
        <v>0.154</v>
      </c>
      <c r="O698" t="s">
        <v>342</v>
      </c>
      <c r="P698" t="s">
        <v>347</v>
      </c>
      <c r="Q698" s="1">
        <v>-1.9549061930160201E-5</v>
      </c>
      <c r="R698" s="1">
        <v>4.6323147080064799E-5</v>
      </c>
      <c r="S698" s="1">
        <v>6.7508205174245098E-5</v>
      </c>
      <c r="T698">
        <v>-3.99708732158432E-4</v>
      </c>
      <c r="U698">
        <v>4.0162594034794896</v>
      </c>
      <c r="V698" s="1">
        <v>9.9999999999999905E-15</v>
      </c>
      <c r="W698">
        <v>0.15732218333664399</v>
      </c>
      <c r="X698">
        <v>2.4999999999999898</v>
      </c>
      <c r="Y698">
        <v>7.2684006685708704</v>
      </c>
      <c r="Z698">
        <v>0.49999999998640599</v>
      </c>
      <c r="AA698">
        <v>13.1235695110474</v>
      </c>
      <c r="AB698" s="9">
        <f t="shared" si="98"/>
        <v>-0.37005569464366012</v>
      </c>
      <c r="AC698" s="9">
        <f t="shared" si="99"/>
        <v>-0.37828473228193571</v>
      </c>
      <c r="AD698" s="2">
        <f t="shared" si="100"/>
        <v>2.2237294973124655E-2</v>
      </c>
      <c r="AE698" s="8">
        <f t="shared" si="101"/>
        <v>1.2392480822878603E-2</v>
      </c>
      <c r="AF698" s="2">
        <f t="shared" si="102"/>
        <v>-2.8192483285840227E-3</v>
      </c>
      <c r="AG698" s="8">
        <f t="shared" si="103"/>
        <v>1.5211729151462626E-2</v>
      </c>
      <c r="AH698" s="7">
        <f t="shared" si="104"/>
        <v>-0.18533384998594646</v>
      </c>
      <c r="AI698">
        <f t="shared" si="105"/>
        <v>4</v>
      </c>
      <c r="AJ698" s="10">
        <f t="shared" si="106"/>
        <v>0.24338766642340201</v>
      </c>
    </row>
    <row r="699" spans="1:36" hidden="1" x14ac:dyDescent="0.25">
      <c r="A699" t="b">
        <v>0</v>
      </c>
      <c r="B699">
        <v>1000</v>
      </c>
      <c r="C699">
        <v>0.24338766642340201</v>
      </c>
      <c r="D699" t="s">
        <v>52</v>
      </c>
      <c r="E699" t="b">
        <v>1</v>
      </c>
      <c r="F699" t="s">
        <v>53</v>
      </c>
      <c r="G699">
        <v>7.4999999999999997E-2</v>
      </c>
      <c r="H699">
        <v>0.5</v>
      </c>
      <c r="I699">
        <v>1E-4</v>
      </c>
      <c r="J699" t="b">
        <v>1</v>
      </c>
      <c r="K699">
        <v>4</v>
      </c>
      <c r="L699">
        <v>1500</v>
      </c>
      <c r="M699">
        <v>0.25</v>
      </c>
      <c r="N699">
        <v>0.154</v>
      </c>
      <c r="O699" t="s">
        <v>342</v>
      </c>
      <c r="P699" t="s">
        <v>348</v>
      </c>
      <c r="Q699">
        <v>-1.5627584709731999E-4</v>
      </c>
      <c r="R699">
        <v>3.7524955935572198E-4</v>
      </c>
      <c r="S699">
        <v>5.3962647561136895E-4</v>
      </c>
      <c r="T699">
        <v>-3.1933580451453799E-3</v>
      </c>
      <c r="U699">
        <v>4.0157376373427596</v>
      </c>
      <c r="V699" s="1">
        <v>9.9999999999999101E-15</v>
      </c>
      <c r="W699">
        <v>0.15895997735845799</v>
      </c>
      <c r="X699">
        <v>2.4999999999999898</v>
      </c>
      <c r="Y699">
        <v>7.3667119352074399</v>
      </c>
      <c r="Z699">
        <v>0.49999999988092803</v>
      </c>
      <c r="AA699">
        <v>13.296934340853801</v>
      </c>
      <c r="AB699" s="9">
        <f t="shared" si="98"/>
        <v>-0.36985746037658157</v>
      </c>
      <c r="AC699" s="9">
        <f t="shared" si="99"/>
        <v>-0.37828473228193571</v>
      </c>
      <c r="AD699" s="2">
        <f t="shared" si="100"/>
        <v>2.2785188371686971E-2</v>
      </c>
      <c r="AE699" s="8">
        <f t="shared" si="101"/>
        <v>1.2324759373460654E-2</v>
      </c>
      <c r="AF699" s="2">
        <f t="shared" si="102"/>
        <v>-2.8869697780019715E-3</v>
      </c>
      <c r="AG699" s="8">
        <f t="shared" si="103"/>
        <v>1.5211729151462626E-2</v>
      </c>
      <c r="AH699" s="7">
        <f t="shared" si="104"/>
        <v>-0.18978577315284278</v>
      </c>
      <c r="AI699">
        <f t="shared" si="105"/>
        <v>4</v>
      </c>
      <c r="AJ699" s="10">
        <f t="shared" si="106"/>
        <v>0.24338766642340201</v>
      </c>
    </row>
    <row r="700" spans="1:36" hidden="1" x14ac:dyDescent="0.25">
      <c r="A700" t="b">
        <v>0</v>
      </c>
      <c r="B700">
        <v>1000</v>
      </c>
      <c r="C700">
        <v>0.24338766642340201</v>
      </c>
      <c r="D700" t="s">
        <v>52</v>
      </c>
      <c r="E700" t="b">
        <v>1</v>
      </c>
      <c r="F700" t="s">
        <v>53</v>
      </c>
      <c r="G700">
        <v>7.4999999999999997E-2</v>
      </c>
      <c r="H700">
        <v>0.5</v>
      </c>
      <c r="I700">
        <v>1E-4</v>
      </c>
      <c r="J700" t="b">
        <v>1</v>
      </c>
      <c r="K700">
        <v>4</v>
      </c>
      <c r="L700">
        <v>1500</v>
      </c>
      <c r="M700">
        <v>0.25</v>
      </c>
      <c r="N700">
        <v>0.154</v>
      </c>
      <c r="O700" t="s">
        <v>343</v>
      </c>
      <c r="P700" t="s">
        <v>344</v>
      </c>
      <c r="Q700" s="1">
        <v>-1.9549355933284699E-5</v>
      </c>
      <c r="R700" s="1">
        <v>4.6056392475686798E-5</v>
      </c>
      <c r="S700" s="1">
        <v>6.7510191923415293E-5</v>
      </c>
      <c r="T700">
        <v>-3.9976624023925001E-4</v>
      </c>
      <c r="U700">
        <v>4.01730280612722</v>
      </c>
      <c r="V700" s="1">
        <v>9.9999999999999905E-15</v>
      </c>
      <c r="W700">
        <v>0.15691981270883901</v>
      </c>
      <c r="X700">
        <v>2.4999999999999898</v>
      </c>
      <c r="Y700">
        <v>7.2221521503127803</v>
      </c>
      <c r="Z700">
        <v>0.49999999998644001</v>
      </c>
      <c r="AA700">
        <v>13.049873971558901</v>
      </c>
      <c r="AB700" s="9">
        <f t="shared" si="98"/>
        <v>-0.37009804450410949</v>
      </c>
      <c r="AC700" s="9">
        <f t="shared" si="99"/>
        <v>-0.37828473228193571</v>
      </c>
      <c r="AD700" s="2">
        <f t="shared" si="100"/>
        <v>2.2120321626653006E-2</v>
      </c>
      <c r="AE700" s="8">
        <f t="shared" si="101"/>
        <v>1.2406949697640075E-2</v>
      </c>
      <c r="AF700" s="2">
        <f t="shared" si="102"/>
        <v>-2.804779453822551E-3</v>
      </c>
      <c r="AG700" s="8">
        <f t="shared" si="103"/>
        <v>1.5211729151462626E-2</v>
      </c>
      <c r="AH700" s="7">
        <f t="shared" si="104"/>
        <v>-0.18438268430205834</v>
      </c>
      <c r="AI700">
        <f t="shared" si="105"/>
        <v>4</v>
      </c>
      <c r="AJ700" s="10">
        <f t="shared" si="106"/>
        <v>0.24338766642340201</v>
      </c>
    </row>
    <row r="701" spans="1:36" hidden="1" x14ac:dyDescent="0.25">
      <c r="A701" t="b">
        <v>0</v>
      </c>
      <c r="B701">
        <v>1000</v>
      </c>
      <c r="C701">
        <v>0.24338766642340201</v>
      </c>
      <c r="D701" t="s">
        <v>52</v>
      </c>
      <c r="E701" t="b">
        <v>1</v>
      </c>
      <c r="F701" t="s">
        <v>53</v>
      </c>
      <c r="G701">
        <v>7.4999999999999997E-2</v>
      </c>
      <c r="H701">
        <v>0.5</v>
      </c>
      <c r="I701">
        <v>1E-4</v>
      </c>
      <c r="J701" t="b">
        <v>1</v>
      </c>
      <c r="K701">
        <v>4</v>
      </c>
      <c r="L701">
        <v>1500</v>
      </c>
      <c r="M701">
        <v>0.25</v>
      </c>
      <c r="N701">
        <v>0.154</v>
      </c>
      <c r="O701" t="s">
        <v>343</v>
      </c>
      <c r="P701" t="s">
        <v>345</v>
      </c>
      <c r="Q701">
        <v>-1.56278196671649E-4</v>
      </c>
      <c r="R701">
        <v>3.6819956496219399E-4</v>
      </c>
      <c r="S701">
        <v>5.3964234908908696E-4</v>
      </c>
      <c r="T701">
        <v>-3.1938174207975802E-3</v>
      </c>
      <c r="U701">
        <v>4.0167811004815697</v>
      </c>
      <c r="V701" s="1">
        <v>9.9999999999999101E-15</v>
      </c>
      <c r="W701">
        <v>0.158738261664534</v>
      </c>
      <c r="X701">
        <v>2.4999999999999898</v>
      </c>
      <c r="Y701">
        <v>7.1961721446935201</v>
      </c>
      <c r="Z701">
        <v>0.49999999988121402</v>
      </c>
      <c r="AA701">
        <v>13.0618166769718</v>
      </c>
      <c r="AB701" s="9">
        <f t="shared" si="98"/>
        <v>-0.36989978480524238</v>
      </c>
      <c r="AC701" s="9">
        <f t="shared" si="99"/>
        <v>-0.37828473228193571</v>
      </c>
      <c r="AD701" s="2">
        <f t="shared" si="100"/>
        <v>2.2668159920958386E-2</v>
      </c>
      <c r="AE701" s="8">
        <f t="shared" si="101"/>
        <v>1.2339217624795831E-2</v>
      </c>
      <c r="AF701" s="2">
        <f t="shared" si="102"/>
        <v>-2.8725115266667947E-3</v>
      </c>
      <c r="AG701" s="8">
        <f t="shared" si="103"/>
        <v>1.5211729151462626E-2</v>
      </c>
      <c r="AH701" s="7">
        <f t="shared" si="104"/>
        <v>-0.18883530583967828</v>
      </c>
      <c r="AI701">
        <f t="shared" si="105"/>
        <v>4</v>
      </c>
      <c r="AJ701" s="10">
        <f t="shared" si="106"/>
        <v>0.24338766642340201</v>
      </c>
    </row>
    <row r="702" spans="1:36" hidden="1" x14ac:dyDescent="0.25">
      <c r="A702" t="b">
        <v>0</v>
      </c>
      <c r="B702">
        <v>1000</v>
      </c>
      <c r="C702">
        <v>0.24338766642340201</v>
      </c>
      <c r="D702" t="s">
        <v>52</v>
      </c>
      <c r="E702" t="b">
        <v>1</v>
      </c>
      <c r="F702" t="s">
        <v>53</v>
      </c>
      <c r="G702">
        <v>7.4999999999999997E-2</v>
      </c>
      <c r="H702">
        <v>0.5</v>
      </c>
      <c r="I702">
        <v>1E-4</v>
      </c>
      <c r="J702" t="b">
        <v>1</v>
      </c>
      <c r="K702">
        <v>4</v>
      </c>
      <c r="L702">
        <v>1500</v>
      </c>
      <c r="M702">
        <v>0.25</v>
      </c>
      <c r="N702">
        <v>0.154</v>
      </c>
      <c r="O702" t="s">
        <v>343</v>
      </c>
      <c r="P702" t="s">
        <v>346</v>
      </c>
      <c r="Q702">
        <v>-1.3672913475502001E-4</v>
      </c>
      <c r="R702">
        <v>3.4670575452568802E-4</v>
      </c>
      <c r="S702">
        <v>4.7213414391485798E-4</v>
      </c>
      <c r="T702">
        <v>-2.7941086886397598E-3</v>
      </c>
      <c r="U702">
        <v>4.0168557424439797</v>
      </c>
      <c r="V702" s="1">
        <v>9.9999999999999101E-15</v>
      </c>
      <c r="W702">
        <v>0.17357638959094501</v>
      </c>
      <c r="X702">
        <v>2.4999999999999898</v>
      </c>
      <c r="Y702">
        <v>7.6641895887539802</v>
      </c>
      <c r="Z702">
        <v>0.49999999988298599</v>
      </c>
      <c r="AA702">
        <v>14.086052531131999</v>
      </c>
      <c r="AB702" s="9">
        <f t="shared" si="98"/>
        <v>-0.36987749200252101</v>
      </c>
      <c r="AC702" s="9">
        <f t="shared" si="99"/>
        <v>-0.37828473228193571</v>
      </c>
      <c r="AD702" s="2">
        <f t="shared" si="100"/>
        <v>2.2729796922483114E-2</v>
      </c>
      <c r="AE702" s="8">
        <f t="shared" si="101"/>
        <v>1.2331602232607135E-2</v>
      </c>
      <c r="AF702" s="2">
        <f t="shared" si="102"/>
        <v>-2.8801269188554902E-3</v>
      </c>
      <c r="AG702" s="8">
        <f t="shared" si="103"/>
        <v>1.5211729151462626E-2</v>
      </c>
      <c r="AH702" s="7">
        <f t="shared" si="104"/>
        <v>-0.18933593217300759</v>
      </c>
      <c r="AI702">
        <f t="shared" si="105"/>
        <v>4</v>
      </c>
      <c r="AJ702" s="10">
        <f t="shared" si="106"/>
        <v>0.24338766642340201</v>
      </c>
    </row>
    <row r="703" spans="1:36" hidden="1" x14ac:dyDescent="0.25">
      <c r="A703" t="b">
        <v>0</v>
      </c>
      <c r="B703">
        <v>1000</v>
      </c>
      <c r="C703">
        <v>0.24338766642340201</v>
      </c>
      <c r="D703" t="s">
        <v>52</v>
      </c>
      <c r="E703" t="b">
        <v>1</v>
      </c>
      <c r="F703" t="s">
        <v>53</v>
      </c>
      <c r="G703">
        <v>7.4999999999999997E-2</v>
      </c>
      <c r="H703">
        <v>0.5</v>
      </c>
      <c r="I703">
        <v>1E-4</v>
      </c>
      <c r="J703" t="b">
        <v>1</v>
      </c>
      <c r="K703">
        <v>4</v>
      </c>
      <c r="L703">
        <v>1500</v>
      </c>
      <c r="M703">
        <v>0.25</v>
      </c>
      <c r="N703">
        <v>0.154</v>
      </c>
      <c r="O703" t="s">
        <v>343</v>
      </c>
      <c r="P703" t="s">
        <v>347</v>
      </c>
      <c r="Q703">
        <v>-1.56278196671647E-4</v>
      </c>
      <c r="R703">
        <v>3.8643044636826299E-4</v>
      </c>
      <c r="S703">
        <v>5.3964234908909499E-4</v>
      </c>
      <c r="T703">
        <v>-3.19381742079784E-3</v>
      </c>
      <c r="U703">
        <v>4.0167811004707197</v>
      </c>
      <c r="V703" s="1">
        <v>9.9999999999999101E-15</v>
      </c>
      <c r="W703">
        <v>0.165575541229561</v>
      </c>
      <c r="X703">
        <v>2.4999999999999898</v>
      </c>
      <c r="Y703">
        <v>7.5417735652696001</v>
      </c>
      <c r="Z703">
        <v>0.49999999988121602</v>
      </c>
      <c r="AA703">
        <v>13.7093055093692</v>
      </c>
      <c r="AB703" s="9">
        <f t="shared" si="98"/>
        <v>-0.36989978480526697</v>
      </c>
      <c r="AC703" s="9">
        <f t="shared" si="99"/>
        <v>-0.37828473228193571</v>
      </c>
      <c r="AD703" s="2">
        <f t="shared" si="100"/>
        <v>2.2668159920890441E-2</v>
      </c>
      <c r="AE703" s="8">
        <f t="shared" si="101"/>
        <v>1.2339217624804224E-2</v>
      </c>
      <c r="AF703" s="2">
        <f t="shared" si="102"/>
        <v>-2.8725115266584021E-3</v>
      </c>
      <c r="AG703" s="8">
        <f t="shared" si="103"/>
        <v>1.5211729151462626E-2</v>
      </c>
      <c r="AH703" s="7">
        <f t="shared" si="104"/>
        <v>-0.18883530583912655</v>
      </c>
      <c r="AI703">
        <f t="shared" si="105"/>
        <v>4</v>
      </c>
      <c r="AJ703" s="10">
        <f t="shared" si="106"/>
        <v>0.24338766642340201</v>
      </c>
    </row>
    <row r="704" spans="1:36" hidden="1" x14ac:dyDescent="0.25">
      <c r="A704" t="b">
        <v>0</v>
      </c>
      <c r="B704">
        <v>1000</v>
      </c>
      <c r="C704">
        <v>0.24338766642340201</v>
      </c>
      <c r="D704" t="s">
        <v>52</v>
      </c>
      <c r="E704" t="b">
        <v>1</v>
      </c>
      <c r="F704" t="s">
        <v>53</v>
      </c>
      <c r="G704">
        <v>7.4999999999999997E-2</v>
      </c>
      <c r="H704">
        <v>0.5</v>
      </c>
      <c r="I704">
        <v>1E-4</v>
      </c>
      <c r="J704" t="b">
        <v>1</v>
      </c>
      <c r="K704">
        <v>4</v>
      </c>
      <c r="L704">
        <v>1500</v>
      </c>
      <c r="M704">
        <v>0.25</v>
      </c>
      <c r="N704">
        <v>0.154</v>
      </c>
      <c r="O704" t="s">
        <v>343</v>
      </c>
      <c r="P704" t="s">
        <v>348</v>
      </c>
      <c r="Q704">
        <v>-2.9300498183129701E-4</v>
      </c>
      <c r="R704">
        <v>7.5666797203924004E-4</v>
      </c>
      <c r="S704">
        <v>1.0117606195262101E-3</v>
      </c>
      <c r="T704">
        <v>-5.98746673378485E-3</v>
      </c>
      <c r="U704">
        <v>4.0162593343339799</v>
      </c>
      <c r="V704" s="1">
        <v>9.9999999999998801E-15</v>
      </c>
      <c r="W704">
        <v>0.17554485719757201</v>
      </c>
      <c r="X704">
        <v>2.4999999999999898</v>
      </c>
      <c r="Y704">
        <v>7.81447444365745</v>
      </c>
      <c r="Z704">
        <v>0.49999999986694099</v>
      </c>
      <c r="AA704">
        <v>14.3402907696191</v>
      </c>
      <c r="AB704" s="9">
        <f t="shared" si="98"/>
        <v>-0.36986680805662536</v>
      </c>
      <c r="AC704" s="9">
        <f t="shared" si="99"/>
        <v>-0.37828473228193571</v>
      </c>
      <c r="AD704" s="2">
        <f t="shared" si="100"/>
        <v>2.2759339421507541E-2</v>
      </c>
      <c r="AE704" s="8">
        <f t="shared" si="101"/>
        <v>1.2327952555455563E-2</v>
      </c>
      <c r="AF704" s="2">
        <f t="shared" si="102"/>
        <v>-2.8837765960070625E-3</v>
      </c>
      <c r="AG704" s="8">
        <f t="shared" si="103"/>
        <v>1.5211729151462626E-2</v>
      </c>
      <c r="AH704" s="7">
        <f t="shared" si="104"/>
        <v>-0.18957585737251861</v>
      </c>
      <c r="AI704">
        <f t="shared" si="105"/>
        <v>4</v>
      </c>
      <c r="AJ704" s="10">
        <f t="shared" si="106"/>
        <v>0.24338766642340201</v>
      </c>
    </row>
    <row r="705" spans="1:36" hidden="1" x14ac:dyDescent="0.25">
      <c r="A705" t="b">
        <v>0</v>
      </c>
      <c r="B705">
        <v>1000</v>
      </c>
      <c r="C705">
        <v>0.24338766642340201</v>
      </c>
      <c r="D705" t="s">
        <v>52</v>
      </c>
      <c r="E705" t="b">
        <v>1</v>
      </c>
      <c r="F705" t="s">
        <v>53</v>
      </c>
      <c r="G705">
        <v>7.4999999999999997E-2</v>
      </c>
      <c r="H705">
        <v>0.5</v>
      </c>
      <c r="I705">
        <v>1E-4</v>
      </c>
      <c r="J705" t="b">
        <v>1</v>
      </c>
      <c r="K705">
        <v>4</v>
      </c>
      <c r="L705">
        <v>1500</v>
      </c>
      <c r="M705">
        <v>0.25</v>
      </c>
      <c r="N705">
        <v>0.154</v>
      </c>
      <c r="O705" t="s">
        <v>344</v>
      </c>
      <c r="P705" t="s">
        <v>345</v>
      </c>
      <c r="Q705">
        <v>-1.3672884075188201E-4</v>
      </c>
      <c r="R705">
        <v>3.4608632885444E-4</v>
      </c>
      <c r="S705">
        <v>4.7213215716567002E-4</v>
      </c>
      <c r="T705">
        <v>-2.79405118055852E-3</v>
      </c>
      <c r="U705">
        <v>4.0167064671636297</v>
      </c>
      <c r="V705" s="1">
        <v>9.9999999999999101E-15</v>
      </c>
      <c r="W705">
        <v>0.174438558248075</v>
      </c>
      <c r="X705">
        <v>2.4999999999999898</v>
      </c>
      <c r="Y705">
        <v>7.6338686570801304</v>
      </c>
      <c r="Z705">
        <v>0.49999999988294902</v>
      </c>
      <c r="AA705">
        <v>14.067914708388299</v>
      </c>
      <c r="AB705" s="9">
        <f t="shared" si="98"/>
        <v>-0.36987143564472541</v>
      </c>
      <c r="AC705" s="9">
        <f t="shared" si="99"/>
        <v>-0.37828473228193571</v>
      </c>
      <c r="AD705" s="2">
        <f t="shared" si="100"/>
        <v>2.2746543329427382E-2</v>
      </c>
      <c r="AE705" s="8">
        <f t="shared" si="101"/>
        <v>1.2329533354179599E-2</v>
      </c>
      <c r="AF705" s="2">
        <f t="shared" si="102"/>
        <v>-2.8821957972830266E-3</v>
      </c>
      <c r="AG705" s="8">
        <f t="shared" si="103"/>
        <v>1.5211729151462626E-2</v>
      </c>
      <c r="AH705" s="7">
        <f t="shared" si="104"/>
        <v>-0.18947193764660872</v>
      </c>
      <c r="AI705">
        <f t="shared" si="105"/>
        <v>4</v>
      </c>
      <c r="AJ705" s="10">
        <f t="shared" si="106"/>
        <v>0.24338766642340201</v>
      </c>
    </row>
    <row r="706" spans="1:36" hidden="1" x14ac:dyDescent="0.25">
      <c r="A706" t="b">
        <v>0</v>
      </c>
      <c r="B706">
        <v>1000</v>
      </c>
      <c r="C706">
        <v>0.24338766642340201</v>
      </c>
      <c r="D706" t="s">
        <v>52</v>
      </c>
      <c r="E706" t="b">
        <v>1</v>
      </c>
      <c r="F706" t="s">
        <v>53</v>
      </c>
      <c r="G706">
        <v>7.4999999999999997E-2</v>
      </c>
      <c r="H706">
        <v>0.5</v>
      </c>
      <c r="I706">
        <v>1E-4</v>
      </c>
      <c r="J706" t="b">
        <v>1</v>
      </c>
      <c r="K706">
        <v>4</v>
      </c>
      <c r="L706">
        <v>1500</v>
      </c>
      <c r="M706">
        <v>0.25</v>
      </c>
      <c r="N706">
        <v>0.154</v>
      </c>
      <c r="O706" t="s">
        <v>344</v>
      </c>
      <c r="P706" t="s">
        <v>346</v>
      </c>
      <c r="Q706">
        <v>-1.1717977883487901E-4</v>
      </c>
      <c r="R706">
        <v>2.8591719109450102E-4</v>
      </c>
      <c r="S706">
        <v>4.0462395199143897E-4</v>
      </c>
      <c r="T706">
        <v>-2.3943424484003401E-3</v>
      </c>
      <c r="U706">
        <v>4.0167811091260397</v>
      </c>
      <c r="V706" s="1">
        <v>9.9999999999999195E-15</v>
      </c>
      <c r="W706">
        <v>0.16248886750724401</v>
      </c>
      <c r="X706">
        <v>2.4999999999999898</v>
      </c>
      <c r="Y706">
        <v>7.4620026708226801</v>
      </c>
      <c r="Z706">
        <v>0.49999999988464899</v>
      </c>
      <c r="AA706">
        <v>13.5202851726023</v>
      </c>
      <c r="AB706" s="9">
        <f t="shared" si="98"/>
        <v>-0.36984069353409776</v>
      </c>
      <c r="AC706" s="9">
        <f t="shared" si="99"/>
        <v>-0.37828473228193571</v>
      </c>
      <c r="AD706" s="2">
        <f t="shared" si="100"/>
        <v>2.2831556655242613E-2</v>
      </c>
      <c r="AE706" s="8">
        <f t="shared" si="101"/>
        <v>1.2319031844545998E-2</v>
      </c>
      <c r="AF706" s="2">
        <f t="shared" si="102"/>
        <v>-2.8926973069166272E-3</v>
      </c>
      <c r="AG706" s="8">
        <f t="shared" si="103"/>
        <v>1.5211729151462626E-2</v>
      </c>
      <c r="AH706" s="7">
        <f t="shared" si="104"/>
        <v>-0.19016229372178184</v>
      </c>
      <c r="AI706">
        <f t="shared" si="105"/>
        <v>4</v>
      </c>
      <c r="AJ706" s="10">
        <f t="shared" si="106"/>
        <v>0.24338766642340201</v>
      </c>
    </row>
    <row r="707" spans="1:36" hidden="1" x14ac:dyDescent="0.25">
      <c r="A707" t="b">
        <v>0</v>
      </c>
      <c r="B707">
        <v>1000</v>
      </c>
      <c r="C707">
        <v>0.24338766642340201</v>
      </c>
      <c r="D707" t="s">
        <v>52</v>
      </c>
      <c r="E707" t="b">
        <v>1</v>
      </c>
      <c r="F707" t="s">
        <v>53</v>
      </c>
      <c r="G707">
        <v>7.4999999999999997E-2</v>
      </c>
      <c r="H707">
        <v>0.5</v>
      </c>
      <c r="I707">
        <v>1E-4</v>
      </c>
      <c r="J707" t="b">
        <v>1</v>
      </c>
      <c r="K707">
        <v>4</v>
      </c>
      <c r="L707">
        <v>1500</v>
      </c>
      <c r="M707">
        <v>0.25</v>
      </c>
      <c r="N707">
        <v>0.154</v>
      </c>
      <c r="O707" t="s">
        <v>344</v>
      </c>
      <c r="P707" t="s">
        <v>347</v>
      </c>
      <c r="Q707">
        <v>-1.36728840751879E-4</v>
      </c>
      <c r="R707">
        <v>3.4507874025907899E-4</v>
      </c>
      <c r="S707">
        <v>4.72132157165675E-4</v>
      </c>
      <c r="T707">
        <v>-2.7940511805586501E-3</v>
      </c>
      <c r="U707">
        <v>4.0167064671527797</v>
      </c>
      <c r="V707" s="1">
        <v>9.9999999999999101E-15</v>
      </c>
      <c r="W707">
        <v>0.17178951291321901</v>
      </c>
      <c r="X707">
        <v>2.4999999999999898</v>
      </c>
      <c r="Y707">
        <v>7.6449422249439101</v>
      </c>
      <c r="Z707">
        <v>0.49999999988294602</v>
      </c>
      <c r="AA707">
        <v>14.013107363706601</v>
      </c>
      <c r="AB707" s="9">
        <f t="shared" si="98"/>
        <v>-0.36987143564473873</v>
      </c>
      <c r="AC707" s="9">
        <f t="shared" si="99"/>
        <v>-0.37828473228193571</v>
      </c>
      <c r="AD707" s="2">
        <f t="shared" si="100"/>
        <v>2.2746543329390745E-2</v>
      </c>
      <c r="AE707" s="8">
        <f t="shared" si="101"/>
        <v>1.2329533354184147E-2</v>
      </c>
      <c r="AF707" s="2">
        <f t="shared" si="102"/>
        <v>-2.8821957972784782E-3</v>
      </c>
      <c r="AG707" s="8">
        <f t="shared" si="103"/>
        <v>1.5211729151462626E-2</v>
      </c>
      <c r="AH707" s="7">
        <f t="shared" si="104"/>
        <v>-0.18947193764630971</v>
      </c>
      <c r="AI707">
        <f t="shared" si="105"/>
        <v>4</v>
      </c>
      <c r="AJ707" s="10">
        <f t="shared" si="106"/>
        <v>0.24338766642340201</v>
      </c>
    </row>
    <row r="708" spans="1:36" hidden="1" x14ac:dyDescent="0.25">
      <c r="A708" t="b">
        <v>0</v>
      </c>
      <c r="B708">
        <v>1000</v>
      </c>
      <c r="C708">
        <v>0.24338766642340201</v>
      </c>
      <c r="D708" t="s">
        <v>52</v>
      </c>
      <c r="E708" t="b">
        <v>1</v>
      </c>
      <c r="F708" t="s">
        <v>53</v>
      </c>
      <c r="G708">
        <v>7.4999999999999997E-2</v>
      </c>
      <c r="H708">
        <v>0.5</v>
      </c>
      <c r="I708">
        <v>1E-4</v>
      </c>
      <c r="J708" t="b">
        <v>1</v>
      </c>
      <c r="K708">
        <v>4</v>
      </c>
      <c r="L708">
        <v>1500</v>
      </c>
      <c r="M708">
        <v>0.25</v>
      </c>
      <c r="N708">
        <v>0.154</v>
      </c>
      <c r="O708" t="s">
        <v>344</v>
      </c>
      <c r="P708" t="s">
        <v>348</v>
      </c>
      <c r="Q708">
        <v>-2.7345562591426099E-4</v>
      </c>
      <c r="R708">
        <v>7.0200113294137704E-4</v>
      </c>
      <c r="S708">
        <v>9.4425042760280602E-4</v>
      </c>
      <c r="T708">
        <v>-5.5877004935458597E-3</v>
      </c>
      <c r="U708">
        <v>4.0161847010160399</v>
      </c>
      <c r="V708" s="1">
        <v>9.9999999999998895E-15</v>
      </c>
      <c r="W708">
        <v>0.172285513705671</v>
      </c>
      <c r="X708">
        <v>2.4999999999999898</v>
      </c>
      <c r="Y708">
        <v>7.8050452573770004</v>
      </c>
      <c r="Z708">
        <v>0.49999999986893501</v>
      </c>
      <c r="AA708">
        <v>14.240227244748301</v>
      </c>
      <c r="AB708" s="9">
        <f t="shared" si="98"/>
        <v>-0.36985027556007477</v>
      </c>
      <c r="AC708" s="9">
        <f t="shared" si="99"/>
        <v>-0.37828473228193571</v>
      </c>
      <c r="AD708" s="2">
        <f t="shared" si="100"/>
        <v>2.2805057287272223E-2</v>
      </c>
      <c r="AE708" s="8">
        <f t="shared" si="101"/>
        <v>1.2322305042695273E-2</v>
      </c>
      <c r="AF708" s="2">
        <f t="shared" si="102"/>
        <v>-2.8894241087673526E-3</v>
      </c>
      <c r="AG708" s="8">
        <f t="shared" si="103"/>
        <v>1.5211729151462626E-2</v>
      </c>
      <c r="AH708" s="7">
        <f t="shared" si="104"/>
        <v>-0.18994711777980422</v>
      </c>
      <c r="AI708">
        <f t="shared" si="105"/>
        <v>4</v>
      </c>
      <c r="AJ708" s="10">
        <f t="shared" si="106"/>
        <v>0.24338766642340201</v>
      </c>
    </row>
    <row r="709" spans="1:36" hidden="1" x14ac:dyDescent="0.25">
      <c r="A709" t="b">
        <v>0</v>
      </c>
      <c r="B709">
        <v>1000</v>
      </c>
      <c r="C709">
        <v>0.24338766642340201</v>
      </c>
      <c r="D709" t="s">
        <v>52</v>
      </c>
      <c r="E709" t="b">
        <v>1</v>
      </c>
      <c r="F709" t="s">
        <v>53</v>
      </c>
      <c r="G709">
        <v>7.4999999999999997E-2</v>
      </c>
      <c r="H709">
        <v>0.5</v>
      </c>
      <c r="I709">
        <v>1E-4</v>
      </c>
      <c r="J709" t="b">
        <v>1</v>
      </c>
      <c r="K709">
        <v>4</v>
      </c>
      <c r="L709">
        <v>1500</v>
      </c>
      <c r="M709">
        <v>0.25</v>
      </c>
      <c r="N709">
        <v>0.154</v>
      </c>
      <c r="O709" t="s">
        <v>345</v>
      </c>
      <c r="P709" t="s">
        <v>347</v>
      </c>
      <c r="Q709" s="1">
        <v>-1E-10</v>
      </c>
      <c r="R709" s="1">
        <v>3.58578589297735E-12</v>
      </c>
      <c r="S709" s="1">
        <v>1.8026473091221799E-17</v>
      </c>
      <c r="T709" s="1">
        <v>-4.1797709926327399E-16</v>
      </c>
      <c r="U709">
        <v>4.0161847615071302</v>
      </c>
      <c r="V709">
        <v>0</v>
      </c>
      <c r="W709">
        <v>6.8474547514338194E-2</v>
      </c>
      <c r="X709">
        <v>2</v>
      </c>
      <c r="Y709">
        <v>4.0005663704604597E-3</v>
      </c>
      <c r="Z709">
        <v>2.5000000000000001E-4</v>
      </c>
      <c r="AA709">
        <v>4.7933529291308598E-3</v>
      </c>
      <c r="AB709" s="9">
        <f t="shared" si="98"/>
        <v>-1.4491780267697401</v>
      </c>
      <c r="AC709" s="9">
        <f t="shared" si="99"/>
        <v>-0.37828473228193571</v>
      </c>
      <c r="AD709" s="2">
        <f t="shared" si="100"/>
        <v>-0.73896600328315531</v>
      </c>
      <c r="AE709" s="8">
        <f t="shared" si="101"/>
        <v>0.59222543361965962</v>
      </c>
      <c r="AF709" s="2">
        <f t="shared" si="102"/>
        <v>0.577013704468197</v>
      </c>
      <c r="AG709" s="8">
        <f t="shared" si="103"/>
        <v>1.5211729151462626E-2</v>
      </c>
      <c r="AH709" s="7">
        <f t="shared" si="104"/>
        <v>37.932157397945545</v>
      </c>
      <c r="AI709">
        <f t="shared" si="105"/>
        <v>4</v>
      </c>
      <c r="AJ709" s="10">
        <f t="shared" si="106"/>
        <v>0.24338766642340201</v>
      </c>
    </row>
    <row r="710" spans="1:36" hidden="1" x14ac:dyDescent="0.25">
      <c r="A710" t="b">
        <v>0</v>
      </c>
      <c r="B710">
        <v>1000</v>
      </c>
      <c r="C710">
        <v>0.24338766642340201</v>
      </c>
      <c r="D710" t="s">
        <v>52</v>
      </c>
      <c r="E710" t="b">
        <v>1</v>
      </c>
      <c r="F710" t="s">
        <v>53</v>
      </c>
      <c r="G710">
        <v>7.4999999999999997E-2</v>
      </c>
      <c r="H710">
        <v>0.5</v>
      </c>
      <c r="I710">
        <v>1E-4</v>
      </c>
      <c r="J710" t="b">
        <v>1</v>
      </c>
      <c r="K710">
        <v>4</v>
      </c>
      <c r="L710">
        <v>1500</v>
      </c>
      <c r="M710">
        <v>0.25</v>
      </c>
      <c r="N710">
        <v>0.154</v>
      </c>
      <c r="O710" t="s">
        <v>345</v>
      </c>
      <c r="P710" t="s">
        <v>348</v>
      </c>
      <c r="Q710">
        <v>-1.3672678518069701E-4</v>
      </c>
      <c r="R710">
        <v>3.4860356614699399E-4</v>
      </c>
      <c r="S710">
        <v>4.7211827043713302E-4</v>
      </c>
      <c r="T710">
        <v>-2.7936493129873401E-3</v>
      </c>
      <c r="U710">
        <v>4.0156629953703904</v>
      </c>
      <c r="V710" s="1">
        <v>9.9999999999999101E-15</v>
      </c>
      <c r="W710">
        <v>0.17236311518641401</v>
      </c>
      <c r="X710">
        <v>2.4999999999999898</v>
      </c>
      <c r="Y710">
        <v>7.73672514947617</v>
      </c>
      <c r="Z710">
        <v>0.49999999988266702</v>
      </c>
      <c r="AA710">
        <v>14.150338264497501</v>
      </c>
      <c r="AB710" s="9">
        <f t="shared" si="98"/>
        <v>-0.36982911485303088</v>
      </c>
      <c r="AC710" s="9">
        <f t="shared" si="99"/>
        <v>-0.37828473228193571</v>
      </c>
      <c r="AD710" s="2">
        <f t="shared" si="100"/>
        <v>2.2863579662366629E-2</v>
      </c>
      <c r="AE710" s="8">
        <f t="shared" si="101"/>
        <v>1.231507662182872E-2</v>
      </c>
      <c r="AF710" s="2">
        <f t="shared" si="102"/>
        <v>-2.8966525296339057E-3</v>
      </c>
      <c r="AG710" s="8">
        <f t="shared" si="103"/>
        <v>1.5211729151462626E-2</v>
      </c>
      <c r="AH710" s="7">
        <f t="shared" si="104"/>
        <v>-0.19042230510365019</v>
      </c>
      <c r="AI710">
        <f t="shared" si="105"/>
        <v>4</v>
      </c>
      <c r="AJ710" s="10">
        <f t="shared" si="106"/>
        <v>0.24338766642340201</v>
      </c>
    </row>
    <row r="711" spans="1:36" hidden="1" x14ac:dyDescent="0.25">
      <c r="A711" t="b">
        <v>0</v>
      </c>
      <c r="B711">
        <v>1000</v>
      </c>
      <c r="C711">
        <v>0.24338766642340201</v>
      </c>
      <c r="D711" t="s">
        <v>52</v>
      </c>
      <c r="E711" t="b">
        <v>1</v>
      </c>
      <c r="F711" t="s">
        <v>53</v>
      </c>
      <c r="G711">
        <v>7.4999999999999997E-2</v>
      </c>
      <c r="H711">
        <v>0.5</v>
      </c>
      <c r="I711">
        <v>1E-4</v>
      </c>
      <c r="J711" t="b">
        <v>1</v>
      </c>
      <c r="K711">
        <v>4</v>
      </c>
      <c r="L711">
        <v>1500</v>
      </c>
      <c r="M711">
        <v>0.25</v>
      </c>
      <c r="N711">
        <v>0.154</v>
      </c>
      <c r="O711" t="s">
        <v>346</v>
      </c>
      <c r="P711" t="s">
        <v>347</v>
      </c>
      <c r="Q711" s="1">
        <v>-1.95490619301612E-5</v>
      </c>
      <c r="R711" s="1">
        <v>4.7773813010980897E-5</v>
      </c>
      <c r="S711" s="1">
        <v>6.7508205174240395E-5</v>
      </c>
      <c r="T711">
        <v>-3.9970873215828802E-4</v>
      </c>
      <c r="U711">
        <v>4.0162594034695402</v>
      </c>
      <c r="V711" s="1">
        <v>9.9999999999999905E-15</v>
      </c>
      <c r="W711">
        <v>0.162391119133488</v>
      </c>
      <c r="X711">
        <v>2.4999999999999898</v>
      </c>
      <c r="Y711">
        <v>7.4776859997081697</v>
      </c>
      <c r="Z711">
        <v>0.49999999998641198</v>
      </c>
      <c r="AA711">
        <v>13.5402760689005</v>
      </c>
      <c r="AB711" s="9">
        <f t="shared" si="98"/>
        <v>-0.37005569464355259</v>
      </c>
      <c r="AC711" s="9">
        <f t="shared" si="99"/>
        <v>-0.37828473228193571</v>
      </c>
      <c r="AD711" s="2">
        <f t="shared" si="100"/>
        <v>2.2237294973421529E-2</v>
      </c>
      <c r="AE711" s="8">
        <f t="shared" si="101"/>
        <v>1.2392480822841861E-2</v>
      </c>
      <c r="AF711" s="2">
        <f t="shared" si="102"/>
        <v>-2.8192483286207642E-3</v>
      </c>
      <c r="AG711" s="8">
        <f t="shared" si="103"/>
        <v>1.5211729151462626E-2</v>
      </c>
      <c r="AH711" s="7">
        <f t="shared" si="104"/>
        <v>-0.18533384998836178</v>
      </c>
      <c r="AI711">
        <f t="shared" si="105"/>
        <v>4</v>
      </c>
      <c r="AJ711" s="10">
        <f t="shared" si="106"/>
        <v>0.24338766642340201</v>
      </c>
    </row>
    <row r="712" spans="1:36" hidden="1" x14ac:dyDescent="0.25">
      <c r="A712" t="b">
        <v>0</v>
      </c>
      <c r="B712">
        <v>1000</v>
      </c>
      <c r="C712">
        <v>0.24338766642340201</v>
      </c>
      <c r="D712" t="s">
        <v>52</v>
      </c>
      <c r="E712" t="b">
        <v>1</v>
      </c>
      <c r="F712" t="s">
        <v>53</v>
      </c>
      <c r="G712">
        <v>7.4999999999999997E-2</v>
      </c>
      <c r="H712">
        <v>0.5</v>
      </c>
      <c r="I712">
        <v>1E-4</v>
      </c>
      <c r="J712" t="b">
        <v>1</v>
      </c>
      <c r="K712">
        <v>4</v>
      </c>
      <c r="L712">
        <v>1500</v>
      </c>
      <c r="M712">
        <v>0.25</v>
      </c>
      <c r="N712">
        <v>0.154</v>
      </c>
      <c r="O712" t="s">
        <v>346</v>
      </c>
      <c r="P712" t="s">
        <v>348</v>
      </c>
      <c r="Q712">
        <v>-1.5627584709731999E-4</v>
      </c>
      <c r="R712">
        <v>3.7605882556739599E-4</v>
      </c>
      <c r="S712">
        <v>5.3962647561136602E-4</v>
      </c>
      <c r="T712">
        <v>-3.1933580451454402E-3</v>
      </c>
      <c r="U712">
        <v>4.0157376373328004</v>
      </c>
      <c r="V712" s="1">
        <v>9.9999999999999101E-15</v>
      </c>
      <c r="W712">
        <v>0.16013019792456401</v>
      </c>
      <c r="X712">
        <v>2.4999999999999898</v>
      </c>
      <c r="Y712">
        <v>7.3679107209575498</v>
      </c>
      <c r="Z712">
        <v>0.49999999988093302</v>
      </c>
      <c r="AA712">
        <v>13.3312084079197</v>
      </c>
      <c r="AB712" s="9">
        <f t="shared" si="98"/>
        <v>-0.36985746037659056</v>
      </c>
      <c r="AC712" s="9">
        <f t="shared" si="99"/>
        <v>-0.37828473228193571</v>
      </c>
      <c r="AD712" s="2">
        <f t="shared" si="100"/>
        <v>2.2785188371662102E-2</v>
      </c>
      <c r="AE712" s="8">
        <f t="shared" si="101"/>
        <v>1.2324759373463737E-2</v>
      </c>
      <c r="AF712" s="2">
        <f t="shared" si="102"/>
        <v>-2.8869697779988889E-3</v>
      </c>
      <c r="AG712" s="8">
        <f t="shared" si="103"/>
        <v>1.5211729151462626E-2</v>
      </c>
      <c r="AH712" s="7">
        <f t="shared" si="104"/>
        <v>-0.18978577315264014</v>
      </c>
      <c r="AI712">
        <f t="shared" si="105"/>
        <v>4</v>
      </c>
      <c r="AJ712" s="10">
        <f t="shared" si="106"/>
        <v>0.24338766642340201</v>
      </c>
    </row>
    <row r="713" spans="1:36" hidden="1" x14ac:dyDescent="0.25">
      <c r="A713" t="b">
        <v>0</v>
      </c>
      <c r="B713">
        <v>1000</v>
      </c>
      <c r="C713">
        <v>0.24338766642340201</v>
      </c>
      <c r="D713" t="s">
        <v>52</v>
      </c>
      <c r="E713" t="b">
        <v>1</v>
      </c>
      <c r="F713" t="s">
        <v>53</v>
      </c>
      <c r="G713">
        <v>7.4999999999999997E-2</v>
      </c>
      <c r="H713">
        <v>0.5</v>
      </c>
      <c r="I713">
        <v>1E-4</v>
      </c>
      <c r="J713" t="b">
        <v>1</v>
      </c>
      <c r="K713">
        <v>4</v>
      </c>
      <c r="L713">
        <v>1500</v>
      </c>
      <c r="M713">
        <v>0.25</v>
      </c>
      <c r="N713">
        <v>0.154</v>
      </c>
      <c r="O713" t="s">
        <v>347</v>
      </c>
      <c r="P713" t="s">
        <v>348</v>
      </c>
      <c r="Q713">
        <v>-1.3672678518069199E-4</v>
      </c>
      <c r="R713">
        <v>3.5933941555917298E-4</v>
      </c>
      <c r="S713">
        <v>4.7211827043712598E-4</v>
      </c>
      <c r="T713">
        <v>-2.7936493129871302E-3</v>
      </c>
      <c r="U713">
        <v>4.0156629953595404</v>
      </c>
      <c r="V713" s="1">
        <v>9.9999999999999101E-15</v>
      </c>
      <c r="W713">
        <v>0.17651163960337299</v>
      </c>
      <c r="X713">
        <v>2.4999999999999898</v>
      </c>
      <c r="Y713">
        <v>7.9773153125734</v>
      </c>
      <c r="Z713">
        <v>0.49999999988266802</v>
      </c>
      <c r="AA713">
        <v>14.582748014166601</v>
      </c>
      <c r="AB713" s="9">
        <f t="shared" si="98"/>
        <v>-0.36982911485300862</v>
      </c>
      <c r="AC713" s="9">
        <f t="shared" si="99"/>
        <v>-0.37828473228193571</v>
      </c>
      <c r="AD713" s="2">
        <f t="shared" si="100"/>
        <v>2.2863579662428135E-2</v>
      </c>
      <c r="AE713" s="8">
        <f t="shared" si="101"/>
        <v>1.2315076621821111E-2</v>
      </c>
      <c r="AF713" s="2">
        <f t="shared" si="102"/>
        <v>-2.8966525296415142E-3</v>
      </c>
      <c r="AG713" s="8">
        <f t="shared" si="103"/>
        <v>1.5211729151462626E-2</v>
      </c>
      <c r="AH713" s="7">
        <f t="shared" si="104"/>
        <v>-0.19042230510415034</v>
      </c>
      <c r="AI713">
        <f t="shared" si="105"/>
        <v>4</v>
      </c>
      <c r="AJ713" s="10">
        <f t="shared" si="106"/>
        <v>0.24338766642340201</v>
      </c>
    </row>
    <row r="714" spans="1:36" hidden="1" x14ac:dyDescent="0.25">
      <c r="A714" t="b">
        <v>0</v>
      </c>
      <c r="B714">
        <v>1000</v>
      </c>
      <c r="C714">
        <v>0.24338766642340201</v>
      </c>
      <c r="D714" t="s">
        <v>52</v>
      </c>
      <c r="E714" t="b">
        <v>1</v>
      </c>
      <c r="F714" t="s">
        <v>53</v>
      </c>
      <c r="G714">
        <v>7.4999999999999997E-2</v>
      </c>
      <c r="H714">
        <v>0.5</v>
      </c>
      <c r="I714">
        <v>1E-4</v>
      </c>
      <c r="J714" t="b">
        <v>1</v>
      </c>
      <c r="K714">
        <v>6</v>
      </c>
      <c r="L714">
        <v>1500</v>
      </c>
      <c r="M714">
        <v>0.25</v>
      </c>
      <c r="N714">
        <v>0.154</v>
      </c>
      <c r="O714" t="s">
        <v>349</v>
      </c>
      <c r="P714" t="s">
        <v>350</v>
      </c>
      <c r="Q714" s="1">
        <v>-3.7533478822773797E-5</v>
      </c>
      <c r="R714">
        <v>3.4994445371158499E-4</v>
      </c>
      <c r="S714">
        <v>1.5044085868201401E-4</v>
      </c>
      <c r="T714">
        <v>-1.8714789900659799E-3</v>
      </c>
      <c r="U714">
        <v>6.00067300378418</v>
      </c>
      <c r="V714" s="1">
        <v>9.9999999999990802E-15</v>
      </c>
      <c r="W714">
        <v>0.63395136817792996</v>
      </c>
      <c r="X714">
        <v>2.4999999999999898</v>
      </c>
      <c r="Y714">
        <v>28.2042002583262</v>
      </c>
      <c r="Z714">
        <v>0.49999999988628502</v>
      </c>
      <c r="AA714">
        <v>51.774707114176898</v>
      </c>
      <c r="AB714" s="9">
        <f t="shared" si="98"/>
        <v>-0.34555457843878901</v>
      </c>
      <c r="AC714" s="9">
        <f t="shared" si="99"/>
        <v>-0.35347943573387253</v>
      </c>
      <c r="AD714" s="2">
        <f t="shared" si="100"/>
        <v>2.2933735477874251E-2</v>
      </c>
      <c r="AE714" s="8">
        <f t="shared" si="101"/>
        <v>4.0904116763783036E-3</v>
      </c>
      <c r="AF714" s="2">
        <f t="shared" si="102"/>
        <v>-2.6703568353828632E-3</v>
      </c>
      <c r="AG714" s="8">
        <f t="shared" si="103"/>
        <v>6.7607685117611668E-3</v>
      </c>
      <c r="AH714" s="7">
        <f t="shared" si="104"/>
        <v>-0.39497829732484668</v>
      </c>
      <c r="AI714">
        <f t="shared" si="105"/>
        <v>6</v>
      </c>
      <c r="AJ714" s="10">
        <f t="shared" si="106"/>
        <v>0.24338766642340201</v>
      </c>
    </row>
    <row r="715" spans="1:36" hidden="1" x14ac:dyDescent="0.25">
      <c r="A715" t="b">
        <v>0</v>
      </c>
      <c r="B715">
        <v>1000</v>
      </c>
      <c r="C715">
        <v>0.24338766642340201</v>
      </c>
      <c r="D715" t="s">
        <v>52</v>
      </c>
      <c r="E715" t="b">
        <v>1</v>
      </c>
      <c r="F715" t="s">
        <v>53</v>
      </c>
      <c r="G715">
        <v>7.4999999999999997E-2</v>
      </c>
      <c r="H715">
        <v>0.5</v>
      </c>
      <c r="I715">
        <v>1E-4</v>
      </c>
      <c r="J715" t="b">
        <v>1</v>
      </c>
      <c r="K715">
        <v>6</v>
      </c>
      <c r="L715">
        <v>1500</v>
      </c>
      <c r="M715">
        <v>0.25</v>
      </c>
      <c r="N715">
        <v>0.154</v>
      </c>
      <c r="O715" t="s">
        <v>349</v>
      </c>
      <c r="P715" t="s">
        <v>351</v>
      </c>
      <c r="Q715">
        <v>-2.9994639363641198E-4</v>
      </c>
      <c r="R715">
        <v>2.8371819994385101E-3</v>
      </c>
      <c r="S715">
        <v>1.20187030256673E-3</v>
      </c>
      <c r="T715">
        <v>-1.49362872220337E-2</v>
      </c>
      <c r="U715">
        <v>5.9990395776155498</v>
      </c>
      <c r="V715" s="1">
        <v>9.9999999999999905E-15</v>
      </c>
      <c r="W715">
        <v>0.64173556027985901</v>
      </c>
      <c r="X715">
        <v>2.4999999999999898</v>
      </c>
      <c r="Y715">
        <v>28.611551544811</v>
      </c>
      <c r="Z715">
        <v>0.499999999999999</v>
      </c>
      <c r="AA715">
        <v>52.525035245172603</v>
      </c>
      <c r="AB715" s="9">
        <f t="shared" si="98"/>
        <v>-0.34520935111938011</v>
      </c>
      <c r="AC715" s="9">
        <f t="shared" si="99"/>
        <v>-0.35347943573387253</v>
      </c>
      <c r="AD715" s="2">
        <f t="shared" si="100"/>
        <v>2.3956722457476154E-2</v>
      </c>
      <c r="AE715" s="8">
        <f t="shared" si="101"/>
        <v>3.9744059673346059E-3</v>
      </c>
      <c r="AF715" s="2">
        <f t="shared" si="102"/>
        <v>-2.7863625444265608E-3</v>
      </c>
      <c r="AG715" s="8">
        <f t="shared" si="103"/>
        <v>6.7607685117611668E-3</v>
      </c>
      <c r="AH715" s="7">
        <f t="shared" si="104"/>
        <v>-0.41213695448666071</v>
      </c>
      <c r="AI715">
        <f t="shared" si="105"/>
        <v>6</v>
      </c>
      <c r="AJ715" s="10">
        <f t="shared" si="106"/>
        <v>0.24338766642340201</v>
      </c>
    </row>
    <row r="716" spans="1:36" hidden="1" x14ac:dyDescent="0.25">
      <c r="A716" t="b">
        <v>0</v>
      </c>
      <c r="B716">
        <v>1000</v>
      </c>
      <c r="C716">
        <v>0.24338766642340201</v>
      </c>
      <c r="D716" t="s">
        <v>52</v>
      </c>
      <c r="E716" t="b">
        <v>1</v>
      </c>
      <c r="F716" t="s">
        <v>53</v>
      </c>
      <c r="G716">
        <v>7.4999999999999997E-2</v>
      </c>
      <c r="H716">
        <v>0.5</v>
      </c>
      <c r="I716">
        <v>1E-4</v>
      </c>
      <c r="J716" t="b">
        <v>1</v>
      </c>
      <c r="K716">
        <v>6</v>
      </c>
      <c r="L716">
        <v>1500</v>
      </c>
      <c r="M716">
        <v>0.25</v>
      </c>
      <c r="N716">
        <v>0.154</v>
      </c>
      <c r="O716" t="s">
        <v>349</v>
      </c>
      <c r="P716" t="s">
        <v>352</v>
      </c>
      <c r="Q716" s="1">
        <v>-3.7533478822773601E-5</v>
      </c>
      <c r="R716">
        <v>3.40629634905461E-4</v>
      </c>
      <c r="S716">
        <v>1.5044085868201501E-4</v>
      </c>
      <c r="T716">
        <v>-1.87147899006604E-3</v>
      </c>
      <c r="U716">
        <v>6.0006730037796601</v>
      </c>
      <c r="V716" s="1">
        <v>9.9999999999990802E-15</v>
      </c>
      <c r="W716">
        <v>0.61281206601842397</v>
      </c>
      <c r="X716">
        <v>2.4999999999999898</v>
      </c>
      <c r="Y716">
        <v>27.565496435433801</v>
      </c>
      <c r="Z716">
        <v>0.49999999988628502</v>
      </c>
      <c r="AA716">
        <v>50.357152314636899</v>
      </c>
      <c r="AB716" s="9">
        <f t="shared" si="98"/>
        <v>-0.34555457843879778</v>
      </c>
      <c r="AC716" s="9">
        <f t="shared" si="99"/>
        <v>-0.35347943573387253</v>
      </c>
      <c r="AD716" s="2">
        <f t="shared" si="100"/>
        <v>2.2933735477848272E-2</v>
      </c>
      <c r="AE716" s="8">
        <f t="shared" si="101"/>
        <v>4.090411676381263E-3</v>
      </c>
      <c r="AF716" s="2">
        <f t="shared" si="102"/>
        <v>-2.6703568353799037E-3</v>
      </c>
      <c r="AG716" s="8">
        <f t="shared" si="103"/>
        <v>6.7607685117611668E-3</v>
      </c>
      <c r="AH716" s="7">
        <f t="shared" si="104"/>
        <v>-0.39497829732440892</v>
      </c>
      <c r="AI716">
        <f t="shared" si="105"/>
        <v>6</v>
      </c>
      <c r="AJ716" s="10">
        <f t="shared" si="106"/>
        <v>0.24338766642340201</v>
      </c>
    </row>
    <row r="717" spans="1:36" hidden="1" x14ac:dyDescent="0.25">
      <c r="A717" t="b">
        <v>0</v>
      </c>
      <c r="B717">
        <v>1000</v>
      </c>
      <c r="C717">
        <v>0.24338766642340201</v>
      </c>
      <c r="D717" t="s">
        <v>52</v>
      </c>
      <c r="E717" t="b">
        <v>1</v>
      </c>
      <c r="F717" t="s">
        <v>53</v>
      </c>
      <c r="G717">
        <v>7.4999999999999997E-2</v>
      </c>
      <c r="H717">
        <v>0.5</v>
      </c>
      <c r="I717">
        <v>1E-4</v>
      </c>
      <c r="J717" t="b">
        <v>1</v>
      </c>
      <c r="K717">
        <v>6</v>
      </c>
      <c r="L717">
        <v>1500</v>
      </c>
      <c r="M717">
        <v>0.25</v>
      </c>
      <c r="N717">
        <v>0.154</v>
      </c>
      <c r="O717" t="s">
        <v>349</v>
      </c>
      <c r="P717" t="s">
        <v>353</v>
      </c>
      <c r="Q717" s="1">
        <v>-7.5067183039868396E-5</v>
      </c>
      <c r="R717">
        <v>6.9835145810907503E-4</v>
      </c>
      <c r="S717">
        <v>3.0088075113091702E-4</v>
      </c>
      <c r="T717">
        <v>-3.7428701090353399E-3</v>
      </c>
      <c r="U717">
        <v>6.00043908789009</v>
      </c>
      <c r="V717" s="1">
        <v>9.9999999999988798E-15</v>
      </c>
      <c r="W717">
        <v>0.62834633549410701</v>
      </c>
      <c r="X717">
        <v>2.4999999999999898</v>
      </c>
      <c r="Y717">
        <v>28.2136008061929</v>
      </c>
      <c r="Z717">
        <v>0.49999999987611798</v>
      </c>
      <c r="AA717">
        <v>51.632643543962502</v>
      </c>
      <c r="AB717" s="9">
        <f t="shared" si="98"/>
        <v>-0.34554757573917549</v>
      </c>
      <c r="AC717" s="9">
        <f t="shared" si="99"/>
        <v>-0.35347943573387253</v>
      </c>
      <c r="AD717" s="2">
        <f t="shared" si="100"/>
        <v>2.2954465756935605E-2</v>
      </c>
      <c r="AE717" s="8">
        <f t="shared" si="101"/>
        <v>4.0880583136849082E-3</v>
      </c>
      <c r="AF717" s="2">
        <f t="shared" si="102"/>
        <v>-2.6727101980762585E-3</v>
      </c>
      <c r="AG717" s="8">
        <f t="shared" si="103"/>
        <v>6.7607685117611668E-3</v>
      </c>
      <c r="AH717" s="7">
        <f t="shared" si="104"/>
        <v>-0.39532638832800721</v>
      </c>
      <c r="AI717">
        <f t="shared" si="105"/>
        <v>6</v>
      </c>
      <c r="AJ717" s="10">
        <f t="shared" si="106"/>
        <v>0.24338766642340201</v>
      </c>
    </row>
    <row r="718" spans="1:36" hidden="1" x14ac:dyDescent="0.25">
      <c r="A718" t="b">
        <v>0</v>
      </c>
      <c r="B718">
        <v>1000</v>
      </c>
      <c r="C718">
        <v>0.24338766642340201</v>
      </c>
      <c r="D718" t="s">
        <v>52</v>
      </c>
      <c r="E718" t="b">
        <v>1</v>
      </c>
      <c r="F718" t="s">
        <v>53</v>
      </c>
      <c r="G718">
        <v>7.4999999999999997E-2</v>
      </c>
      <c r="H718">
        <v>0.5</v>
      </c>
      <c r="I718">
        <v>1E-4</v>
      </c>
      <c r="J718" t="b">
        <v>1</v>
      </c>
      <c r="K718">
        <v>6</v>
      </c>
      <c r="L718">
        <v>1500</v>
      </c>
      <c r="M718">
        <v>0.25</v>
      </c>
      <c r="N718">
        <v>0.154</v>
      </c>
      <c r="O718" t="s">
        <v>349</v>
      </c>
      <c r="P718" t="s">
        <v>354</v>
      </c>
      <c r="Q718">
        <v>-3.3748167078113402E-4</v>
      </c>
      <c r="R718">
        <v>2.6116680573722E-3</v>
      </c>
      <c r="S718">
        <v>1.3523034498801E-3</v>
      </c>
      <c r="T718">
        <v>-1.68070650537059E-2</v>
      </c>
      <c r="U718">
        <v>5.9988056109940198</v>
      </c>
      <c r="V718" s="1">
        <v>9.9999999999999905E-15</v>
      </c>
      <c r="W718">
        <v>0.51479564263520206</v>
      </c>
      <c r="X718">
        <v>2.4999999999999898</v>
      </c>
      <c r="Y718">
        <v>23.898814935815199</v>
      </c>
      <c r="Z718">
        <v>0.499999999999999</v>
      </c>
      <c r="AA718">
        <v>42.817456830573697</v>
      </c>
      <c r="AB718" s="9">
        <f t="shared" si="98"/>
        <v>-0.34523532288547437</v>
      </c>
      <c r="AC718" s="9">
        <f t="shared" si="99"/>
        <v>-0.35347943573387253</v>
      </c>
      <c r="AD718" s="2">
        <f t="shared" si="100"/>
        <v>2.3879691045209261E-2</v>
      </c>
      <c r="AE718" s="8">
        <f t="shared" si="101"/>
        <v>3.9831322501892013E-3</v>
      </c>
      <c r="AF718" s="2">
        <f t="shared" si="102"/>
        <v>-2.7776362615719655E-3</v>
      </c>
      <c r="AG718" s="8">
        <f t="shared" si="103"/>
        <v>6.7607685117611668E-3</v>
      </c>
      <c r="AH718" s="7">
        <f t="shared" si="104"/>
        <v>-0.41084623097802186</v>
      </c>
      <c r="AI718">
        <f t="shared" si="105"/>
        <v>6</v>
      </c>
      <c r="AJ718" s="10">
        <f t="shared" si="106"/>
        <v>0.24338766642340201</v>
      </c>
    </row>
    <row r="719" spans="1:36" hidden="1" x14ac:dyDescent="0.25">
      <c r="A719" t="b">
        <v>0</v>
      </c>
      <c r="B719">
        <v>1000</v>
      </c>
      <c r="C719">
        <v>0.24338766642340201</v>
      </c>
      <c r="D719" t="s">
        <v>52</v>
      </c>
      <c r="E719" t="b">
        <v>1</v>
      </c>
      <c r="F719" t="s">
        <v>53</v>
      </c>
      <c r="G719">
        <v>7.4999999999999997E-2</v>
      </c>
      <c r="H719">
        <v>0.5</v>
      </c>
      <c r="I719">
        <v>1E-4</v>
      </c>
      <c r="J719" t="b">
        <v>1</v>
      </c>
      <c r="K719">
        <v>6</v>
      </c>
      <c r="L719">
        <v>1500</v>
      </c>
      <c r="M719">
        <v>0.25</v>
      </c>
      <c r="N719">
        <v>0.154</v>
      </c>
      <c r="O719" t="s">
        <v>349</v>
      </c>
      <c r="P719" t="s">
        <v>355</v>
      </c>
      <c r="Q719">
        <v>-2.9994639363641301E-4</v>
      </c>
      <c r="R719">
        <v>2.8259424059086402E-3</v>
      </c>
      <c r="S719">
        <v>1.20187030256673E-3</v>
      </c>
      <c r="T719">
        <v>-1.4936287222033599E-2</v>
      </c>
      <c r="U719">
        <v>5.9990395776209402</v>
      </c>
      <c r="V719" s="1">
        <v>9.9999999999999905E-15</v>
      </c>
      <c r="W719">
        <v>0.64244974885116002</v>
      </c>
      <c r="X719">
        <v>2.4999999999999898</v>
      </c>
      <c r="Y719">
        <v>28.452774376438899</v>
      </c>
      <c r="Z719">
        <v>0.499999999999999</v>
      </c>
      <c r="AA719">
        <v>52.337628496662198</v>
      </c>
      <c r="AB719" s="9">
        <f t="shared" si="98"/>
        <v>-0.34520935111937778</v>
      </c>
      <c r="AC719" s="9">
        <f t="shared" si="99"/>
        <v>-0.35347943573387253</v>
      </c>
      <c r="AD719" s="2">
        <f t="shared" si="100"/>
        <v>2.3956722457483037E-2</v>
      </c>
      <c r="AE719" s="8">
        <f t="shared" si="101"/>
        <v>3.9744059673338349E-3</v>
      </c>
      <c r="AF719" s="2">
        <f t="shared" si="102"/>
        <v>-2.7863625444273319E-3</v>
      </c>
      <c r="AG719" s="8">
        <f t="shared" si="103"/>
        <v>6.7607685117611668E-3</v>
      </c>
      <c r="AH719" s="7">
        <f t="shared" si="104"/>
        <v>-0.41213695448677473</v>
      </c>
      <c r="AI719">
        <f t="shared" si="105"/>
        <v>6</v>
      </c>
      <c r="AJ719" s="10">
        <f t="shared" si="106"/>
        <v>0.24338766642340201</v>
      </c>
    </row>
    <row r="720" spans="1:36" hidden="1" x14ac:dyDescent="0.25">
      <c r="A720" t="b">
        <v>0</v>
      </c>
      <c r="B720">
        <v>1000</v>
      </c>
      <c r="C720">
        <v>0.24338766642340201</v>
      </c>
      <c r="D720" t="s">
        <v>52</v>
      </c>
      <c r="E720" t="b">
        <v>1</v>
      </c>
      <c r="F720" t="s">
        <v>53</v>
      </c>
      <c r="G720">
        <v>7.4999999999999997E-2</v>
      </c>
      <c r="H720">
        <v>0.5</v>
      </c>
      <c r="I720">
        <v>1E-4</v>
      </c>
      <c r="J720" t="b">
        <v>1</v>
      </c>
      <c r="K720">
        <v>6</v>
      </c>
      <c r="L720">
        <v>1500</v>
      </c>
      <c r="M720">
        <v>0.25</v>
      </c>
      <c r="N720">
        <v>0.154</v>
      </c>
      <c r="O720" t="s">
        <v>349</v>
      </c>
      <c r="P720" t="s">
        <v>356</v>
      </c>
      <c r="Q720">
        <v>-3.3748167078113701E-4</v>
      </c>
      <c r="R720">
        <v>2.6630017130034101E-3</v>
      </c>
      <c r="S720">
        <v>1.35230344988011E-3</v>
      </c>
      <c r="T720">
        <v>-1.6807065053706102E-2</v>
      </c>
      <c r="U720">
        <v>5.9988056109924797</v>
      </c>
      <c r="V720" s="1">
        <v>9.9999999999999905E-15</v>
      </c>
      <c r="W720">
        <v>0.52097677450411695</v>
      </c>
      <c r="X720">
        <v>2.4999999999999898</v>
      </c>
      <c r="Y720">
        <v>24.384653848657901</v>
      </c>
      <c r="Z720">
        <v>0.499999999999999</v>
      </c>
      <c r="AA720">
        <v>43.6468494172425</v>
      </c>
      <c r="AB720" s="9">
        <f t="shared" si="98"/>
        <v>-0.34523532288547598</v>
      </c>
      <c r="AC720" s="9">
        <f t="shared" si="99"/>
        <v>-0.35347943573387253</v>
      </c>
      <c r="AD720" s="2">
        <f t="shared" si="100"/>
        <v>2.3879691045204376E-2</v>
      </c>
      <c r="AE720" s="8">
        <f t="shared" si="101"/>
        <v>3.9831322501897486E-3</v>
      </c>
      <c r="AF720" s="2">
        <f t="shared" si="102"/>
        <v>-2.7776362615714182E-3</v>
      </c>
      <c r="AG720" s="8">
        <f t="shared" si="103"/>
        <v>6.7607685117611668E-3</v>
      </c>
      <c r="AH720" s="7">
        <f t="shared" si="104"/>
        <v>-0.41084623097794093</v>
      </c>
      <c r="AI720">
        <f t="shared" si="105"/>
        <v>6</v>
      </c>
      <c r="AJ720" s="10">
        <f t="shared" si="106"/>
        <v>0.24338766642340201</v>
      </c>
    </row>
    <row r="721" spans="1:36" hidden="1" x14ac:dyDescent="0.25">
      <c r="A721" t="b">
        <v>0</v>
      </c>
      <c r="B721">
        <v>1000</v>
      </c>
      <c r="C721">
        <v>0.24338766642340201</v>
      </c>
      <c r="D721" t="s">
        <v>52</v>
      </c>
      <c r="E721" t="b">
        <v>1</v>
      </c>
      <c r="F721" t="s">
        <v>53</v>
      </c>
      <c r="G721">
        <v>7.4999999999999997E-2</v>
      </c>
      <c r="H721">
        <v>0.5</v>
      </c>
      <c r="I721">
        <v>1E-4</v>
      </c>
      <c r="J721" t="b">
        <v>1</v>
      </c>
      <c r="K721">
        <v>6</v>
      </c>
      <c r="L721">
        <v>1500</v>
      </c>
      <c r="M721">
        <v>0.25</v>
      </c>
      <c r="N721">
        <v>0.154</v>
      </c>
      <c r="O721" t="s">
        <v>349</v>
      </c>
      <c r="P721" t="s">
        <v>357</v>
      </c>
      <c r="Q721">
        <v>-5.9990713191569603E-4</v>
      </c>
      <c r="R721">
        <v>5.6653180473395298E-3</v>
      </c>
      <c r="S721">
        <v>2.40367906179544E-3</v>
      </c>
      <c r="T721">
        <v>-2.9866979622376701E-2</v>
      </c>
      <c r="U721">
        <v>5.9971717793363899</v>
      </c>
      <c r="V721" s="1">
        <v>9.9999999999999905E-15</v>
      </c>
      <c r="W721">
        <v>0.64173330148794905</v>
      </c>
      <c r="X721">
        <v>2.4999999999999898</v>
      </c>
      <c r="Y721">
        <v>28.5514548527896</v>
      </c>
      <c r="Z721">
        <v>0.499999999999999</v>
      </c>
      <c r="AA721">
        <v>52.446514595967699</v>
      </c>
      <c r="AB721" s="9">
        <f t="shared" si="98"/>
        <v>-0.34515353402633331</v>
      </c>
      <c r="AC721" s="9">
        <f t="shared" si="99"/>
        <v>-0.35347943573387253</v>
      </c>
      <c r="AD721" s="2">
        <f t="shared" si="100"/>
        <v>2.4122313367082704E-2</v>
      </c>
      <c r="AE721" s="8">
        <f t="shared" si="101"/>
        <v>3.9556524328761208E-3</v>
      </c>
      <c r="AF721" s="2">
        <f t="shared" si="102"/>
        <v>-2.8051160788850459E-3</v>
      </c>
      <c r="AG721" s="8">
        <f t="shared" si="103"/>
        <v>6.7607685117611668E-3</v>
      </c>
      <c r="AH721" s="7">
        <f t="shared" si="104"/>
        <v>-0.41491083062601691</v>
      </c>
      <c r="AI721">
        <f t="shared" si="105"/>
        <v>6</v>
      </c>
      <c r="AJ721" s="10">
        <f t="shared" si="106"/>
        <v>0.24338766642340201</v>
      </c>
    </row>
    <row r="722" spans="1:36" hidden="1" x14ac:dyDescent="0.25">
      <c r="A722" t="b">
        <v>0</v>
      </c>
      <c r="B722">
        <v>1000</v>
      </c>
      <c r="C722">
        <v>0.24338766642340201</v>
      </c>
      <c r="D722" t="s">
        <v>52</v>
      </c>
      <c r="E722" t="b">
        <v>1</v>
      </c>
      <c r="F722" t="s">
        <v>53</v>
      </c>
      <c r="G722">
        <v>7.4999999999999997E-2</v>
      </c>
      <c r="H722">
        <v>0.5</v>
      </c>
      <c r="I722">
        <v>1E-4</v>
      </c>
      <c r="J722" t="b">
        <v>1</v>
      </c>
      <c r="K722">
        <v>6</v>
      </c>
      <c r="L722">
        <v>1500</v>
      </c>
      <c r="M722">
        <v>0.25</v>
      </c>
      <c r="N722">
        <v>0.154</v>
      </c>
      <c r="O722" t="s">
        <v>350</v>
      </c>
      <c r="P722" t="s">
        <v>351</v>
      </c>
      <c r="Q722">
        <v>-2.6241291466169302E-4</v>
      </c>
      <c r="R722">
        <v>2.3844137968608201E-3</v>
      </c>
      <c r="S722">
        <v>1.05142944388472E-3</v>
      </c>
      <c r="T722">
        <v>-1.3064808231967999E-2</v>
      </c>
      <c r="U722">
        <v>5.9988056689692799</v>
      </c>
      <c r="V722" s="1">
        <v>9.9999999999999905E-15</v>
      </c>
      <c r="W722">
        <v>0.61476601740240799</v>
      </c>
      <c r="X722">
        <v>2.4999999999999898</v>
      </c>
      <c r="Y722">
        <v>27.5779908018174</v>
      </c>
      <c r="Z722">
        <v>0.499999999999999</v>
      </c>
      <c r="AA722">
        <v>50.4280661533206</v>
      </c>
      <c r="AB722" s="9">
        <f t="shared" si="98"/>
        <v>-0.34515995522822635</v>
      </c>
      <c r="AC722" s="9">
        <f t="shared" si="99"/>
        <v>-0.35347943573387253</v>
      </c>
      <c r="AD722" s="2">
        <f t="shared" si="100"/>
        <v>2.4103261052242253E-2</v>
      </c>
      <c r="AE722" s="8">
        <f t="shared" si="101"/>
        <v>3.9578098049962065E-3</v>
      </c>
      <c r="AF722" s="2">
        <f t="shared" si="102"/>
        <v>-2.8029587067649603E-3</v>
      </c>
      <c r="AG722" s="8">
        <f t="shared" si="103"/>
        <v>6.7607685117611668E-3</v>
      </c>
      <c r="AH722" s="7">
        <f t="shared" si="104"/>
        <v>-0.41459172901555169</v>
      </c>
      <c r="AI722">
        <f t="shared" si="105"/>
        <v>6</v>
      </c>
      <c r="AJ722" s="10">
        <f t="shared" si="106"/>
        <v>0.24338766642340201</v>
      </c>
    </row>
    <row r="723" spans="1:36" hidden="1" x14ac:dyDescent="0.25">
      <c r="A723" t="b">
        <v>0</v>
      </c>
      <c r="B723">
        <v>1000</v>
      </c>
      <c r="C723">
        <v>0.24338766642340201</v>
      </c>
      <c r="D723" t="s">
        <v>52</v>
      </c>
      <c r="E723" t="b">
        <v>1</v>
      </c>
      <c r="F723" t="s">
        <v>53</v>
      </c>
      <c r="G723">
        <v>7.4999999999999997E-2</v>
      </c>
      <c r="H723">
        <v>0.5</v>
      </c>
      <c r="I723">
        <v>1E-4</v>
      </c>
      <c r="J723" t="b">
        <v>1</v>
      </c>
      <c r="K723">
        <v>6</v>
      </c>
      <c r="L723">
        <v>1500</v>
      </c>
      <c r="M723">
        <v>0.25</v>
      </c>
      <c r="N723">
        <v>0.154</v>
      </c>
      <c r="O723" t="s">
        <v>350</v>
      </c>
      <c r="P723" t="s">
        <v>352</v>
      </c>
      <c r="Q723" s="1">
        <v>-1E-10</v>
      </c>
      <c r="R723" s="1">
        <v>3.5857859526807901E-12</v>
      </c>
      <c r="S723" s="1">
        <v>8.0647640395095402E-18</v>
      </c>
      <c r="T723" s="1">
        <v>-1.5107907804529199E-16</v>
      </c>
      <c r="U723">
        <v>6.0004390951333901</v>
      </c>
      <c r="V723">
        <v>0</v>
      </c>
      <c r="W723">
        <v>6.84745486544414E-2</v>
      </c>
      <c r="X723">
        <v>2</v>
      </c>
      <c r="Y723">
        <v>4.0005664370699997E-3</v>
      </c>
      <c r="Z723">
        <v>2.5000000000000001E-4</v>
      </c>
      <c r="AA723">
        <v>4.79335300894032E-3</v>
      </c>
      <c r="AB723" s="9">
        <f t="shared" si="98"/>
        <v>-0.52036749448020869</v>
      </c>
      <c r="AC723" s="9">
        <f t="shared" si="99"/>
        <v>-0.35347943573387253</v>
      </c>
      <c r="AD723" s="2">
        <f t="shared" si="100"/>
        <v>-0.32071192093395351</v>
      </c>
      <c r="AE723" s="8">
        <f t="shared" si="101"/>
        <v>6.6490022226196377E-2</v>
      </c>
      <c r="AF723" s="2">
        <f t="shared" si="102"/>
        <v>5.9729253714435208E-2</v>
      </c>
      <c r="AG723" s="8">
        <f t="shared" si="103"/>
        <v>6.7607685117611668E-3</v>
      </c>
      <c r="AH723" s="7">
        <f t="shared" si="104"/>
        <v>8.8346840467217618</v>
      </c>
      <c r="AI723">
        <f t="shared" si="105"/>
        <v>6</v>
      </c>
      <c r="AJ723" s="10">
        <f t="shared" si="106"/>
        <v>0.24338766642340201</v>
      </c>
    </row>
    <row r="724" spans="1:36" hidden="1" x14ac:dyDescent="0.25">
      <c r="A724" t="b">
        <v>0</v>
      </c>
      <c r="B724">
        <v>1000</v>
      </c>
      <c r="C724">
        <v>0.24338766642340201</v>
      </c>
      <c r="D724" t="s">
        <v>52</v>
      </c>
      <c r="E724" t="b">
        <v>1</v>
      </c>
      <c r="F724" t="s">
        <v>53</v>
      </c>
      <c r="G724">
        <v>7.4999999999999997E-2</v>
      </c>
      <c r="H724">
        <v>0.5</v>
      </c>
      <c r="I724">
        <v>1E-4</v>
      </c>
      <c r="J724" t="b">
        <v>1</v>
      </c>
      <c r="K724">
        <v>6</v>
      </c>
      <c r="L724">
        <v>1500</v>
      </c>
      <c r="M724">
        <v>0.25</v>
      </c>
      <c r="N724">
        <v>0.154</v>
      </c>
      <c r="O724" t="s">
        <v>350</v>
      </c>
      <c r="P724" t="s">
        <v>353</v>
      </c>
      <c r="Q724" s="1">
        <v>-3.75337042318961E-5</v>
      </c>
      <c r="R724">
        <v>3.59754000098808E-4</v>
      </c>
      <c r="S724">
        <v>1.5043989244891299E-4</v>
      </c>
      <c r="T724">
        <v>-1.8713911189697501E-3</v>
      </c>
      <c r="U724">
        <v>6.00020517924382</v>
      </c>
      <c r="V724" s="1">
        <v>9.9999999999990802E-15</v>
      </c>
      <c r="W724">
        <v>0.64811862296119105</v>
      </c>
      <c r="X724">
        <v>2.4999999999999898</v>
      </c>
      <c r="Y724">
        <v>29.006754245910098</v>
      </c>
      <c r="Z724">
        <v>0.49999999988611799</v>
      </c>
      <c r="AA724">
        <v>53.215068707731497</v>
      </c>
      <c r="AB724" s="9">
        <f t="shared" si="98"/>
        <v>-0.3455405729946347</v>
      </c>
      <c r="AC724" s="9">
        <f t="shared" si="99"/>
        <v>-0.35347943573387253</v>
      </c>
      <c r="AD724" s="2">
        <f t="shared" si="100"/>
        <v>2.2975197009241111E-2</v>
      </c>
      <c r="AE724" s="8">
        <f t="shared" si="101"/>
        <v>4.0857049469246245E-3</v>
      </c>
      <c r="AF724" s="2">
        <f t="shared" si="102"/>
        <v>-2.6750635648365422E-3</v>
      </c>
      <c r="AG724" s="8">
        <f t="shared" si="103"/>
        <v>6.7607685117611668E-3</v>
      </c>
      <c r="AH724" s="7">
        <f t="shared" si="104"/>
        <v>-0.3956744799327101</v>
      </c>
      <c r="AI724">
        <f t="shared" si="105"/>
        <v>6</v>
      </c>
      <c r="AJ724" s="10">
        <f t="shared" si="106"/>
        <v>0.24338766642340201</v>
      </c>
    </row>
    <row r="725" spans="1:36" hidden="1" x14ac:dyDescent="0.25">
      <c r="A725" t="b">
        <v>0</v>
      </c>
      <c r="B725">
        <v>1000</v>
      </c>
      <c r="C725">
        <v>0.24338766642340201</v>
      </c>
      <c r="D725" t="s">
        <v>52</v>
      </c>
      <c r="E725" t="b">
        <v>1</v>
      </c>
      <c r="F725" t="s">
        <v>53</v>
      </c>
      <c r="G725">
        <v>7.4999999999999997E-2</v>
      </c>
      <c r="H725">
        <v>0.5</v>
      </c>
      <c r="I725">
        <v>1E-4</v>
      </c>
      <c r="J725" t="b">
        <v>1</v>
      </c>
      <c r="K725">
        <v>6</v>
      </c>
      <c r="L725">
        <v>1500</v>
      </c>
      <c r="M725">
        <v>0.25</v>
      </c>
      <c r="N725">
        <v>0.154</v>
      </c>
      <c r="O725" t="s">
        <v>350</v>
      </c>
      <c r="P725" t="s">
        <v>354</v>
      </c>
      <c r="Q725">
        <v>-2.9994819180641702E-4</v>
      </c>
      <c r="R725">
        <v>2.7719416694539901E-3</v>
      </c>
      <c r="S725">
        <v>1.20186259119809E-3</v>
      </c>
      <c r="T725">
        <v>-1.4935586063639801E-2</v>
      </c>
      <c r="U725">
        <v>5.9985717023477401</v>
      </c>
      <c r="V725" s="1">
        <v>9.9999999999999905E-15</v>
      </c>
      <c r="W725">
        <v>0.63107803309272203</v>
      </c>
      <c r="X725">
        <v>2.4999999999999898</v>
      </c>
      <c r="Y725">
        <v>27.929998698181201</v>
      </c>
      <c r="Z725">
        <v>0.499999999999999</v>
      </c>
      <c r="AA725">
        <v>51.332333829104201</v>
      </c>
      <c r="AB725" s="9">
        <f t="shared" si="98"/>
        <v>-0.34519536068019724</v>
      </c>
      <c r="AC725" s="9">
        <f t="shared" si="99"/>
        <v>-0.35347943573387253</v>
      </c>
      <c r="AD725" s="2">
        <f t="shared" si="100"/>
        <v>2.3998222448157414E-2</v>
      </c>
      <c r="AE725" s="8">
        <f t="shared" si="101"/>
        <v>3.9697053668280771E-3</v>
      </c>
      <c r="AF725" s="2">
        <f t="shared" si="102"/>
        <v>-2.7910631449330897E-3</v>
      </c>
      <c r="AG725" s="8">
        <f t="shared" si="103"/>
        <v>6.7607685117611668E-3</v>
      </c>
      <c r="AH725" s="7">
        <f t="shared" si="104"/>
        <v>-0.4128322305485983</v>
      </c>
      <c r="AI725">
        <f t="shared" si="105"/>
        <v>6</v>
      </c>
      <c r="AJ725" s="10">
        <f t="shared" si="106"/>
        <v>0.24338766642340201</v>
      </c>
    </row>
    <row r="726" spans="1:36" hidden="1" x14ac:dyDescent="0.25">
      <c r="A726" t="b">
        <v>0</v>
      </c>
      <c r="B726">
        <v>1000</v>
      </c>
      <c r="C726">
        <v>0.24338766642340201</v>
      </c>
      <c r="D726" t="s">
        <v>52</v>
      </c>
      <c r="E726" t="b">
        <v>1</v>
      </c>
      <c r="F726" t="s">
        <v>53</v>
      </c>
      <c r="G726">
        <v>7.4999999999999997E-2</v>
      </c>
      <c r="H726">
        <v>0.5</v>
      </c>
      <c r="I726">
        <v>1E-4</v>
      </c>
      <c r="J726" t="b">
        <v>1</v>
      </c>
      <c r="K726">
        <v>6</v>
      </c>
      <c r="L726">
        <v>1500</v>
      </c>
      <c r="M726">
        <v>0.25</v>
      </c>
      <c r="N726">
        <v>0.154</v>
      </c>
      <c r="O726" t="s">
        <v>350</v>
      </c>
      <c r="P726" t="s">
        <v>355</v>
      </c>
      <c r="Q726">
        <v>-2.6241291466169302E-4</v>
      </c>
      <c r="R726">
        <v>2.3934354471329702E-3</v>
      </c>
      <c r="S726">
        <v>1.05142944388472E-3</v>
      </c>
      <c r="T726">
        <v>-1.30648082319681E-2</v>
      </c>
      <c r="U726">
        <v>5.9988056689746596</v>
      </c>
      <c r="V726" s="1">
        <v>9.9999999999999905E-15</v>
      </c>
      <c r="W726">
        <v>0.62070116223574401</v>
      </c>
      <c r="X726">
        <v>2.4999999999999898</v>
      </c>
      <c r="Y726">
        <v>27.620683736883599</v>
      </c>
      <c r="Z726">
        <v>0.499999999999999</v>
      </c>
      <c r="AA726">
        <v>50.643612418940002</v>
      </c>
      <c r="AB726" s="9">
        <f t="shared" si="98"/>
        <v>-0.34515995522822895</v>
      </c>
      <c r="AC726" s="9">
        <f t="shared" si="99"/>
        <v>-0.35347943573387253</v>
      </c>
      <c r="AD726" s="2">
        <f t="shared" si="100"/>
        <v>2.4103261052234481E-2</v>
      </c>
      <c r="AE726" s="8">
        <f t="shared" si="101"/>
        <v>3.9578098049970773E-3</v>
      </c>
      <c r="AF726" s="2">
        <f t="shared" si="102"/>
        <v>-2.8029587067640895E-3</v>
      </c>
      <c r="AG726" s="8">
        <f t="shared" si="103"/>
        <v>6.7607685117611668E-3</v>
      </c>
      <c r="AH726" s="7">
        <f t="shared" si="104"/>
        <v>-0.41459172901542285</v>
      </c>
      <c r="AI726">
        <f t="shared" si="105"/>
        <v>6</v>
      </c>
      <c r="AJ726" s="10">
        <f t="shared" si="106"/>
        <v>0.24338766642340201</v>
      </c>
    </row>
    <row r="727" spans="1:36" hidden="1" x14ac:dyDescent="0.25">
      <c r="A727" t="b">
        <v>0</v>
      </c>
      <c r="B727">
        <v>1000</v>
      </c>
      <c r="C727">
        <v>0.24338766642340201</v>
      </c>
      <c r="D727" t="s">
        <v>52</v>
      </c>
      <c r="E727" t="b">
        <v>1</v>
      </c>
      <c r="F727" t="s">
        <v>53</v>
      </c>
      <c r="G727">
        <v>7.4999999999999997E-2</v>
      </c>
      <c r="H727">
        <v>0.5</v>
      </c>
      <c r="I727">
        <v>1E-4</v>
      </c>
      <c r="J727" t="b">
        <v>1</v>
      </c>
      <c r="K727">
        <v>6</v>
      </c>
      <c r="L727">
        <v>1500</v>
      </c>
      <c r="M727">
        <v>0.25</v>
      </c>
      <c r="N727">
        <v>0.154</v>
      </c>
      <c r="O727" t="s">
        <v>350</v>
      </c>
      <c r="P727" t="s">
        <v>356</v>
      </c>
      <c r="Q727">
        <v>-2.9994819180641599E-4</v>
      </c>
      <c r="R727">
        <v>2.79506476215605E-3</v>
      </c>
      <c r="S727">
        <v>1.20186259119809E-3</v>
      </c>
      <c r="T727">
        <v>-1.4935586063640101E-2</v>
      </c>
      <c r="U727">
        <v>5.9985717023462097</v>
      </c>
      <c r="V727" s="1">
        <v>9.9999999999999905E-15</v>
      </c>
      <c r="W727">
        <v>0.63552630381047404</v>
      </c>
      <c r="X727">
        <v>2.4999999999999898</v>
      </c>
      <c r="Y727">
        <v>28.159794472434601</v>
      </c>
      <c r="Z727">
        <v>0.499999999999999</v>
      </c>
      <c r="AA727">
        <v>51.760670957974803</v>
      </c>
      <c r="AB727" s="9">
        <f t="shared" si="98"/>
        <v>-0.34519536068020418</v>
      </c>
      <c r="AC727" s="9">
        <f t="shared" si="99"/>
        <v>-0.35347943573387253</v>
      </c>
      <c r="AD727" s="2">
        <f t="shared" si="100"/>
        <v>2.3998222448136763E-2</v>
      </c>
      <c r="AE727" s="8">
        <f t="shared" si="101"/>
        <v>3.9697053668303894E-3</v>
      </c>
      <c r="AF727" s="2">
        <f t="shared" si="102"/>
        <v>-2.7910631449307773E-3</v>
      </c>
      <c r="AG727" s="8">
        <f t="shared" si="103"/>
        <v>6.7607685117611668E-3</v>
      </c>
      <c r="AH727" s="7">
        <f t="shared" si="104"/>
        <v>-0.41283223054825624</v>
      </c>
      <c r="AI727">
        <f t="shared" si="105"/>
        <v>6</v>
      </c>
      <c r="AJ727" s="10">
        <f t="shared" si="106"/>
        <v>0.24338766642340201</v>
      </c>
    </row>
    <row r="728" spans="1:36" hidden="1" x14ac:dyDescent="0.25">
      <c r="A728" t="b">
        <v>0</v>
      </c>
      <c r="B728">
        <v>1000</v>
      </c>
      <c r="C728">
        <v>0.24338766642340201</v>
      </c>
      <c r="D728" t="s">
        <v>52</v>
      </c>
      <c r="E728" t="b">
        <v>1</v>
      </c>
      <c r="F728" t="s">
        <v>53</v>
      </c>
      <c r="G728">
        <v>7.4999999999999997E-2</v>
      </c>
      <c r="H728">
        <v>0.5</v>
      </c>
      <c r="I728">
        <v>1E-4</v>
      </c>
      <c r="J728" t="b">
        <v>1</v>
      </c>
      <c r="K728">
        <v>6</v>
      </c>
      <c r="L728">
        <v>1500</v>
      </c>
      <c r="M728">
        <v>0.25</v>
      </c>
      <c r="N728">
        <v>0.154</v>
      </c>
      <c r="O728" t="s">
        <v>350</v>
      </c>
      <c r="P728" t="s">
        <v>357</v>
      </c>
      <c r="Q728">
        <v>-5.6237365294098201E-4</v>
      </c>
      <c r="R728">
        <v>5.1869166901282598E-3</v>
      </c>
      <c r="S728">
        <v>2.25323820311343E-3</v>
      </c>
      <c r="T728">
        <v>-2.79955006323107E-2</v>
      </c>
      <c r="U728">
        <v>5.9969378706901102</v>
      </c>
      <c r="V728" s="1">
        <v>9.9999999999999905E-15</v>
      </c>
      <c r="W728">
        <v>0.62726293566347402</v>
      </c>
      <c r="X728">
        <v>2.4999999999999898</v>
      </c>
      <c r="Y728">
        <v>27.915713687015199</v>
      </c>
      <c r="Z728">
        <v>0.499999999999999</v>
      </c>
      <c r="AA728">
        <v>51.2157607141394</v>
      </c>
      <c r="AB728" s="9">
        <f t="shared" si="98"/>
        <v>-0.3451267576891941</v>
      </c>
      <c r="AC728" s="9">
        <f t="shared" si="99"/>
        <v>-0.35347943573387253</v>
      </c>
      <c r="AD728" s="2">
        <f t="shared" si="100"/>
        <v>2.4201768940212087E-2</v>
      </c>
      <c r="AE728" s="8">
        <f t="shared" si="101"/>
        <v>3.9466563161947958E-3</v>
      </c>
      <c r="AF728" s="2">
        <f t="shared" si="102"/>
        <v>-2.8141121955663709E-3</v>
      </c>
      <c r="AG728" s="8">
        <f t="shared" si="103"/>
        <v>6.7607685117611668E-3</v>
      </c>
      <c r="AH728" s="7">
        <f t="shared" si="104"/>
        <v>-0.41624146584384386</v>
      </c>
      <c r="AI728">
        <f t="shared" si="105"/>
        <v>6</v>
      </c>
      <c r="AJ728" s="10">
        <f t="shared" si="106"/>
        <v>0.24338766642340201</v>
      </c>
    </row>
    <row r="729" spans="1:36" hidden="1" x14ac:dyDescent="0.25">
      <c r="A729" t="b">
        <v>0</v>
      </c>
      <c r="B729">
        <v>1000</v>
      </c>
      <c r="C729">
        <v>0.24338766642340201</v>
      </c>
      <c r="D729" t="s">
        <v>52</v>
      </c>
      <c r="E729" t="b">
        <v>1</v>
      </c>
      <c r="F729" t="s">
        <v>53</v>
      </c>
      <c r="G729">
        <v>7.4999999999999997E-2</v>
      </c>
      <c r="H729">
        <v>0.5</v>
      </c>
      <c r="I729">
        <v>1E-4</v>
      </c>
      <c r="J729" t="b">
        <v>1</v>
      </c>
      <c r="K729">
        <v>6</v>
      </c>
      <c r="L729">
        <v>1500</v>
      </c>
      <c r="M729">
        <v>0.25</v>
      </c>
      <c r="N729">
        <v>0.154</v>
      </c>
      <c r="O729" t="s">
        <v>351</v>
      </c>
      <c r="P729" t="s">
        <v>354</v>
      </c>
      <c r="Q729" s="1">
        <v>-3.7535276991843103E-5</v>
      </c>
      <c r="R729">
        <v>3.5097351082859403E-4</v>
      </c>
      <c r="S729">
        <v>1.5043314731336401E-4</v>
      </c>
      <c r="T729">
        <v>-1.8707778316719901E-3</v>
      </c>
      <c r="U729">
        <v>5.9969382761791197</v>
      </c>
      <c r="V729" s="1">
        <v>9.9999999999990802E-15</v>
      </c>
      <c r="W729">
        <v>0.62969407082217299</v>
      </c>
      <c r="X729">
        <v>2.4999999999999898</v>
      </c>
      <c r="Y729">
        <v>28.372292569305198</v>
      </c>
      <c r="Z729">
        <v>0.49999999988495603</v>
      </c>
      <c r="AA729">
        <v>51.888925927412103</v>
      </c>
      <c r="AB729" s="9">
        <f t="shared" si="98"/>
        <v>-0.34544282166435136</v>
      </c>
      <c r="AC729" s="9">
        <f t="shared" si="99"/>
        <v>-0.35347943573387253</v>
      </c>
      <c r="AD729" s="2">
        <f t="shared" si="100"/>
        <v>2.3264672372697026E-2</v>
      </c>
      <c r="AE729" s="8">
        <f t="shared" si="101"/>
        <v>4.0528554455811876E-3</v>
      </c>
      <c r="AF729" s="2">
        <f t="shared" si="102"/>
        <v>-2.7079130661799792E-3</v>
      </c>
      <c r="AG729" s="8">
        <f t="shared" si="103"/>
        <v>6.7607685117611668E-3</v>
      </c>
      <c r="AH729" s="7">
        <f t="shared" si="104"/>
        <v>-0.40053332124435853</v>
      </c>
      <c r="AI729">
        <f t="shared" si="105"/>
        <v>6</v>
      </c>
      <c r="AJ729" s="10">
        <f t="shared" si="106"/>
        <v>0.24338766642340201</v>
      </c>
    </row>
    <row r="730" spans="1:36" hidden="1" x14ac:dyDescent="0.25">
      <c r="A730" t="b">
        <v>0</v>
      </c>
      <c r="B730">
        <v>1000</v>
      </c>
      <c r="C730">
        <v>0.24338766642340201</v>
      </c>
      <c r="D730" t="s">
        <v>52</v>
      </c>
      <c r="E730" t="b">
        <v>1</v>
      </c>
      <c r="F730" t="s">
        <v>53</v>
      </c>
      <c r="G730">
        <v>7.4999999999999997E-2</v>
      </c>
      <c r="H730">
        <v>0.5</v>
      </c>
      <c r="I730">
        <v>1E-4</v>
      </c>
      <c r="J730" t="b">
        <v>1</v>
      </c>
      <c r="K730">
        <v>6</v>
      </c>
      <c r="L730">
        <v>1500</v>
      </c>
      <c r="M730">
        <v>0.25</v>
      </c>
      <c r="N730">
        <v>0.154</v>
      </c>
      <c r="O730" t="s">
        <v>351</v>
      </c>
      <c r="P730" t="s">
        <v>355</v>
      </c>
      <c r="Q730" s="1">
        <v>-1E-10</v>
      </c>
      <c r="R730" s="1">
        <v>3.58578593011587E-12</v>
      </c>
      <c r="S730" s="1">
        <v>9.5538075540463006E-18</v>
      </c>
      <c r="T730" s="1">
        <v>-1.32692887078629E-16</v>
      </c>
      <c r="U730">
        <v>5.9971722428060401</v>
      </c>
      <c r="V730">
        <v>0</v>
      </c>
      <c r="W730">
        <v>6.8474548223539294E-2</v>
      </c>
      <c r="X730">
        <v>2</v>
      </c>
      <c r="Y730">
        <v>4.0005664118949198E-3</v>
      </c>
      <c r="Z730">
        <v>2.5000000000000001E-4</v>
      </c>
      <c r="AA730">
        <v>4.7933529787763298E-3</v>
      </c>
      <c r="AB730" s="9">
        <f t="shared" si="98"/>
        <v>-0.38580571244611589</v>
      </c>
      <c r="AC730" s="9">
        <f t="shared" si="99"/>
        <v>-0.35347943573387253</v>
      </c>
      <c r="AD730" s="2">
        <f t="shared" si="100"/>
        <v>-8.3789004852431459E-2</v>
      </c>
      <c r="AE730" s="8">
        <f t="shared" si="101"/>
        <v>1.7802167057212572E-2</v>
      </c>
      <c r="AF730" s="2">
        <f t="shared" si="102"/>
        <v>1.1041398545451405E-2</v>
      </c>
      <c r="AG730" s="8">
        <f t="shared" si="103"/>
        <v>6.7607685117611668E-3</v>
      </c>
      <c r="AH730" s="7">
        <f t="shared" si="104"/>
        <v>1.6331573143265548</v>
      </c>
      <c r="AI730">
        <f t="shared" si="105"/>
        <v>6</v>
      </c>
      <c r="AJ730" s="10">
        <f t="shared" si="106"/>
        <v>0.24338766642340201</v>
      </c>
    </row>
    <row r="731" spans="1:36" hidden="1" x14ac:dyDescent="0.25">
      <c r="A731" t="b">
        <v>0</v>
      </c>
      <c r="B731">
        <v>1000</v>
      </c>
      <c r="C731">
        <v>0.24338766642340201</v>
      </c>
      <c r="D731" t="s">
        <v>52</v>
      </c>
      <c r="E731" t="b">
        <v>1</v>
      </c>
      <c r="F731" t="s">
        <v>53</v>
      </c>
      <c r="G731">
        <v>7.4999999999999997E-2</v>
      </c>
      <c r="H731">
        <v>0.5</v>
      </c>
      <c r="I731">
        <v>1E-4</v>
      </c>
      <c r="J731" t="b">
        <v>1</v>
      </c>
      <c r="K731">
        <v>6</v>
      </c>
      <c r="L731">
        <v>1500</v>
      </c>
      <c r="M731">
        <v>0.25</v>
      </c>
      <c r="N731">
        <v>0.154</v>
      </c>
      <c r="O731" t="s">
        <v>351</v>
      </c>
      <c r="P731" t="s">
        <v>356</v>
      </c>
      <c r="Q731" s="1">
        <v>-3.7535276991843103E-5</v>
      </c>
      <c r="R731">
        <v>3.48486173699585E-4</v>
      </c>
      <c r="S731">
        <v>1.5043314731337401E-4</v>
      </c>
      <c r="T731">
        <v>-1.8707778316723201E-3</v>
      </c>
      <c r="U731">
        <v>5.9969382761775796</v>
      </c>
      <c r="V731" s="1">
        <v>9.9999999999990802E-15</v>
      </c>
      <c r="W731">
        <v>0.63311747107926197</v>
      </c>
      <c r="X731">
        <v>2.4999999999999898</v>
      </c>
      <c r="Y731">
        <v>28.061369352513399</v>
      </c>
      <c r="Z731">
        <v>0.49999999988495603</v>
      </c>
      <c r="AA731">
        <v>51.568807681281399</v>
      </c>
      <c r="AB731" s="9">
        <f t="shared" si="98"/>
        <v>-0.34544282166438933</v>
      </c>
      <c r="AC731" s="9">
        <f t="shared" si="99"/>
        <v>-0.35347943573387253</v>
      </c>
      <c r="AD731" s="2">
        <f t="shared" si="100"/>
        <v>2.3264672372584672E-2</v>
      </c>
      <c r="AE731" s="8">
        <f t="shared" si="101"/>
        <v>4.0528554455939716E-3</v>
      </c>
      <c r="AF731" s="2">
        <f t="shared" si="102"/>
        <v>-2.7079130661671951E-3</v>
      </c>
      <c r="AG731" s="8">
        <f t="shared" si="103"/>
        <v>6.7607685117611668E-3</v>
      </c>
      <c r="AH731" s="7">
        <f t="shared" si="104"/>
        <v>-0.4005333212424676</v>
      </c>
      <c r="AI731">
        <f t="shared" si="105"/>
        <v>6</v>
      </c>
      <c r="AJ731" s="10">
        <f t="shared" si="106"/>
        <v>0.24338766642340201</v>
      </c>
    </row>
    <row r="732" spans="1:36" hidden="1" x14ac:dyDescent="0.25">
      <c r="A732" t="b">
        <v>0</v>
      </c>
      <c r="B732">
        <v>1000</v>
      </c>
      <c r="C732">
        <v>0.24338766642340201</v>
      </c>
      <c r="D732" t="s">
        <v>52</v>
      </c>
      <c r="E732" t="b">
        <v>1</v>
      </c>
      <c r="F732" t="s">
        <v>53</v>
      </c>
      <c r="G732">
        <v>7.4999999999999997E-2</v>
      </c>
      <c r="H732">
        <v>0.5</v>
      </c>
      <c r="I732">
        <v>1E-4</v>
      </c>
      <c r="J732" t="b">
        <v>1</v>
      </c>
      <c r="K732">
        <v>6</v>
      </c>
      <c r="L732">
        <v>1500</v>
      </c>
      <c r="M732">
        <v>0.25</v>
      </c>
      <c r="N732">
        <v>0.154</v>
      </c>
      <c r="O732" t="s">
        <v>351</v>
      </c>
      <c r="P732" t="s">
        <v>357</v>
      </c>
      <c r="Q732">
        <v>-2.9996073827934401E-4</v>
      </c>
      <c r="R732">
        <v>2.8729653543142098E-3</v>
      </c>
      <c r="S732">
        <v>1.20180875922871E-3</v>
      </c>
      <c r="T732">
        <v>-1.49306924003431E-2</v>
      </c>
      <c r="U732">
        <v>5.9953044445214898</v>
      </c>
      <c r="V732" s="1">
        <v>9.9999999999999905E-15</v>
      </c>
      <c r="W732">
        <v>0.65370128215096501</v>
      </c>
      <c r="X732">
        <v>2.4999999999999898</v>
      </c>
      <c r="Y732">
        <v>28.890136442032201</v>
      </c>
      <c r="Z732">
        <v>0.499999999999999</v>
      </c>
      <c r="AA732">
        <v>53.214587902804297</v>
      </c>
      <c r="AB732" s="9">
        <f t="shared" si="98"/>
        <v>-0.34509771407495526</v>
      </c>
      <c r="AC732" s="9">
        <f t="shared" si="99"/>
        <v>-0.35347943573387253</v>
      </c>
      <c r="AD732" s="2">
        <f t="shared" si="100"/>
        <v>2.4287966326826282E-2</v>
      </c>
      <c r="AE732" s="8">
        <f t="shared" si="101"/>
        <v>3.9368986387163336E-3</v>
      </c>
      <c r="AF732" s="2">
        <f t="shared" si="102"/>
        <v>-2.8238698730448332E-3</v>
      </c>
      <c r="AG732" s="8">
        <f t="shared" si="103"/>
        <v>6.7607685117611668E-3</v>
      </c>
      <c r="AH732" s="7">
        <f t="shared" si="104"/>
        <v>-0.41768474517835852</v>
      </c>
      <c r="AI732">
        <f t="shared" si="105"/>
        <v>6</v>
      </c>
      <c r="AJ732" s="10">
        <f t="shared" si="106"/>
        <v>0.24338766642340201</v>
      </c>
    </row>
    <row r="733" spans="1:36" hidden="1" x14ac:dyDescent="0.25">
      <c r="A733" t="b">
        <v>0</v>
      </c>
      <c r="B733">
        <v>1000</v>
      </c>
      <c r="C733">
        <v>0.24338766642340201</v>
      </c>
      <c r="D733" t="s">
        <v>52</v>
      </c>
      <c r="E733" t="b">
        <v>1</v>
      </c>
      <c r="F733" t="s">
        <v>53</v>
      </c>
      <c r="G733">
        <v>7.4999999999999997E-2</v>
      </c>
      <c r="H733">
        <v>0.5</v>
      </c>
      <c r="I733">
        <v>1E-4</v>
      </c>
      <c r="J733" t="b">
        <v>1</v>
      </c>
      <c r="K733">
        <v>6</v>
      </c>
      <c r="L733">
        <v>1500</v>
      </c>
      <c r="M733">
        <v>0.25</v>
      </c>
      <c r="N733">
        <v>0.154</v>
      </c>
      <c r="O733" t="s">
        <v>352</v>
      </c>
      <c r="P733" t="s">
        <v>353</v>
      </c>
      <c r="Q733" s="1">
        <v>-3.7533704231894697E-5</v>
      </c>
      <c r="R733">
        <v>3.5364853539630501E-4</v>
      </c>
      <c r="S733">
        <v>1.5043989244891001E-4</v>
      </c>
      <c r="T733">
        <v>-1.8713911189696499E-3</v>
      </c>
      <c r="U733">
        <v>6.0002051792393098</v>
      </c>
      <c r="V733" s="1">
        <v>9.9999999999990802E-15</v>
      </c>
      <c r="W733">
        <v>0.632587527006918</v>
      </c>
      <c r="X733">
        <v>2.4999999999999898</v>
      </c>
      <c r="Y733">
        <v>28.610886930595001</v>
      </c>
      <c r="Z733">
        <v>0.49999999988611799</v>
      </c>
      <c r="AA733">
        <v>52.276677925111898</v>
      </c>
      <c r="AB733" s="9">
        <f t="shared" si="98"/>
        <v>-0.34554057299462304</v>
      </c>
      <c r="AC733" s="9">
        <f t="shared" si="99"/>
        <v>-0.35347943573387253</v>
      </c>
      <c r="AD733" s="2">
        <f t="shared" si="100"/>
        <v>2.297519700927575E-2</v>
      </c>
      <c r="AE733" s="8">
        <f t="shared" si="101"/>
        <v>4.0857049469206954E-3</v>
      </c>
      <c r="AF733" s="2">
        <f t="shared" si="102"/>
        <v>-2.6750635648404714E-3</v>
      </c>
      <c r="AG733" s="8">
        <f t="shared" si="103"/>
        <v>6.7607685117611668E-3</v>
      </c>
      <c r="AH733" s="7">
        <f t="shared" si="104"/>
        <v>-0.3956744799332913</v>
      </c>
      <c r="AI733">
        <f t="shared" si="105"/>
        <v>6</v>
      </c>
      <c r="AJ733" s="10">
        <f t="shared" si="106"/>
        <v>0.24338766642340201</v>
      </c>
    </row>
    <row r="734" spans="1:36" hidden="1" x14ac:dyDescent="0.25">
      <c r="A734" t="b">
        <v>0</v>
      </c>
      <c r="B734">
        <v>1000</v>
      </c>
      <c r="C734">
        <v>0.24338766642340201</v>
      </c>
      <c r="D734" t="s">
        <v>52</v>
      </c>
      <c r="E734" t="b">
        <v>1</v>
      </c>
      <c r="F734" t="s">
        <v>53</v>
      </c>
      <c r="G734">
        <v>7.4999999999999997E-2</v>
      </c>
      <c r="H734">
        <v>0.5</v>
      </c>
      <c r="I734">
        <v>1E-4</v>
      </c>
      <c r="J734" t="b">
        <v>1</v>
      </c>
      <c r="K734">
        <v>6</v>
      </c>
      <c r="L734">
        <v>1500</v>
      </c>
      <c r="M734">
        <v>0.25</v>
      </c>
      <c r="N734">
        <v>0.154</v>
      </c>
      <c r="O734" t="s">
        <v>352</v>
      </c>
      <c r="P734" t="s">
        <v>354</v>
      </c>
      <c r="Q734">
        <v>-2.9994819180641501E-4</v>
      </c>
      <c r="R734">
        <v>2.8655452621133399E-3</v>
      </c>
      <c r="S734">
        <v>1.20186259119808E-3</v>
      </c>
      <c r="T734">
        <v>-1.49355860636397E-2</v>
      </c>
      <c r="U734">
        <v>5.9985717023432299</v>
      </c>
      <c r="V734" s="1">
        <v>9.9999999999999905E-15</v>
      </c>
      <c r="W734">
        <v>0.65368073348030897</v>
      </c>
      <c r="X734">
        <v>2.4999999999999898</v>
      </c>
      <c r="Y734">
        <v>28.794734758378102</v>
      </c>
      <c r="Z734">
        <v>0.499999999999999</v>
      </c>
      <c r="AA734">
        <v>53.090422603928801</v>
      </c>
      <c r="AB734" s="9">
        <f t="shared" si="98"/>
        <v>-0.34519536068019779</v>
      </c>
      <c r="AC734" s="9">
        <f t="shared" si="99"/>
        <v>-0.35347943573387253</v>
      </c>
      <c r="AD734" s="2">
        <f t="shared" si="100"/>
        <v>2.3998222448155637E-2</v>
      </c>
      <c r="AE734" s="8">
        <f t="shared" si="101"/>
        <v>3.9697053668282514E-3</v>
      </c>
      <c r="AF734" s="2">
        <f t="shared" si="102"/>
        <v>-2.7910631449329154E-3</v>
      </c>
      <c r="AG734" s="8">
        <f t="shared" si="103"/>
        <v>6.7607685117611668E-3</v>
      </c>
      <c r="AH734" s="7">
        <f t="shared" si="104"/>
        <v>-0.41283223054857249</v>
      </c>
      <c r="AI734">
        <f t="shared" si="105"/>
        <v>6</v>
      </c>
      <c r="AJ734" s="10">
        <f t="shared" si="106"/>
        <v>0.24338766642340201</v>
      </c>
    </row>
    <row r="735" spans="1:36" hidden="1" x14ac:dyDescent="0.25">
      <c r="A735" t="b">
        <v>0</v>
      </c>
      <c r="B735">
        <v>1000</v>
      </c>
      <c r="C735">
        <v>0.24338766642340201</v>
      </c>
      <c r="D735" t="s">
        <v>52</v>
      </c>
      <c r="E735" t="b">
        <v>1</v>
      </c>
      <c r="F735" t="s">
        <v>53</v>
      </c>
      <c r="G735">
        <v>7.4999999999999997E-2</v>
      </c>
      <c r="H735">
        <v>0.5</v>
      </c>
      <c r="I735">
        <v>1E-4</v>
      </c>
      <c r="J735" t="b">
        <v>1</v>
      </c>
      <c r="K735">
        <v>6</v>
      </c>
      <c r="L735">
        <v>1500</v>
      </c>
      <c r="M735">
        <v>0.25</v>
      </c>
      <c r="N735">
        <v>0.154</v>
      </c>
      <c r="O735" t="s">
        <v>352</v>
      </c>
      <c r="P735" t="s">
        <v>355</v>
      </c>
      <c r="Q735">
        <v>-2.6241291466169199E-4</v>
      </c>
      <c r="R735">
        <v>2.3703660723880401E-3</v>
      </c>
      <c r="S735">
        <v>1.05142944388472E-3</v>
      </c>
      <c r="T735">
        <v>-1.30648082319681E-2</v>
      </c>
      <c r="U735">
        <v>5.9988056689701503</v>
      </c>
      <c r="V735" s="1">
        <v>9.9999999999999905E-15</v>
      </c>
      <c r="W735">
        <v>0.61080843993115297</v>
      </c>
      <c r="X735">
        <v>2.4999999999999898</v>
      </c>
      <c r="Y735">
        <v>27.4306524885755</v>
      </c>
      <c r="Z735">
        <v>0.499999999999999</v>
      </c>
      <c r="AA735">
        <v>50.125989655905599</v>
      </c>
      <c r="AB735" s="9">
        <f t="shared" si="98"/>
        <v>-0.34515995522822895</v>
      </c>
      <c r="AC735" s="9">
        <f t="shared" si="99"/>
        <v>-0.35347943573387253</v>
      </c>
      <c r="AD735" s="2">
        <f t="shared" si="100"/>
        <v>2.4103261052234481E-2</v>
      </c>
      <c r="AE735" s="8">
        <f t="shared" si="101"/>
        <v>3.9578098049970773E-3</v>
      </c>
      <c r="AF735" s="2">
        <f t="shared" si="102"/>
        <v>-2.8029587067640895E-3</v>
      </c>
      <c r="AG735" s="8">
        <f t="shared" si="103"/>
        <v>6.7607685117611668E-3</v>
      </c>
      <c r="AH735" s="7">
        <f t="shared" si="104"/>
        <v>-0.41459172901542285</v>
      </c>
      <c r="AI735">
        <f t="shared" si="105"/>
        <v>6</v>
      </c>
      <c r="AJ735" s="10">
        <f t="shared" si="106"/>
        <v>0.24338766642340201</v>
      </c>
    </row>
    <row r="736" spans="1:36" hidden="1" x14ac:dyDescent="0.25">
      <c r="A736" t="b">
        <v>0</v>
      </c>
      <c r="B736">
        <v>1000</v>
      </c>
      <c r="C736">
        <v>0.24338766642340201</v>
      </c>
      <c r="D736" t="s">
        <v>52</v>
      </c>
      <c r="E736" t="b">
        <v>1</v>
      </c>
      <c r="F736" t="s">
        <v>53</v>
      </c>
      <c r="G736">
        <v>7.4999999999999997E-2</v>
      </c>
      <c r="H736">
        <v>0.5</v>
      </c>
      <c r="I736">
        <v>1E-4</v>
      </c>
      <c r="J736" t="b">
        <v>1</v>
      </c>
      <c r="K736">
        <v>6</v>
      </c>
      <c r="L736">
        <v>1500</v>
      </c>
      <c r="M736">
        <v>0.25</v>
      </c>
      <c r="N736">
        <v>0.154</v>
      </c>
      <c r="O736" t="s">
        <v>352</v>
      </c>
      <c r="P736" t="s">
        <v>356</v>
      </c>
      <c r="Q736">
        <v>-2.9994819180641702E-4</v>
      </c>
      <c r="R736">
        <v>2.7793652116815601E-3</v>
      </c>
      <c r="S736">
        <v>1.20186259119809E-3</v>
      </c>
      <c r="T736">
        <v>-1.49355860636399E-2</v>
      </c>
      <c r="U736">
        <v>5.9985717023416996</v>
      </c>
      <c r="V736" s="1">
        <v>9.9999999999999905E-15</v>
      </c>
      <c r="W736">
        <v>0.62941526136905801</v>
      </c>
      <c r="X736">
        <v>2.4999999999999898</v>
      </c>
      <c r="Y736">
        <v>28.050866653253099</v>
      </c>
      <c r="Z736">
        <v>0.499999999999999</v>
      </c>
      <c r="AA736">
        <v>51.4503734078856</v>
      </c>
      <c r="AB736" s="9">
        <f t="shared" si="98"/>
        <v>-0.34519536068019957</v>
      </c>
      <c r="AC736" s="9">
        <f t="shared" si="99"/>
        <v>-0.35347943573387253</v>
      </c>
      <c r="AD736" s="2">
        <f t="shared" si="100"/>
        <v>2.399822244815053E-2</v>
      </c>
      <c r="AE736" s="8">
        <f t="shared" si="101"/>
        <v>3.9697053668288481E-3</v>
      </c>
      <c r="AF736" s="2">
        <f t="shared" si="102"/>
        <v>-2.7910631449323186E-3</v>
      </c>
      <c r="AG736" s="8">
        <f t="shared" si="103"/>
        <v>6.7607685117611668E-3</v>
      </c>
      <c r="AH736" s="7">
        <f t="shared" si="104"/>
        <v>-0.41283223054848422</v>
      </c>
      <c r="AI736">
        <f t="shared" si="105"/>
        <v>6</v>
      </c>
      <c r="AJ736" s="10">
        <f t="shared" si="106"/>
        <v>0.24338766642340201</v>
      </c>
    </row>
    <row r="737" spans="1:36" hidden="1" x14ac:dyDescent="0.25">
      <c r="A737" t="b">
        <v>0</v>
      </c>
      <c r="B737">
        <v>1000</v>
      </c>
      <c r="C737">
        <v>0.24338766642340201</v>
      </c>
      <c r="D737" t="s">
        <v>52</v>
      </c>
      <c r="E737" t="b">
        <v>1</v>
      </c>
      <c r="F737" t="s">
        <v>53</v>
      </c>
      <c r="G737">
        <v>7.4999999999999997E-2</v>
      </c>
      <c r="H737">
        <v>0.5</v>
      </c>
      <c r="I737">
        <v>1E-4</v>
      </c>
      <c r="J737" t="b">
        <v>1</v>
      </c>
      <c r="K737">
        <v>6</v>
      </c>
      <c r="L737">
        <v>1500</v>
      </c>
      <c r="M737">
        <v>0.25</v>
      </c>
      <c r="N737">
        <v>0.154</v>
      </c>
      <c r="O737" t="s">
        <v>352</v>
      </c>
      <c r="P737" t="s">
        <v>357</v>
      </c>
      <c r="Q737">
        <v>-5.6237365294097995E-4</v>
      </c>
      <c r="R737">
        <v>5.1564207942094804E-3</v>
      </c>
      <c r="S737">
        <v>2.25323820311343E-3</v>
      </c>
      <c r="T737">
        <v>-2.79955006323108E-2</v>
      </c>
      <c r="U737">
        <v>5.9969378706856</v>
      </c>
      <c r="V737" s="1">
        <v>9.9999999999999905E-15</v>
      </c>
      <c r="W737">
        <v>0.62160667016370397</v>
      </c>
      <c r="X737">
        <v>2.4999999999999898</v>
      </c>
      <c r="Y737">
        <v>27.793700310768902</v>
      </c>
      <c r="Z737">
        <v>0.499999999999999</v>
      </c>
      <c r="AA737">
        <v>50.897937415784</v>
      </c>
      <c r="AB737" s="9">
        <f t="shared" si="98"/>
        <v>-0.34512675768919532</v>
      </c>
      <c r="AC737" s="9">
        <f t="shared" si="99"/>
        <v>-0.35347943573387253</v>
      </c>
      <c r="AD737" s="2">
        <f t="shared" si="100"/>
        <v>2.4201768940208535E-2</v>
      </c>
      <c r="AE737" s="8">
        <f t="shared" si="101"/>
        <v>3.9466563161951939E-3</v>
      </c>
      <c r="AF737" s="2">
        <f t="shared" si="102"/>
        <v>-2.8141121955659728E-3</v>
      </c>
      <c r="AG737" s="8">
        <f t="shared" si="103"/>
        <v>6.7607685117611668E-3</v>
      </c>
      <c r="AH737" s="7">
        <f t="shared" si="104"/>
        <v>-0.41624146584378502</v>
      </c>
      <c r="AI737">
        <f t="shared" si="105"/>
        <v>6</v>
      </c>
      <c r="AJ737" s="10">
        <f t="shared" si="106"/>
        <v>0.24338766642340201</v>
      </c>
    </row>
    <row r="738" spans="1:36" hidden="1" x14ac:dyDescent="0.25">
      <c r="A738" t="b">
        <v>0</v>
      </c>
      <c r="B738">
        <v>1000</v>
      </c>
      <c r="C738">
        <v>0.24338766642340201</v>
      </c>
      <c r="D738" t="s">
        <v>52</v>
      </c>
      <c r="E738" t="b">
        <v>1</v>
      </c>
      <c r="F738" t="s">
        <v>53</v>
      </c>
      <c r="G738">
        <v>7.4999999999999997E-2</v>
      </c>
      <c r="H738">
        <v>0.5</v>
      </c>
      <c r="I738">
        <v>1E-4</v>
      </c>
      <c r="J738" t="b">
        <v>1</v>
      </c>
      <c r="K738">
        <v>6</v>
      </c>
      <c r="L738">
        <v>1500</v>
      </c>
      <c r="M738">
        <v>0.25</v>
      </c>
      <c r="N738">
        <v>0.154</v>
      </c>
      <c r="O738" t="s">
        <v>353</v>
      </c>
      <c r="P738" t="s">
        <v>354</v>
      </c>
      <c r="Q738">
        <v>-2.6241448742245698E-4</v>
      </c>
      <c r="R738">
        <v>2.3908494397354898E-3</v>
      </c>
      <c r="S738">
        <v>1.05142269874918E-3</v>
      </c>
      <c r="T738">
        <v>-1.30641949446704E-2</v>
      </c>
      <c r="U738">
        <v>5.9983377864536598</v>
      </c>
      <c r="V738" s="1">
        <v>9.9999999999999905E-15</v>
      </c>
      <c r="W738">
        <v>0.61832032460037001</v>
      </c>
      <c r="X738">
        <v>2.4999999999999898</v>
      </c>
      <c r="Y738">
        <v>27.617763993683099</v>
      </c>
      <c r="Z738">
        <v>0.499999999999999</v>
      </c>
      <c r="AA738">
        <v>50.577860471122001</v>
      </c>
      <c r="AB738" s="9">
        <f t="shared" si="98"/>
        <v>-0.34514596693635935</v>
      </c>
      <c r="AC738" s="9">
        <f t="shared" si="99"/>
        <v>-0.35347943573387253</v>
      </c>
      <c r="AD738" s="2">
        <f t="shared" si="100"/>
        <v>2.4144766550465713E-2</v>
      </c>
      <c r="AE738" s="8">
        <f t="shared" si="101"/>
        <v>3.9531100813364117E-3</v>
      </c>
      <c r="AF738" s="2">
        <f t="shared" si="102"/>
        <v>-2.8076584304247551E-3</v>
      </c>
      <c r="AG738" s="8">
        <f t="shared" si="103"/>
        <v>6.7607685117611668E-3</v>
      </c>
      <c r="AH738" s="7">
        <f t="shared" si="104"/>
        <v>-0.41528687538117848</v>
      </c>
      <c r="AI738">
        <f t="shared" si="105"/>
        <v>6</v>
      </c>
      <c r="AJ738" s="10">
        <f t="shared" si="106"/>
        <v>0.24338766642340201</v>
      </c>
    </row>
    <row r="739" spans="1:36" hidden="1" x14ac:dyDescent="0.25">
      <c r="A739" t="b">
        <v>0</v>
      </c>
      <c r="B739">
        <v>1000</v>
      </c>
      <c r="C739">
        <v>0.24338766642340201</v>
      </c>
      <c r="D739" t="s">
        <v>52</v>
      </c>
      <c r="E739" t="b">
        <v>1</v>
      </c>
      <c r="F739" t="s">
        <v>53</v>
      </c>
      <c r="G739">
        <v>7.4999999999999997E-2</v>
      </c>
      <c r="H739">
        <v>0.5</v>
      </c>
      <c r="I739">
        <v>1E-4</v>
      </c>
      <c r="J739" t="b">
        <v>1</v>
      </c>
      <c r="K739">
        <v>6</v>
      </c>
      <c r="L739">
        <v>1500</v>
      </c>
      <c r="M739">
        <v>0.25</v>
      </c>
      <c r="N739">
        <v>0.154</v>
      </c>
      <c r="O739" t="s">
        <v>353</v>
      </c>
      <c r="P739" t="s">
        <v>355</v>
      </c>
      <c r="Q739">
        <v>-2.2487921027773401E-4</v>
      </c>
      <c r="R739">
        <v>1.93733778966516E-3</v>
      </c>
      <c r="S739">
        <v>9.00989551435816E-4</v>
      </c>
      <c r="T739">
        <v>-1.1193417112998301E-2</v>
      </c>
      <c r="U739">
        <v>5.9985717530805802</v>
      </c>
      <c r="V739" s="1">
        <v>9.9999999999999905E-15</v>
      </c>
      <c r="W739">
        <v>0.58241652904960095</v>
      </c>
      <c r="X739">
        <v>2.4999999999999898</v>
      </c>
      <c r="Y739">
        <v>26.245398573223898</v>
      </c>
      <c r="Z739">
        <v>0.499999999999999</v>
      </c>
      <c r="AA739">
        <v>47.784615240834299</v>
      </c>
      <c r="AB739" s="9">
        <f t="shared" si="98"/>
        <v>-0.34509640277553355</v>
      </c>
      <c r="AC739" s="9">
        <f t="shared" si="99"/>
        <v>-0.35347943573387253</v>
      </c>
      <c r="AD739" s="2">
        <f t="shared" si="100"/>
        <v>2.4291858422504919E-2</v>
      </c>
      <c r="AE739" s="8">
        <f t="shared" si="101"/>
        <v>3.9364580906924357E-3</v>
      </c>
      <c r="AF739" s="2">
        <f t="shared" si="102"/>
        <v>-2.8243104210687311E-3</v>
      </c>
      <c r="AG739" s="8">
        <f t="shared" si="103"/>
        <v>6.7607685117611668E-3</v>
      </c>
      <c r="AH739" s="7">
        <f t="shared" si="104"/>
        <v>-0.41774990759637826</v>
      </c>
      <c r="AI739">
        <f t="shared" si="105"/>
        <v>6</v>
      </c>
      <c r="AJ739" s="10">
        <f t="shared" si="106"/>
        <v>0.24338766642340201</v>
      </c>
    </row>
    <row r="740" spans="1:36" hidden="1" x14ac:dyDescent="0.25">
      <c r="A740" t="b">
        <v>0</v>
      </c>
      <c r="B740">
        <v>1000</v>
      </c>
      <c r="C740">
        <v>0.24338766642340201</v>
      </c>
      <c r="D740" t="s">
        <v>52</v>
      </c>
      <c r="E740" t="b">
        <v>1</v>
      </c>
      <c r="F740" t="s">
        <v>53</v>
      </c>
      <c r="G740">
        <v>7.4999999999999997E-2</v>
      </c>
      <c r="H740">
        <v>0.5</v>
      </c>
      <c r="I740">
        <v>1E-4</v>
      </c>
      <c r="J740" t="b">
        <v>1</v>
      </c>
      <c r="K740">
        <v>6</v>
      </c>
      <c r="L740">
        <v>1500</v>
      </c>
      <c r="M740">
        <v>0.25</v>
      </c>
      <c r="N740">
        <v>0.154</v>
      </c>
      <c r="O740" t="s">
        <v>353</v>
      </c>
      <c r="P740" t="s">
        <v>356</v>
      </c>
      <c r="Q740">
        <v>-2.6241448742245801E-4</v>
      </c>
      <c r="R740">
        <v>2.3826576366418901E-3</v>
      </c>
      <c r="S740">
        <v>1.05142269874918E-3</v>
      </c>
      <c r="T740">
        <v>-1.30641949446706E-2</v>
      </c>
      <c r="U740">
        <v>5.9983377864521197</v>
      </c>
      <c r="V740" s="1">
        <v>9.9999999999999905E-15</v>
      </c>
      <c r="W740">
        <v>0.61390893472765595</v>
      </c>
      <c r="X740">
        <v>2.4999999999999898</v>
      </c>
      <c r="Y740">
        <v>27.563707907466402</v>
      </c>
      <c r="Z740">
        <v>0.499999999999999</v>
      </c>
      <c r="AA740">
        <v>50.388698621073303</v>
      </c>
      <c r="AB740" s="9">
        <f t="shared" ref="AB740:AB803" si="107">T740/S740/K740^2</f>
        <v>-0.34514596693636462</v>
      </c>
      <c r="AC740" s="9">
        <f t="shared" ref="AC740:AC803" si="108">(1+10*C740/K740^2)/(-3-3*C740/K740^2)</f>
        <v>-0.35347943573387253</v>
      </c>
      <c r="AD740" s="2">
        <f t="shared" ref="AD740:AD803" si="109">(AC740/AB740-1)</f>
        <v>2.414476655045017E-2</v>
      </c>
      <c r="AE740" s="8">
        <f t="shared" ref="AE740:AE803" si="110">-(1+3*AB740)/(10+3*AB740)</f>
        <v>3.9531100813382019E-3</v>
      </c>
      <c r="AF740" s="2">
        <f t="shared" ref="AF740:AF803" si="111">(AE740-C740/K740^2)</f>
        <v>-2.8076584304229648E-3</v>
      </c>
      <c r="AG740" s="8">
        <f t="shared" ref="AG740:AG803" si="112">C740/K740^2</f>
        <v>6.7607685117611668E-3</v>
      </c>
      <c r="AH740" s="7">
        <f t="shared" ref="AH740:AH803" si="113">AF740/AG740</f>
        <v>-0.41528687538091369</v>
      </c>
      <c r="AI740">
        <f t="shared" ref="AI740:AI803" si="114">K740</f>
        <v>6</v>
      </c>
      <c r="AJ740" s="10">
        <f t="shared" ref="AJ740:AJ803" si="115">C740</f>
        <v>0.24338766642340201</v>
      </c>
    </row>
    <row r="741" spans="1:36" hidden="1" x14ac:dyDescent="0.25">
      <c r="A741" t="b">
        <v>0</v>
      </c>
      <c r="B741">
        <v>1000</v>
      </c>
      <c r="C741">
        <v>0.24338766642340201</v>
      </c>
      <c r="D741" t="s">
        <v>52</v>
      </c>
      <c r="E741" t="b">
        <v>1</v>
      </c>
      <c r="F741" t="s">
        <v>53</v>
      </c>
      <c r="G741">
        <v>7.4999999999999997E-2</v>
      </c>
      <c r="H741">
        <v>0.5</v>
      </c>
      <c r="I741">
        <v>1E-4</v>
      </c>
      <c r="J741" t="b">
        <v>1</v>
      </c>
      <c r="K741">
        <v>6</v>
      </c>
      <c r="L741">
        <v>1500</v>
      </c>
      <c r="M741">
        <v>0.25</v>
      </c>
      <c r="N741">
        <v>0.154</v>
      </c>
      <c r="O741" t="s">
        <v>353</v>
      </c>
      <c r="P741" t="s">
        <v>357</v>
      </c>
      <c r="Q741">
        <v>-5.2483994855702897E-4</v>
      </c>
      <c r="R741">
        <v>4.70828025368437E-3</v>
      </c>
      <c r="S741">
        <v>2.1027983106645201E-3</v>
      </c>
      <c r="T741">
        <v>-2.61241095133413E-2</v>
      </c>
      <c r="U741">
        <v>5.9967039547960299</v>
      </c>
      <c r="V741" s="1">
        <v>9.9999999999999905E-15</v>
      </c>
      <c r="W741">
        <v>0.60609072995169599</v>
      </c>
      <c r="X741">
        <v>2.4999999999999898</v>
      </c>
      <c r="Y741">
        <v>27.261310969337099</v>
      </c>
      <c r="Z741">
        <v>0.499999999999999</v>
      </c>
      <c r="AA741">
        <v>49.775915096325903</v>
      </c>
      <c r="AB741" s="9">
        <f t="shared" si="107"/>
        <v>-0.34509715222027215</v>
      </c>
      <c r="AC741" s="9">
        <f t="shared" si="108"/>
        <v>-0.35347943573387253</v>
      </c>
      <c r="AD741" s="2">
        <f t="shared" si="109"/>
        <v>2.4289633976029013E-2</v>
      </c>
      <c r="AE741" s="8">
        <f t="shared" si="110"/>
        <v>3.9367098763113898E-3</v>
      </c>
      <c r="AF741" s="2">
        <f t="shared" si="111"/>
        <v>-2.8240586354497769E-3</v>
      </c>
      <c r="AG741" s="8">
        <f t="shared" si="112"/>
        <v>6.7607685117611668E-3</v>
      </c>
      <c r="AH741" s="7">
        <f t="shared" si="113"/>
        <v>-0.41771266543692315</v>
      </c>
      <c r="AI741">
        <f t="shared" si="114"/>
        <v>6</v>
      </c>
      <c r="AJ741" s="10">
        <f t="shared" si="115"/>
        <v>0.24338766642340201</v>
      </c>
    </row>
    <row r="742" spans="1:36" hidden="1" x14ac:dyDescent="0.25">
      <c r="A742" t="b">
        <v>0</v>
      </c>
      <c r="B742">
        <v>1000</v>
      </c>
      <c r="C742">
        <v>0.24338766642340201</v>
      </c>
      <c r="D742" t="s">
        <v>52</v>
      </c>
      <c r="E742" t="b">
        <v>1</v>
      </c>
      <c r="F742" t="s">
        <v>53</v>
      </c>
      <c r="G742">
        <v>7.4999999999999997E-2</v>
      </c>
      <c r="H742">
        <v>0.5</v>
      </c>
      <c r="I742">
        <v>1E-4</v>
      </c>
      <c r="J742" t="b">
        <v>1</v>
      </c>
      <c r="K742">
        <v>6</v>
      </c>
      <c r="L742">
        <v>1500</v>
      </c>
      <c r="M742">
        <v>0.25</v>
      </c>
      <c r="N742">
        <v>0.154</v>
      </c>
      <c r="O742" t="s">
        <v>354</v>
      </c>
      <c r="P742" t="s">
        <v>356</v>
      </c>
      <c r="Q742" s="1">
        <v>-1E-10</v>
      </c>
      <c r="R742" s="1">
        <v>3.5857859373806601E-12</v>
      </c>
      <c r="S742" s="1">
        <v>1.2618245984814899E-17</v>
      </c>
      <c r="T742" s="1">
        <v>-3.2430734074478599E-16</v>
      </c>
      <c r="U742">
        <v>5.9967043095560504</v>
      </c>
      <c r="V742">
        <v>0</v>
      </c>
      <c r="W742">
        <v>6.8474548362268503E-2</v>
      </c>
      <c r="X742">
        <v>2</v>
      </c>
      <c r="Y742">
        <v>4.00056642000005E-3</v>
      </c>
      <c r="Z742">
        <v>2.5000000000000001E-4</v>
      </c>
      <c r="AA742">
        <v>4.7933529884876501E-3</v>
      </c>
      <c r="AB742" s="9">
        <f t="shared" si="107"/>
        <v>-0.71392943629025873</v>
      </c>
      <c r="AC742" s="9">
        <f t="shared" si="108"/>
        <v>-0.35347943573387253</v>
      </c>
      <c r="AD742" s="2">
        <f t="shared" si="109"/>
        <v>-0.50488183037999823</v>
      </c>
      <c r="AE742" s="8">
        <f t="shared" si="110"/>
        <v>0.14529874655319971</v>
      </c>
      <c r="AF742" s="2">
        <f t="shared" si="111"/>
        <v>0.13853797804143855</v>
      </c>
      <c r="AG742" s="8">
        <f t="shared" si="112"/>
        <v>6.7607685117611668E-3</v>
      </c>
      <c r="AH742" s="7">
        <f t="shared" si="113"/>
        <v>20.491454159454676</v>
      </c>
      <c r="AI742">
        <f t="shared" si="114"/>
        <v>6</v>
      </c>
      <c r="AJ742" s="10">
        <f t="shared" si="115"/>
        <v>0.24338766642340201</v>
      </c>
    </row>
    <row r="743" spans="1:36" hidden="1" x14ac:dyDescent="0.25">
      <c r="A743" t="b">
        <v>0</v>
      </c>
      <c r="B743">
        <v>1000</v>
      </c>
      <c r="C743">
        <v>0.24338766642340201</v>
      </c>
      <c r="D743" t="s">
        <v>52</v>
      </c>
      <c r="E743" t="b">
        <v>1</v>
      </c>
      <c r="F743" t="s">
        <v>53</v>
      </c>
      <c r="G743">
        <v>7.4999999999999997E-2</v>
      </c>
      <c r="H743">
        <v>0.5</v>
      </c>
      <c r="I743">
        <v>1E-4</v>
      </c>
      <c r="J743" t="b">
        <v>1</v>
      </c>
      <c r="K743">
        <v>6</v>
      </c>
      <c r="L743">
        <v>1500</v>
      </c>
      <c r="M743">
        <v>0.25</v>
      </c>
      <c r="N743">
        <v>0.154</v>
      </c>
      <c r="O743" t="s">
        <v>354</v>
      </c>
      <c r="P743" t="s">
        <v>357</v>
      </c>
      <c r="Q743">
        <v>-2.6242546113462202E-4</v>
      </c>
      <c r="R743">
        <v>2.3868902447594098E-3</v>
      </c>
      <c r="S743">
        <v>1.05137561191534E-3</v>
      </c>
      <c r="T743">
        <v>-1.3059914568671E-2</v>
      </c>
      <c r="U743">
        <v>5.99507047789995</v>
      </c>
      <c r="V743" s="1">
        <v>9.9999999999999905E-15</v>
      </c>
      <c r="W743">
        <v>0.61701715312055905</v>
      </c>
      <c r="X743">
        <v>2.4999999999999898</v>
      </c>
      <c r="Y743">
        <v>27.577204114572702</v>
      </c>
      <c r="Z743">
        <v>0.499999999999999</v>
      </c>
      <c r="AA743">
        <v>50.490051173785197</v>
      </c>
      <c r="AB743" s="9">
        <f t="shared" si="107"/>
        <v>-0.34504833531797519</v>
      </c>
      <c r="AC743" s="9">
        <f t="shared" si="108"/>
        <v>-0.35347943573387253</v>
      </c>
      <c r="AD743" s="2">
        <f t="shared" si="109"/>
        <v>2.4434548881760998E-2</v>
      </c>
      <c r="AE743" s="8">
        <f t="shared" si="110"/>
        <v>3.9203094726313796E-3</v>
      </c>
      <c r="AF743" s="2">
        <f t="shared" si="111"/>
        <v>-2.8404590391297871E-3</v>
      </c>
      <c r="AG743" s="8">
        <f t="shared" si="112"/>
        <v>6.7607685117611668E-3</v>
      </c>
      <c r="AH743" s="7">
        <f t="shared" si="113"/>
        <v>-0.4201384848761599</v>
      </c>
      <c r="AI743">
        <f t="shared" si="114"/>
        <v>6</v>
      </c>
      <c r="AJ743" s="10">
        <f t="shared" si="115"/>
        <v>0.24338766642340201</v>
      </c>
    </row>
    <row r="744" spans="1:36" hidden="1" x14ac:dyDescent="0.25">
      <c r="A744" t="b">
        <v>0</v>
      </c>
      <c r="B744">
        <v>1000</v>
      </c>
      <c r="C744">
        <v>0.24338766642340201</v>
      </c>
      <c r="D744" t="s">
        <v>52</v>
      </c>
      <c r="E744" t="b">
        <v>1</v>
      </c>
      <c r="F744" t="s">
        <v>53</v>
      </c>
      <c r="G744">
        <v>7.4999999999999997E-2</v>
      </c>
      <c r="H744">
        <v>0.5</v>
      </c>
      <c r="I744">
        <v>1E-4</v>
      </c>
      <c r="J744" t="b">
        <v>1</v>
      </c>
      <c r="K744">
        <v>6</v>
      </c>
      <c r="L744">
        <v>1500</v>
      </c>
      <c r="M744">
        <v>0.25</v>
      </c>
      <c r="N744">
        <v>0.154</v>
      </c>
      <c r="O744" t="s">
        <v>355</v>
      </c>
      <c r="P744" t="s">
        <v>356</v>
      </c>
      <c r="Q744" s="1">
        <v>-3.7535276991843198E-5</v>
      </c>
      <c r="R744">
        <v>3.4748778416737302E-4</v>
      </c>
      <c r="S744">
        <v>1.5043314731337401E-4</v>
      </c>
      <c r="T744">
        <v>-1.8707778316723899E-3</v>
      </c>
      <c r="U744">
        <v>5.9969382761829699</v>
      </c>
      <c r="V744" s="1">
        <v>9.9999999999990802E-15</v>
      </c>
      <c r="W744">
        <v>0.63368104848903795</v>
      </c>
      <c r="X744">
        <v>2.4999999999999898</v>
      </c>
      <c r="Y744">
        <v>27.947979897095099</v>
      </c>
      <c r="Z744">
        <v>0.49999999988495503</v>
      </c>
      <c r="AA744">
        <v>51.4359185051567</v>
      </c>
      <c r="AB744" s="9">
        <f t="shared" si="107"/>
        <v>-0.34544282166440227</v>
      </c>
      <c r="AC744" s="9">
        <f t="shared" si="108"/>
        <v>-0.35347943573387253</v>
      </c>
      <c r="AD744" s="2">
        <f t="shared" si="109"/>
        <v>2.3264672372546258E-2</v>
      </c>
      <c r="AE744" s="8">
        <f t="shared" si="110"/>
        <v>4.0528554455982989E-3</v>
      </c>
      <c r="AF744" s="2">
        <f t="shared" si="111"/>
        <v>-2.7079130661628679E-3</v>
      </c>
      <c r="AG744" s="8">
        <f t="shared" si="112"/>
        <v>6.7607685117611668E-3</v>
      </c>
      <c r="AH744" s="7">
        <f t="shared" si="113"/>
        <v>-0.40053332124182756</v>
      </c>
      <c r="AI744">
        <f t="shared" si="114"/>
        <v>6</v>
      </c>
      <c r="AJ744" s="10">
        <f t="shared" si="115"/>
        <v>0.24338766642340201</v>
      </c>
    </row>
    <row r="745" spans="1:36" hidden="1" x14ac:dyDescent="0.25">
      <c r="A745" t="b">
        <v>0</v>
      </c>
      <c r="B745">
        <v>1000</v>
      </c>
      <c r="C745">
        <v>0.24338766642340201</v>
      </c>
      <c r="D745" t="s">
        <v>52</v>
      </c>
      <c r="E745" t="b">
        <v>1</v>
      </c>
      <c r="F745" t="s">
        <v>53</v>
      </c>
      <c r="G745">
        <v>7.4999999999999997E-2</v>
      </c>
      <c r="H745">
        <v>0.5</v>
      </c>
      <c r="I745">
        <v>1E-4</v>
      </c>
      <c r="J745" t="b">
        <v>1</v>
      </c>
      <c r="K745">
        <v>6</v>
      </c>
      <c r="L745">
        <v>1500</v>
      </c>
      <c r="M745">
        <v>0.25</v>
      </c>
      <c r="N745">
        <v>0.154</v>
      </c>
      <c r="O745" t="s">
        <v>355</v>
      </c>
      <c r="P745" t="s">
        <v>357</v>
      </c>
      <c r="Q745">
        <v>-2.9996073827934401E-4</v>
      </c>
      <c r="R745">
        <v>2.82250857668624E-3</v>
      </c>
      <c r="S745">
        <v>1.20180875922871E-3</v>
      </c>
      <c r="T745">
        <v>-1.49306924003432E-2</v>
      </c>
      <c r="U745">
        <v>5.9953044445268704</v>
      </c>
      <c r="V745" s="1">
        <v>9.9999999999999905E-15</v>
      </c>
      <c r="W745">
        <v>0.63963277554618703</v>
      </c>
      <c r="X745">
        <v>2.4999999999999898</v>
      </c>
      <c r="Y745">
        <v>28.4510698319455</v>
      </c>
      <c r="Z745">
        <v>0.499999999999999</v>
      </c>
      <c r="AA745">
        <v>52.256860652554103</v>
      </c>
      <c r="AB745" s="9">
        <f t="shared" si="107"/>
        <v>-0.3450977140749576</v>
      </c>
      <c r="AC745" s="9">
        <f t="shared" si="108"/>
        <v>-0.35347943573387253</v>
      </c>
      <c r="AD745" s="2">
        <f t="shared" si="109"/>
        <v>2.4287966326819399E-2</v>
      </c>
      <c r="AE745" s="8">
        <f t="shared" si="110"/>
        <v>3.9368986387171047E-3</v>
      </c>
      <c r="AF745" s="2">
        <f t="shared" si="111"/>
        <v>-2.8238698730440621E-3</v>
      </c>
      <c r="AG745" s="8">
        <f t="shared" si="112"/>
        <v>6.7607685117611668E-3</v>
      </c>
      <c r="AH745" s="7">
        <f t="shared" si="113"/>
        <v>-0.4176847451782445</v>
      </c>
      <c r="AI745">
        <f t="shared" si="114"/>
        <v>6</v>
      </c>
      <c r="AJ745" s="10">
        <f t="shared" si="115"/>
        <v>0.24338766642340201</v>
      </c>
    </row>
    <row r="746" spans="1:36" hidden="1" x14ac:dyDescent="0.25">
      <c r="A746" t="b">
        <v>0</v>
      </c>
      <c r="B746">
        <v>1000</v>
      </c>
      <c r="C746">
        <v>0.24338766642340201</v>
      </c>
      <c r="D746" t="s">
        <v>52</v>
      </c>
      <c r="E746" t="b">
        <v>1</v>
      </c>
      <c r="F746" t="s">
        <v>53</v>
      </c>
      <c r="G746">
        <v>7.4999999999999997E-2</v>
      </c>
      <c r="H746">
        <v>0.5</v>
      </c>
      <c r="I746">
        <v>1E-4</v>
      </c>
      <c r="J746" t="b">
        <v>1</v>
      </c>
      <c r="K746">
        <v>6</v>
      </c>
      <c r="L746">
        <v>1500</v>
      </c>
      <c r="M746">
        <v>0.25</v>
      </c>
      <c r="N746">
        <v>0.154</v>
      </c>
      <c r="O746" t="s">
        <v>356</v>
      </c>
      <c r="P746" t="s">
        <v>357</v>
      </c>
      <c r="Q746">
        <v>-2.6242546113462202E-4</v>
      </c>
      <c r="R746">
        <v>2.34639074957072E-3</v>
      </c>
      <c r="S746">
        <v>1.05137561191533E-3</v>
      </c>
      <c r="T746">
        <v>-1.30599145686707E-2</v>
      </c>
      <c r="U746">
        <v>5.9950704778984196</v>
      </c>
      <c r="V746" s="1">
        <v>9.9999999999999905E-15</v>
      </c>
      <c r="W746">
        <v>0.60475407864953601</v>
      </c>
      <c r="X746">
        <v>2.4999999999999898</v>
      </c>
      <c r="Y746">
        <v>27.167103353311099</v>
      </c>
      <c r="Z746">
        <v>0.499999999999999</v>
      </c>
      <c r="AA746">
        <v>49.612836259046901</v>
      </c>
      <c r="AB746" s="9">
        <f t="shared" si="107"/>
        <v>-0.34504833531797047</v>
      </c>
      <c r="AC746" s="9">
        <f t="shared" si="108"/>
        <v>-0.35347943573387253</v>
      </c>
      <c r="AD746" s="2">
        <f t="shared" si="109"/>
        <v>2.4434548881774987E-2</v>
      </c>
      <c r="AE746" s="8">
        <f t="shared" si="110"/>
        <v>3.920309472629788E-3</v>
      </c>
      <c r="AF746" s="2">
        <f t="shared" si="111"/>
        <v>-2.8404590391313787E-3</v>
      </c>
      <c r="AG746" s="8">
        <f t="shared" si="112"/>
        <v>6.7607685117611668E-3</v>
      </c>
      <c r="AH746" s="7">
        <f t="shared" si="113"/>
        <v>-0.42013848487639532</v>
      </c>
      <c r="AI746">
        <f t="shared" si="114"/>
        <v>6</v>
      </c>
      <c r="AJ746" s="10">
        <f t="shared" si="115"/>
        <v>0.24338766642340201</v>
      </c>
    </row>
    <row r="747" spans="1:36" hidden="1" x14ac:dyDescent="0.25">
      <c r="A747" t="b">
        <v>0</v>
      </c>
      <c r="B747">
        <v>1000</v>
      </c>
      <c r="C747">
        <v>0.36834909388245801</v>
      </c>
      <c r="D747" t="s">
        <v>52</v>
      </c>
      <c r="E747" t="b">
        <v>1</v>
      </c>
      <c r="F747" t="s">
        <v>53</v>
      </c>
      <c r="G747">
        <v>7.4999999999999997E-2</v>
      </c>
      <c r="H747">
        <v>0.5</v>
      </c>
      <c r="I747">
        <v>1E-4</v>
      </c>
      <c r="J747" t="b">
        <v>1</v>
      </c>
      <c r="K747">
        <v>1</v>
      </c>
      <c r="L747">
        <v>1500</v>
      </c>
      <c r="M747">
        <v>0.5</v>
      </c>
      <c r="N747">
        <v>0.154</v>
      </c>
      <c r="O747" t="s">
        <v>358</v>
      </c>
      <c r="P747" t="s">
        <v>359</v>
      </c>
      <c r="Q747" s="1">
        <v>-2.2196918741525799E-6</v>
      </c>
      <c r="R747" s="1">
        <v>2.11337771660204E-7</v>
      </c>
      <c r="S747" s="1">
        <v>6.6577045115812998E-6</v>
      </c>
      <c r="T747" s="1">
        <v>-9.9683674427962503E-6</v>
      </c>
      <c r="U747">
        <v>1.2580167371502999</v>
      </c>
      <c r="V747">
        <v>0</v>
      </c>
      <c r="W747">
        <v>7.7809550680263597E-3</v>
      </c>
      <c r="X747">
        <v>2</v>
      </c>
      <c r="Y747">
        <v>0.424325078562241</v>
      </c>
      <c r="Z747">
        <v>2.5000000000000001E-4</v>
      </c>
      <c r="AA747">
        <v>0.38134384775235702</v>
      </c>
      <c r="AB747" s="9">
        <f t="shared" si="107"/>
        <v>-1.4972679285264074</v>
      </c>
      <c r="AC747" s="9">
        <f t="shared" si="108"/>
        <v>-1.1409103519375479</v>
      </c>
      <c r="AD747" s="2">
        <f t="shared" si="109"/>
        <v>-0.23800521589985724</v>
      </c>
      <c r="AE747" s="8">
        <f t="shared" si="110"/>
        <v>0.63392872179053406</v>
      </c>
      <c r="AF747" s="2">
        <f t="shared" si="111"/>
        <v>0.26557962790807604</v>
      </c>
      <c r="AG747" s="8">
        <f t="shared" si="112"/>
        <v>0.36834909388245801</v>
      </c>
      <c r="AH747" s="7">
        <f t="shared" si="113"/>
        <v>0.72099981327176499</v>
      </c>
      <c r="AI747">
        <f t="shared" si="114"/>
        <v>1</v>
      </c>
      <c r="AJ747" s="10">
        <f t="shared" si="115"/>
        <v>0.36834909388245801</v>
      </c>
    </row>
    <row r="748" spans="1:36" hidden="1" x14ac:dyDescent="0.25">
      <c r="A748" t="b">
        <v>0</v>
      </c>
      <c r="B748">
        <v>1000</v>
      </c>
      <c r="C748">
        <v>0.36834909388245801</v>
      </c>
      <c r="D748" t="s">
        <v>52</v>
      </c>
      <c r="E748" t="b">
        <v>1</v>
      </c>
      <c r="F748" t="s">
        <v>53</v>
      </c>
      <c r="G748">
        <v>7.4999999999999997E-2</v>
      </c>
      <c r="H748">
        <v>0.5</v>
      </c>
      <c r="I748">
        <v>1E-4</v>
      </c>
      <c r="J748" t="b">
        <v>1</v>
      </c>
      <c r="K748">
        <v>1</v>
      </c>
      <c r="L748">
        <v>1500</v>
      </c>
      <c r="M748">
        <v>0.5</v>
      </c>
      <c r="N748">
        <v>0.154</v>
      </c>
      <c r="O748" t="s">
        <v>358</v>
      </c>
      <c r="P748" t="s">
        <v>360</v>
      </c>
      <c r="Q748" s="1">
        <v>-1.7617527723063102E-5</v>
      </c>
      <c r="R748" s="1">
        <v>5.5533936082508903E-8</v>
      </c>
      <c r="S748" s="1">
        <v>5.3239489815197099E-5</v>
      </c>
      <c r="T748" s="1">
        <v>-7.9700524370002605E-5</v>
      </c>
      <c r="U748">
        <v>1.25797516285333</v>
      </c>
      <c r="V748" s="1">
        <v>4.07121394893348E-15</v>
      </c>
      <c r="W748">
        <v>3.5602009245313599E-4</v>
      </c>
      <c r="X748">
        <v>2.0832751243698802</v>
      </c>
      <c r="Y748">
        <v>1.27314509726847E-2</v>
      </c>
      <c r="Z748">
        <v>3.1887090901589102E-2</v>
      </c>
      <c r="AA748">
        <v>1.3443440476813499E-2</v>
      </c>
      <c r="AB748" s="9">
        <f t="shared" si="107"/>
        <v>-1.4970189355055064</v>
      </c>
      <c r="AC748" s="9">
        <f t="shared" si="108"/>
        <v>-1.1409103519375479</v>
      </c>
      <c r="AD748" s="2">
        <f t="shared" si="109"/>
        <v>-0.23787847643203619</v>
      </c>
      <c r="AE748" s="8">
        <f t="shared" si="110"/>
        <v>0.63370717103165697</v>
      </c>
      <c r="AF748" s="2">
        <f t="shared" si="111"/>
        <v>0.26535807714919896</v>
      </c>
      <c r="AG748" s="8">
        <f t="shared" si="112"/>
        <v>0.36834909388245801</v>
      </c>
      <c r="AH748" s="7">
        <f t="shared" si="113"/>
        <v>0.72039834373496792</v>
      </c>
      <c r="AI748">
        <f t="shared" si="114"/>
        <v>1</v>
      </c>
      <c r="AJ748" s="10">
        <f t="shared" si="115"/>
        <v>0.36834909388245801</v>
      </c>
    </row>
    <row r="749" spans="1:36" hidden="1" x14ac:dyDescent="0.25">
      <c r="A749" t="b">
        <v>0</v>
      </c>
      <c r="B749">
        <v>1000</v>
      </c>
      <c r="C749">
        <v>0.36834909388245801</v>
      </c>
      <c r="D749" t="s">
        <v>52</v>
      </c>
      <c r="E749" t="b">
        <v>1</v>
      </c>
      <c r="F749" t="s">
        <v>53</v>
      </c>
      <c r="G749">
        <v>7.4999999999999997E-2</v>
      </c>
      <c r="H749">
        <v>0.5</v>
      </c>
      <c r="I749">
        <v>1E-4</v>
      </c>
      <c r="J749" t="b">
        <v>1</v>
      </c>
      <c r="K749">
        <v>1</v>
      </c>
      <c r="L749">
        <v>1500</v>
      </c>
      <c r="M749">
        <v>0.5</v>
      </c>
      <c r="N749">
        <v>0.154</v>
      </c>
      <c r="O749" t="s">
        <v>358</v>
      </c>
      <c r="P749" t="s">
        <v>361</v>
      </c>
      <c r="Q749" s="1">
        <v>-2.2196918741525799E-6</v>
      </c>
      <c r="R749" s="1">
        <v>2.11337771629259E-7</v>
      </c>
      <c r="S749" s="1">
        <v>6.6577045115772002E-6</v>
      </c>
      <c r="T749" s="1">
        <v>-9.9683674424706695E-6</v>
      </c>
      <c r="U749">
        <v>1.2580167371231299</v>
      </c>
      <c r="V749">
        <v>0</v>
      </c>
      <c r="W749">
        <v>7.7809550668870497E-3</v>
      </c>
      <c r="X749">
        <v>2</v>
      </c>
      <c r="Y749">
        <v>0.42432507850010998</v>
      </c>
      <c r="Z749">
        <v>2.5000000000000001E-4</v>
      </c>
      <c r="AA749">
        <v>0.38134384769651902</v>
      </c>
      <c r="AB749" s="9">
        <f t="shared" si="107"/>
        <v>-1.4972679284784267</v>
      </c>
      <c r="AC749" s="9">
        <f t="shared" si="108"/>
        <v>-1.1409103519375479</v>
      </c>
      <c r="AD749" s="2">
        <f t="shared" si="109"/>
        <v>-0.23800521587543866</v>
      </c>
      <c r="AE749" s="8">
        <f t="shared" si="110"/>
        <v>0.63392872174783577</v>
      </c>
      <c r="AF749" s="2">
        <f t="shared" si="111"/>
        <v>0.26557962786537775</v>
      </c>
      <c r="AG749" s="8">
        <f t="shared" si="112"/>
        <v>0.36834909388245801</v>
      </c>
      <c r="AH749" s="7">
        <f t="shared" si="113"/>
        <v>0.72099981315584694</v>
      </c>
      <c r="AI749">
        <f t="shared" si="114"/>
        <v>1</v>
      </c>
      <c r="AJ749" s="10">
        <f t="shared" si="115"/>
        <v>0.36834909388245801</v>
      </c>
    </row>
    <row r="750" spans="1:36" hidden="1" x14ac:dyDescent="0.25">
      <c r="A750" t="b">
        <v>0</v>
      </c>
      <c r="B750">
        <v>1000</v>
      </c>
      <c r="C750">
        <v>0.36834909388245801</v>
      </c>
      <c r="D750" t="s">
        <v>52</v>
      </c>
      <c r="E750" t="b">
        <v>1</v>
      </c>
      <c r="F750" t="s">
        <v>53</v>
      </c>
      <c r="G750">
        <v>7.4999999999999997E-2</v>
      </c>
      <c r="H750">
        <v>0.5</v>
      </c>
      <c r="I750">
        <v>1E-4</v>
      </c>
      <c r="J750" t="b">
        <v>1</v>
      </c>
      <c r="K750">
        <v>1</v>
      </c>
      <c r="L750">
        <v>1500</v>
      </c>
      <c r="M750">
        <v>0.5</v>
      </c>
      <c r="N750">
        <v>0.154</v>
      </c>
      <c r="O750" t="s">
        <v>358</v>
      </c>
      <c r="P750" t="s">
        <v>362</v>
      </c>
      <c r="Q750" s="1">
        <v>-4.4393698009121197E-6</v>
      </c>
      <c r="R750" s="1">
        <v>4.2237157520021999E-7</v>
      </c>
      <c r="S750" s="1">
        <v>1.33153672382192E-5</v>
      </c>
      <c r="T750" s="1">
        <v>-1.9936555355757299E-5</v>
      </c>
      <c r="U750">
        <v>1.2580107942620899</v>
      </c>
      <c r="V750">
        <v>0</v>
      </c>
      <c r="W750">
        <v>7.8317341363726804E-3</v>
      </c>
      <c r="X750">
        <v>2</v>
      </c>
      <c r="Y750">
        <v>0.424142358163003</v>
      </c>
      <c r="Z750">
        <v>2.5000000000000001E-4</v>
      </c>
      <c r="AA750">
        <v>0.381069347516509</v>
      </c>
      <c r="AB750" s="9">
        <f t="shared" si="107"/>
        <v>-1.4972591441964329</v>
      </c>
      <c r="AC750" s="9">
        <f t="shared" si="108"/>
        <v>-1.1409103519375479</v>
      </c>
      <c r="AD750" s="2">
        <f t="shared" si="109"/>
        <v>-0.23800074532196935</v>
      </c>
      <c r="AE750" s="8">
        <f t="shared" si="110"/>
        <v>0.63392090458514438</v>
      </c>
      <c r="AF750" s="2">
        <f t="shared" si="111"/>
        <v>0.26557181070268637</v>
      </c>
      <c r="AG750" s="8">
        <f t="shared" si="112"/>
        <v>0.36834909388245801</v>
      </c>
      <c r="AH750" s="7">
        <f t="shared" si="113"/>
        <v>0.72097859099778761</v>
      </c>
      <c r="AI750">
        <f t="shared" si="114"/>
        <v>1</v>
      </c>
      <c r="AJ750" s="10">
        <f t="shared" si="115"/>
        <v>0.36834909388245801</v>
      </c>
    </row>
    <row r="751" spans="1:36" hidden="1" x14ac:dyDescent="0.25">
      <c r="A751" t="b">
        <v>0</v>
      </c>
      <c r="B751">
        <v>1000</v>
      </c>
      <c r="C751">
        <v>0.36834909388245801</v>
      </c>
      <c r="D751" t="s">
        <v>52</v>
      </c>
      <c r="E751" t="b">
        <v>1</v>
      </c>
      <c r="F751" t="s">
        <v>53</v>
      </c>
      <c r="G751">
        <v>7.4999999999999997E-2</v>
      </c>
      <c r="H751">
        <v>0.5</v>
      </c>
      <c r="I751">
        <v>1E-4</v>
      </c>
      <c r="J751" t="b">
        <v>1</v>
      </c>
      <c r="K751">
        <v>1</v>
      </c>
      <c r="L751">
        <v>1500</v>
      </c>
      <c r="M751">
        <v>0.5</v>
      </c>
      <c r="N751">
        <v>0.154</v>
      </c>
      <c r="O751" t="s">
        <v>358</v>
      </c>
      <c r="P751" t="s">
        <v>363</v>
      </c>
      <c r="Q751" s="1">
        <v>-1.98205193865679E-5</v>
      </c>
      <c r="R751" s="1">
        <v>6.36083011101312E-8</v>
      </c>
      <c r="S751" s="1">
        <v>5.9896860214384103E-5</v>
      </c>
      <c r="T751" s="1">
        <v>-8.9667456471136599E-5</v>
      </c>
      <c r="U751">
        <v>1.2579692203902499</v>
      </c>
      <c r="V751" s="1">
        <v>4.0493675255668299E-15</v>
      </c>
      <c r="W751">
        <v>3.69691209066684E-4</v>
      </c>
      <c r="X751">
        <v>2.08328238839785</v>
      </c>
      <c r="Y751">
        <v>1.2777082935152799E-2</v>
      </c>
      <c r="Z751">
        <v>3.1888357289611403E-2</v>
      </c>
      <c r="AA751">
        <v>1.3692605438025401E-2</v>
      </c>
      <c r="AB751" s="9">
        <f t="shared" si="107"/>
        <v>-1.4970309987902028</v>
      </c>
      <c r="AC751" s="9">
        <f t="shared" si="108"/>
        <v>-1.1409103519375479</v>
      </c>
      <c r="AD751" s="2">
        <f t="shared" si="109"/>
        <v>-0.2378846177136259</v>
      </c>
      <c r="AE751" s="8">
        <f t="shared" si="110"/>
        <v>0.63371790340091017</v>
      </c>
      <c r="AF751" s="2">
        <f t="shared" si="111"/>
        <v>0.26536880951845215</v>
      </c>
      <c r="AG751" s="8">
        <f t="shared" si="112"/>
        <v>0.36834909388245801</v>
      </c>
      <c r="AH751" s="7">
        <f t="shared" si="113"/>
        <v>0.72042748014233648</v>
      </c>
      <c r="AI751">
        <f t="shared" si="114"/>
        <v>1</v>
      </c>
      <c r="AJ751" s="10">
        <f t="shared" si="115"/>
        <v>0.36834909388245801</v>
      </c>
    </row>
    <row r="752" spans="1:36" hidden="1" x14ac:dyDescent="0.25">
      <c r="A752" t="b">
        <v>0</v>
      </c>
      <c r="B752">
        <v>1000</v>
      </c>
      <c r="C752">
        <v>0.36834909388245801</v>
      </c>
      <c r="D752" t="s">
        <v>52</v>
      </c>
      <c r="E752" t="b">
        <v>1</v>
      </c>
      <c r="F752" t="s">
        <v>53</v>
      </c>
      <c r="G752">
        <v>7.4999999999999997E-2</v>
      </c>
      <c r="H752">
        <v>0.5</v>
      </c>
      <c r="I752">
        <v>1E-4</v>
      </c>
      <c r="J752" t="b">
        <v>1</v>
      </c>
      <c r="K752">
        <v>1</v>
      </c>
      <c r="L752">
        <v>1500</v>
      </c>
      <c r="M752">
        <v>0.5</v>
      </c>
      <c r="N752">
        <v>0.154</v>
      </c>
      <c r="O752" t="s">
        <v>358</v>
      </c>
      <c r="P752" t="s">
        <v>364</v>
      </c>
      <c r="Q752" s="1">
        <v>-1.7617529119698001E-5</v>
      </c>
      <c r="R752" s="1">
        <v>5.5911482714862202E-8</v>
      </c>
      <c r="S752" s="1">
        <v>5.3239489815200799E-5</v>
      </c>
      <c r="T752" s="1">
        <v>-7.9700524370089097E-5</v>
      </c>
      <c r="U752">
        <v>1.2579751628886999</v>
      </c>
      <c r="V752" s="1">
        <v>4.0807707597917598E-15</v>
      </c>
      <c r="W752">
        <v>3.5489538032164601E-4</v>
      </c>
      <c r="X752">
        <v>2.0832755079531502</v>
      </c>
      <c r="Y752">
        <v>1.2767598984659199E-2</v>
      </c>
      <c r="Z752">
        <v>3.1886751226451203E-2</v>
      </c>
      <c r="AA752">
        <v>1.3535367901576801E-2</v>
      </c>
      <c r="AB752" s="9">
        <f t="shared" si="107"/>
        <v>-1.4970189355070269</v>
      </c>
      <c r="AC752" s="9">
        <f t="shared" si="108"/>
        <v>-1.1409103519375479</v>
      </c>
      <c r="AD752" s="2">
        <f t="shared" si="109"/>
        <v>-0.23787847643281024</v>
      </c>
      <c r="AE752" s="8">
        <f t="shared" si="110"/>
        <v>0.63370717103300978</v>
      </c>
      <c r="AF752" s="2">
        <f t="shared" si="111"/>
        <v>0.26535807715055176</v>
      </c>
      <c r="AG752" s="8">
        <f t="shared" si="112"/>
        <v>0.36834909388245801</v>
      </c>
      <c r="AH752" s="7">
        <f t="shared" si="113"/>
        <v>0.72039834373864053</v>
      </c>
      <c r="AI752">
        <f t="shared" si="114"/>
        <v>1</v>
      </c>
      <c r="AJ752" s="10">
        <f t="shared" si="115"/>
        <v>0.36834909388245801</v>
      </c>
    </row>
    <row r="753" spans="1:36" hidden="1" x14ac:dyDescent="0.25">
      <c r="A753" t="b">
        <v>0</v>
      </c>
      <c r="B753">
        <v>1000</v>
      </c>
      <c r="C753">
        <v>0.36834909388245801</v>
      </c>
      <c r="D753" t="s">
        <v>52</v>
      </c>
      <c r="E753" t="b">
        <v>1</v>
      </c>
      <c r="F753" t="s">
        <v>53</v>
      </c>
      <c r="G753">
        <v>7.4999999999999997E-2</v>
      </c>
      <c r="H753">
        <v>0.5</v>
      </c>
      <c r="I753">
        <v>1E-4</v>
      </c>
      <c r="J753" t="b">
        <v>1</v>
      </c>
      <c r="K753">
        <v>1</v>
      </c>
      <c r="L753">
        <v>1500</v>
      </c>
      <c r="M753">
        <v>0.5</v>
      </c>
      <c r="N753">
        <v>0.154</v>
      </c>
      <c r="O753" t="s">
        <v>358</v>
      </c>
      <c r="P753" t="s">
        <v>365</v>
      </c>
      <c r="Q753" s="1">
        <v>-1.9820517821371601E-5</v>
      </c>
      <c r="R753" s="1">
        <v>6.2787620768822495E-8</v>
      </c>
      <c r="S753" s="1">
        <v>5.98968602143806E-5</v>
      </c>
      <c r="T753" s="1">
        <v>-8.9667456471144894E-5</v>
      </c>
      <c r="U753">
        <v>1.25796922043518</v>
      </c>
      <c r="V753" s="1">
        <v>4.1512782857211098E-15</v>
      </c>
      <c r="W753">
        <v>3.6731614045954299E-4</v>
      </c>
      <c r="X753">
        <v>2.0832820058194002</v>
      </c>
      <c r="Y753">
        <v>1.2719209869583199E-2</v>
      </c>
      <c r="Z753">
        <v>3.18886957971889E-2</v>
      </c>
      <c r="AA753">
        <v>1.3513913296459099E-2</v>
      </c>
      <c r="AB753" s="9">
        <f t="shared" si="107"/>
        <v>-1.4970309987904289</v>
      </c>
      <c r="AC753" s="9">
        <f t="shared" si="108"/>
        <v>-1.1409103519375479</v>
      </c>
      <c r="AD753" s="2">
        <f t="shared" si="109"/>
        <v>-0.23788461771374103</v>
      </c>
      <c r="AE753" s="8">
        <f t="shared" si="110"/>
        <v>0.63371790340111145</v>
      </c>
      <c r="AF753" s="2">
        <f t="shared" si="111"/>
        <v>0.26536880951865344</v>
      </c>
      <c r="AG753" s="8">
        <f t="shared" si="112"/>
        <v>0.36834909388245801</v>
      </c>
      <c r="AH753" s="7">
        <f t="shared" si="113"/>
        <v>0.72042748014288294</v>
      </c>
      <c r="AI753">
        <f t="shared" si="114"/>
        <v>1</v>
      </c>
      <c r="AJ753" s="10">
        <f t="shared" si="115"/>
        <v>0.36834909388245801</v>
      </c>
    </row>
    <row r="754" spans="1:36" hidden="1" x14ac:dyDescent="0.25">
      <c r="A754" t="b">
        <v>0</v>
      </c>
      <c r="B754">
        <v>1000</v>
      </c>
      <c r="C754">
        <v>0.36834909388245801</v>
      </c>
      <c r="D754" t="s">
        <v>52</v>
      </c>
      <c r="E754" t="b">
        <v>1</v>
      </c>
      <c r="F754" t="s">
        <v>53</v>
      </c>
      <c r="G754">
        <v>7.4999999999999997E-2</v>
      </c>
      <c r="H754">
        <v>0.5</v>
      </c>
      <c r="I754">
        <v>1E-4</v>
      </c>
      <c r="J754" t="b">
        <v>1</v>
      </c>
      <c r="K754">
        <v>1</v>
      </c>
      <c r="L754">
        <v>1500</v>
      </c>
      <c r="M754">
        <v>0.5</v>
      </c>
      <c r="N754">
        <v>0.154</v>
      </c>
      <c r="O754" t="s">
        <v>358</v>
      </c>
      <c r="P754" t="s">
        <v>366</v>
      </c>
      <c r="Q754" s="1">
        <v>-3.5234245766129902E-5</v>
      </c>
      <c r="R754" s="1">
        <v>1.12273327091208E-7</v>
      </c>
      <c r="S754">
        <v>1.0647630806737399E-4</v>
      </c>
      <c r="T754">
        <v>-1.5938957314969799E-4</v>
      </c>
      <c r="U754">
        <v>1.25792764896247</v>
      </c>
      <c r="V754" s="1">
        <v>4.1027089088686498E-15</v>
      </c>
      <c r="W754">
        <v>3.56622787913217E-4</v>
      </c>
      <c r="X754">
        <v>2.0832362417127999</v>
      </c>
      <c r="Y754">
        <v>1.2783474587034001E-2</v>
      </c>
      <c r="Z754">
        <v>3.1876711579878099E-2</v>
      </c>
      <c r="AA754">
        <v>1.35906382148944E-2</v>
      </c>
      <c r="AB754" s="9">
        <f t="shared" si="107"/>
        <v>-1.4969487207317762</v>
      </c>
      <c r="AC754" s="9">
        <f t="shared" si="108"/>
        <v>-1.1409103519375479</v>
      </c>
      <c r="AD754" s="2">
        <f t="shared" si="109"/>
        <v>-0.23784272892138925</v>
      </c>
      <c r="AE754" s="8">
        <f t="shared" si="110"/>
        <v>0.63364470569701625</v>
      </c>
      <c r="AF754" s="2">
        <f t="shared" si="111"/>
        <v>0.26529561181455824</v>
      </c>
      <c r="AG754" s="8">
        <f t="shared" si="112"/>
        <v>0.36834909388245801</v>
      </c>
      <c r="AH754" s="7">
        <f t="shared" si="113"/>
        <v>0.72022876184735607</v>
      </c>
      <c r="AI754">
        <f t="shared" si="114"/>
        <v>1</v>
      </c>
      <c r="AJ754" s="10">
        <f t="shared" si="115"/>
        <v>0.36834909388245801</v>
      </c>
    </row>
    <row r="755" spans="1:36" hidden="1" x14ac:dyDescent="0.25">
      <c r="A755" t="b">
        <v>0</v>
      </c>
      <c r="B755">
        <v>1000</v>
      </c>
      <c r="C755">
        <v>0.36834909388245801</v>
      </c>
      <c r="D755" t="s">
        <v>52</v>
      </c>
      <c r="E755" t="b">
        <v>1</v>
      </c>
      <c r="F755" t="s">
        <v>53</v>
      </c>
      <c r="G755">
        <v>7.4999999999999997E-2</v>
      </c>
      <c r="H755">
        <v>0.5</v>
      </c>
      <c r="I755">
        <v>1E-4</v>
      </c>
      <c r="J755" t="b">
        <v>1</v>
      </c>
      <c r="K755">
        <v>1</v>
      </c>
      <c r="L755">
        <v>1500</v>
      </c>
      <c r="M755">
        <v>0.5</v>
      </c>
      <c r="N755">
        <v>0.154</v>
      </c>
      <c r="O755" t="s">
        <v>359</v>
      </c>
      <c r="P755" t="s">
        <v>360</v>
      </c>
      <c r="Q755" s="1">
        <v>-1.54144373689509E-5</v>
      </c>
      <c r="R755" s="1">
        <v>4.81441489072142E-8</v>
      </c>
      <c r="S755" s="1">
        <v>4.6581785303618703E-5</v>
      </c>
      <c r="T755" s="1">
        <v>-6.9732156927354103E-5</v>
      </c>
      <c r="U755">
        <v>1.2579692199637</v>
      </c>
      <c r="V755" s="1">
        <v>4.2744867055623501E-15</v>
      </c>
      <c r="W755">
        <v>3.4199912318093502E-4</v>
      </c>
      <c r="X755">
        <v>2.08325547290266</v>
      </c>
      <c r="Y755">
        <v>1.27288631303834E-2</v>
      </c>
      <c r="Z755">
        <v>3.1881780919623001E-2</v>
      </c>
      <c r="AA755">
        <v>1.33153678194296E-2</v>
      </c>
      <c r="AB755" s="9">
        <f t="shared" si="107"/>
        <v>-1.4969833481658541</v>
      </c>
      <c r="AC755" s="9">
        <f t="shared" si="108"/>
        <v>-1.1409103519375479</v>
      </c>
      <c r="AD755" s="2">
        <f t="shared" si="109"/>
        <v>-0.23786035874385436</v>
      </c>
      <c r="AE755" s="8">
        <f t="shared" si="110"/>
        <v>0.63367551078581219</v>
      </c>
      <c r="AF755" s="2">
        <f t="shared" si="111"/>
        <v>0.26532641690335418</v>
      </c>
      <c r="AG755" s="8">
        <f t="shared" si="112"/>
        <v>0.36834909388245801</v>
      </c>
      <c r="AH755" s="7">
        <f t="shared" si="113"/>
        <v>0.72031239199415853</v>
      </c>
      <c r="AI755">
        <f t="shared" si="114"/>
        <v>1</v>
      </c>
      <c r="AJ755" s="10">
        <f t="shared" si="115"/>
        <v>0.36834909388245801</v>
      </c>
    </row>
    <row r="756" spans="1:36" hidden="1" x14ac:dyDescent="0.25">
      <c r="A756" t="b">
        <v>0</v>
      </c>
      <c r="B756">
        <v>1000</v>
      </c>
      <c r="C756">
        <v>0.36834909388245801</v>
      </c>
      <c r="D756" t="s">
        <v>52</v>
      </c>
      <c r="E756" t="b">
        <v>1</v>
      </c>
      <c r="F756" t="s">
        <v>53</v>
      </c>
      <c r="G756">
        <v>7.4999999999999997E-2</v>
      </c>
      <c r="H756">
        <v>0.5</v>
      </c>
      <c r="I756">
        <v>1E-4</v>
      </c>
      <c r="J756" t="b">
        <v>1</v>
      </c>
      <c r="K756">
        <v>1</v>
      </c>
      <c r="L756">
        <v>1500</v>
      </c>
      <c r="M756">
        <v>0.5</v>
      </c>
      <c r="N756">
        <v>0.154</v>
      </c>
      <c r="O756" t="s">
        <v>359</v>
      </c>
      <c r="P756" t="s">
        <v>361</v>
      </c>
      <c r="Q756" s="1">
        <v>-1E-10</v>
      </c>
      <c r="R756" s="1">
        <v>3.5857858881839098E-12</v>
      </c>
      <c r="S756" s="1">
        <v>7.0700621543435704E-18</v>
      </c>
      <c r="T756" s="1">
        <v>1.7661233178642699E-16</v>
      </c>
      <c r="U756">
        <v>1.2580107942334999</v>
      </c>
      <c r="V756">
        <v>0</v>
      </c>
      <c r="W756">
        <v>6.8474547422802207E-2</v>
      </c>
      <c r="X756">
        <v>2</v>
      </c>
      <c r="Y756">
        <v>4.0005663651125501E-3</v>
      </c>
      <c r="Z756">
        <v>2.5000000000000001E-4</v>
      </c>
      <c r="AA756">
        <v>4.7933529227231599E-3</v>
      </c>
      <c r="AB756" s="9">
        <f t="shared" si="107"/>
        <v>24.980308225143858</v>
      </c>
      <c r="AC756" s="9">
        <f t="shared" si="108"/>
        <v>-1.1409103519375479</v>
      </c>
      <c r="AD756" s="2">
        <f t="shared" si="109"/>
        <v>-1.0456723888934711</v>
      </c>
      <c r="AE756" s="8">
        <f t="shared" si="110"/>
        <v>-0.89404400723926691</v>
      </c>
      <c r="AF756" s="2">
        <f t="shared" si="111"/>
        <v>-1.2623931011217249</v>
      </c>
      <c r="AG756" s="8">
        <f t="shared" si="112"/>
        <v>0.36834909388245801</v>
      </c>
      <c r="AH756" s="7">
        <f t="shared" si="113"/>
        <v>-3.4271649424080315</v>
      </c>
      <c r="AI756">
        <f t="shared" si="114"/>
        <v>1</v>
      </c>
      <c r="AJ756" s="10">
        <f t="shared" si="115"/>
        <v>0.36834909388245801</v>
      </c>
    </row>
    <row r="757" spans="1:36" hidden="1" x14ac:dyDescent="0.25">
      <c r="A757" t="b">
        <v>0</v>
      </c>
      <c r="B757">
        <v>1000</v>
      </c>
      <c r="C757">
        <v>0.36834909388245801</v>
      </c>
      <c r="D757" t="s">
        <v>52</v>
      </c>
      <c r="E757" t="b">
        <v>1</v>
      </c>
      <c r="F757" t="s">
        <v>53</v>
      </c>
      <c r="G757">
        <v>7.4999999999999997E-2</v>
      </c>
      <c r="H757">
        <v>0.5</v>
      </c>
      <c r="I757">
        <v>1E-4</v>
      </c>
      <c r="J757" t="b">
        <v>1</v>
      </c>
      <c r="K757">
        <v>1</v>
      </c>
      <c r="L757">
        <v>1500</v>
      </c>
      <c r="M757">
        <v>0.5</v>
      </c>
      <c r="N757">
        <v>0.154</v>
      </c>
      <c r="O757" t="s">
        <v>359</v>
      </c>
      <c r="P757" t="s">
        <v>362</v>
      </c>
      <c r="Q757" s="1">
        <v>-2.2196779267932001E-6</v>
      </c>
      <c r="R757" s="1">
        <v>2.1266880859384101E-7</v>
      </c>
      <c r="S757" s="1">
        <v>6.6576627266409603E-6</v>
      </c>
      <c r="T757" s="1">
        <v>-9.9681879131420002E-6</v>
      </c>
      <c r="U757">
        <v>1.25800485137246</v>
      </c>
      <c r="V757">
        <v>0</v>
      </c>
      <c r="W757">
        <v>7.8428074764892095E-3</v>
      </c>
      <c r="X757">
        <v>2</v>
      </c>
      <c r="Y757">
        <v>0.42496638279108601</v>
      </c>
      <c r="Z757">
        <v>2.5000000000000001E-4</v>
      </c>
      <c r="AA757">
        <v>0.38374197181894898</v>
      </c>
      <c r="AB757" s="9">
        <f t="shared" si="107"/>
        <v>-1.4972503598378171</v>
      </c>
      <c r="AC757" s="9">
        <f t="shared" si="108"/>
        <v>-1.1409103519375479</v>
      </c>
      <c r="AD757" s="2">
        <f t="shared" si="109"/>
        <v>-0.23799627467704743</v>
      </c>
      <c r="AE757" s="8">
        <f t="shared" si="110"/>
        <v>0.63391308742906649</v>
      </c>
      <c r="AF757" s="2">
        <f t="shared" si="111"/>
        <v>0.26556399354660848</v>
      </c>
      <c r="AG757" s="8">
        <f t="shared" si="112"/>
        <v>0.36834909388245801</v>
      </c>
      <c r="AH757" s="7">
        <f t="shared" si="113"/>
        <v>0.72095736885768269</v>
      </c>
      <c r="AI757">
        <f t="shared" si="114"/>
        <v>1</v>
      </c>
      <c r="AJ757" s="10">
        <f t="shared" si="115"/>
        <v>0.36834909388245801</v>
      </c>
    </row>
    <row r="758" spans="1:36" hidden="1" x14ac:dyDescent="0.25">
      <c r="A758" t="b">
        <v>0</v>
      </c>
      <c r="B758">
        <v>1000</v>
      </c>
      <c r="C758">
        <v>0.36834909388245801</v>
      </c>
      <c r="D758" t="s">
        <v>52</v>
      </c>
      <c r="E758" t="b">
        <v>1</v>
      </c>
      <c r="F758" t="s">
        <v>53</v>
      </c>
      <c r="G758">
        <v>7.4999999999999997E-2</v>
      </c>
      <c r="H758">
        <v>0.5</v>
      </c>
      <c r="I758">
        <v>1E-4</v>
      </c>
      <c r="J758" t="b">
        <v>1</v>
      </c>
      <c r="K758">
        <v>1</v>
      </c>
      <c r="L758">
        <v>1500</v>
      </c>
      <c r="M758">
        <v>0.5</v>
      </c>
      <c r="N758">
        <v>0.154</v>
      </c>
      <c r="O758" t="s">
        <v>359</v>
      </c>
      <c r="P758" t="s">
        <v>363</v>
      </c>
      <c r="Q758" s="1">
        <v>-1.7617426875162301E-5</v>
      </c>
      <c r="R758" s="1">
        <v>5.5212753424969403E-8</v>
      </c>
      <c r="S758" s="1">
        <v>5.3239155702805002E-5</v>
      </c>
      <c r="T758" s="1">
        <v>-7.9699089028592004E-5</v>
      </c>
      <c r="U758">
        <v>1.25796327750062</v>
      </c>
      <c r="V758" s="1">
        <v>4.0768835747951402E-15</v>
      </c>
      <c r="W758">
        <v>3.5121531139493999E-4</v>
      </c>
      <c r="X758">
        <v>2.0832655103027902</v>
      </c>
      <c r="Y758">
        <v>1.27180712438209E-2</v>
      </c>
      <c r="Z758">
        <v>3.1884394291270803E-2</v>
      </c>
      <c r="AA758">
        <v>1.33635520559966E-2</v>
      </c>
      <c r="AB758" s="9">
        <f t="shared" si="107"/>
        <v>-1.4970013700723077</v>
      </c>
      <c r="AC758" s="9">
        <f t="shared" si="108"/>
        <v>-1.1409103519375479</v>
      </c>
      <c r="AD758" s="2">
        <f t="shared" si="109"/>
        <v>-0.23786953389198306</v>
      </c>
      <c r="AE758" s="8">
        <f t="shared" si="110"/>
        <v>0.63369154380588677</v>
      </c>
      <c r="AF758" s="2">
        <f t="shared" si="111"/>
        <v>0.26534244992342876</v>
      </c>
      <c r="AG758" s="8">
        <f t="shared" si="112"/>
        <v>0.36834909388245801</v>
      </c>
      <c r="AH758" s="7">
        <f t="shared" si="113"/>
        <v>0.72035591869299076</v>
      </c>
      <c r="AI758">
        <f t="shared" si="114"/>
        <v>1</v>
      </c>
      <c r="AJ758" s="10">
        <f t="shared" si="115"/>
        <v>0.36834909388245801</v>
      </c>
    </row>
    <row r="759" spans="1:36" hidden="1" x14ac:dyDescent="0.25">
      <c r="A759" t="b">
        <v>0</v>
      </c>
      <c r="B759">
        <v>1000</v>
      </c>
      <c r="C759">
        <v>0.36834909388245801</v>
      </c>
      <c r="D759" t="s">
        <v>52</v>
      </c>
      <c r="E759" t="b">
        <v>1</v>
      </c>
      <c r="F759" t="s">
        <v>53</v>
      </c>
      <c r="G759">
        <v>7.4999999999999997E-2</v>
      </c>
      <c r="H759">
        <v>0.5</v>
      </c>
      <c r="I759">
        <v>1E-4</v>
      </c>
      <c r="J759" t="b">
        <v>1</v>
      </c>
      <c r="K759">
        <v>1</v>
      </c>
      <c r="L759">
        <v>1500</v>
      </c>
      <c r="M759">
        <v>0.5</v>
      </c>
      <c r="N759">
        <v>0.154</v>
      </c>
      <c r="O759" t="s">
        <v>359</v>
      </c>
      <c r="P759" t="s">
        <v>364</v>
      </c>
      <c r="Q759" s="1">
        <v>-1.5414437857251299E-5</v>
      </c>
      <c r="R759" s="1">
        <v>4.8792082856118101E-8</v>
      </c>
      <c r="S759" s="1">
        <v>4.6581785303620899E-5</v>
      </c>
      <c r="T759" s="1">
        <v>-6.9732156927320899E-5</v>
      </c>
      <c r="U759">
        <v>1.25796921999907</v>
      </c>
      <c r="V759" s="1">
        <v>4.1407827522882998E-15</v>
      </c>
      <c r="W759">
        <v>3.5117779609145799E-4</v>
      </c>
      <c r="X759">
        <v>2.08325562542844</v>
      </c>
      <c r="Y759">
        <v>1.2766246018067201E-2</v>
      </c>
      <c r="Z759">
        <v>3.1881645738629102E-2</v>
      </c>
      <c r="AA759">
        <v>1.34982633649699E-2</v>
      </c>
      <c r="AB759" s="9">
        <f t="shared" si="107"/>
        <v>-1.4969833481650707</v>
      </c>
      <c r="AC759" s="9">
        <f t="shared" si="108"/>
        <v>-1.1409103519375479</v>
      </c>
      <c r="AD759" s="2">
        <f t="shared" si="109"/>
        <v>-0.23786035874345546</v>
      </c>
      <c r="AE759" s="8">
        <f t="shared" si="110"/>
        <v>0.6336755107851153</v>
      </c>
      <c r="AF759" s="2">
        <f t="shared" si="111"/>
        <v>0.26532641690265729</v>
      </c>
      <c r="AG759" s="8">
        <f t="shared" si="112"/>
        <v>0.36834909388245801</v>
      </c>
      <c r="AH759" s="7">
        <f t="shared" si="113"/>
        <v>0.7203123919922666</v>
      </c>
      <c r="AI759">
        <f t="shared" si="114"/>
        <v>1</v>
      </c>
      <c r="AJ759" s="10">
        <f t="shared" si="115"/>
        <v>0.36834909388245801</v>
      </c>
    </row>
    <row r="760" spans="1:36" hidden="1" x14ac:dyDescent="0.25">
      <c r="A760" t="b">
        <v>0</v>
      </c>
      <c r="B760">
        <v>1000</v>
      </c>
      <c r="C760">
        <v>0.36834909388245801</v>
      </c>
      <c r="D760" t="s">
        <v>52</v>
      </c>
      <c r="E760" t="b">
        <v>1</v>
      </c>
      <c r="F760" t="s">
        <v>53</v>
      </c>
      <c r="G760">
        <v>7.4999999999999997E-2</v>
      </c>
      <c r="H760">
        <v>0.5</v>
      </c>
      <c r="I760">
        <v>1E-4</v>
      </c>
      <c r="J760" t="b">
        <v>1</v>
      </c>
      <c r="K760">
        <v>1</v>
      </c>
      <c r="L760">
        <v>1500</v>
      </c>
      <c r="M760">
        <v>0.5</v>
      </c>
      <c r="N760">
        <v>0.154</v>
      </c>
      <c r="O760" t="s">
        <v>359</v>
      </c>
      <c r="P760" t="s">
        <v>365</v>
      </c>
      <c r="Q760" s="1">
        <v>-1.76174262981397E-5</v>
      </c>
      <c r="R760" s="1">
        <v>5.6153971226546302E-8</v>
      </c>
      <c r="S760" s="1">
        <v>5.3239155702804101E-5</v>
      </c>
      <c r="T760" s="1">
        <v>-7.9699089028551794E-5</v>
      </c>
      <c r="U760">
        <v>1.25796327754555</v>
      </c>
      <c r="V760" s="1">
        <v>4.0998866879130498E-15</v>
      </c>
      <c r="W760">
        <v>3.6420836364112202E-4</v>
      </c>
      <c r="X760">
        <v>2.0832653508560002</v>
      </c>
      <c r="Y760">
        <v>1.2760102087432499E-2</v>
      </c>
      <c r="Z760">
        <v>3.1884535159794399E-2</v>
      </c>
      <c r="AA760">
        <v>1.3596670528598901E-2</v>
      </c>
      <c r="AB760" s="9">
        <f t="shared" si="107"/>
        <v>-1.4970013700715779</v>
      </c>
      <c r="AC760" s="9">
        <f t="shared" si="108"/>
        <v>-1.1409103519375479</v>
      </c>
      <c r="AD760" s="2">
        <f t="shared" si="109"/>
        <v>-0.23786953389161147</v>
      </c>
      <c r="AE760" s="8">
        <f t="shared" si="110"/>
        <v>0.63369154380523751</v>
      </c>
      <c r="AF760" s="2">
        <f t="shared" si="111"/>
        <v>0.2653424499227795</v>
      </c>
      <c r="AG760" s="8">
        <f t="shared" si="112"/>
        <v>0.36834909388245801</v>
      </c>
      <c r="AH760" s="7">
        <f t="shared" si="113"/>
        <v>0.72035591869122817</v>
      </c>
      <c r="AI760">
        <f t="shared" si="114"/>
        <v>1</v>
      </c>
      <c r="AJ760" s="10">
        <f t="shared" si="115"/>
        <v>0.36834909388245801</v>
      </c>
    </row>
    <row r="761" spans="1:36" hidden="1" x14ac:dyDescent="0.25">
      <c r="A761" t="b">
        <v>0</v>
      </c>
      <c r="B761">
        <v>1000</v>
      </c>
      <c r="C761">
        <v>0.36834909388245801</v>
      </c>
      <c r="D761" t="s">
        <v>52</v>
      </c>
      <c r="E761" t="b">
        <v>1</v>
      </c>
      <c r="F761" t="s">
        <v>53</v>
      </c>
      <c r="G761">
        <v>7.4999999999999997E-2</v>
      </c>
      <c r="H761">
        <v>0.5</v>
      </c>
      <c r="I761">
        <v>1E-4</v>
      </c>
      <c r="J761" t="b">
        <v>1</v>
      </c>
      <c r="K761">
        <v>1</v>
      </c>
      <c r="L761">
        <v>1500</v>
      </c>
      <c r="M761">
        <v>0.5</v>
      </c>
      <c r="N761">
        <v>0.154</v>
      </c>
      <c r="O761" t="s">
        <v>359</v>
      </c>
      <c r="P761" t="s">
        <v>366</v>
      </c>
      <c r="Q761" s="1">
        <v>-3.3031151454106698E-5</v>
      </c>
      <c r="R761" s="1">
        <v>1.04333354673613E-7</v>
      </c>
      <c r="S761" s="1">
        <v>9.9818603555798193E-5</v>
      </c>
      <c r="T761">
        <v>-1.4942120570703301E-4</v>
      </c>
      <c r="U761">
        <v>1.25792170607284</v>
      </c>
      <c r="V761" s="1">
        <v>4.0730159543604302E-15</v>
      </c>
      <c r="W761">
        <v>3.5213340805359902E-4</v>
      </c>
      <c r="X761">
        <v>2.0832238963197698</v>
      </c>
      <c r="Y761">
        <v>1.27537776824961E-2</v>
      </c>
      <c r="Z761">
        <v>3.1874055730470301E-2</v>
      </c>
      <c r="AA761">
        <v>1.34693775848716E-2</v>
      </c>
      <c r="AB761" s="9">
        <f t="shared" si="107"/>
        <v>-1.4969274302009963</v>
      </c>
      <c r="AC761" s="9">
        <f t="shared" si="108"/>
        <v>-1.1409103519375479</v>
      </c>
      <c r="AD761" s="2">
        <f t="shared" si="109"/>
        <v>-0.23783188889500484</v>
      </c>
      <c r="AE761" s="8">
        <f t="shared" si="110"/>
        <v>0.63362576589572794</v>
      </c>
      <c r="AF761" s="2">
        <f t="shared" si="111"/>
        <v>0.26527667201326993</v>
      </c>
      <c r="AG761" s="8">
        <f t="shared" si="112"/>
        <v>0.36834909388245801</v>
      </c>
      <c r="AH761" s="7">
        <f t="shared" si="113"/>
        <v>0.72017734377248399</v>
      </c>
      <c r="AI761">
        <f t="shared" si="114"/>
        <v>1</v>
      </c>
      <c r="AJ761" s="10">
        <f t="shared" si="115"/>
        <v>0.36834909388245801</v>
      </c>
    </row>
    <row r="762" spans="1:36" hidden="1" x14ac:dyDescent="0.25">
      <c r="A762" t="b">
        <v>0</v>
      </c>
      <c r="B762">
        <v>1000</v>
      </c>
      <c r="C762">
        <v>0.36834909388245801</v>
      </c>
      <c r="D762" t="s">
        <v>52</v>
      </c>
      <c r="E762" t="b">
        <v>1</v>
      </c>
      <c r="F762" t="s">
        <v>53</v>
      </c>
      <c r="G762">
        <v>7.4999999999999997E-2</v>
      </c>
      <c r="H762">
        <v>0.5</v>
      </c>
      <c r="I762">
        <v>1E-4</v>
      </c>
      <c r="J762" t="b">
        <v>1</v>
      </c>
      <c r="K762">
        <v>1</v>
      </c>
      <c r="L762">
        <v>1500</v>
      </c>
      <c r="M762">
        <v>0.5</v>
      </c>
      <c r="N762">
        <v>0.154</v>
      </c>
      <c r="O762" t="s">
        <v>360</v>
      </c>
      <c r="P762" t="s">
        <v>363</v>
      </c>
      <c r="Q762" s="1">
        <v>-2.21958035115489E-6</v>
      </c>
      <c r="R762" s="1">
        <v>2.12898391342225E-7</v>
      </c>
      <c r="S762" s="1">
        <v>6.6573703991821704E-6</v>
      </c>
      <c r="T762" s="1">
        <v>-9.9669321010280001E-6</v>
      </c>
      <c r="U762">
        <v>1.25792170320365</v>
      </c>
      <c r="V762">
        <v>0</v>
      </c>
      <c r="W762">
        <v>7.8560706683984596E-3</v>
      </c>
      <c r="X762">
        <v>2</v>
      </c>
      <c r="Y762">
        <v>0.42486960348174502</v>
      </c>
      <c r="Z762">
        <v>2.5000000000000001E-4</v>
      </c>
      <c r="AA762">
        <v>0.38417021375209098</v>
      </c>
      <c r="AB762" s="9">
        <f t="shared" si="107"/>
        <v>-1.4971274697668009</v>
      </c>
      <c r="AC762" s="9">
        <f t="shared" si="108"/>
        <v>-1.1409103519375479</v>
      </c>
      <c r="AD762" s="2">
        <f t="shared" si="109"/>
        <v>-0.23793372643462285</v>
      </c>
      <c r="AE762" s="8">
        <f t="shared" si="110"/>
        <v>0.63380373602172591</v>
      </c>
      <c r="AF762" s="2">
        <f t="shared" si="111"/>
        <v>0.26545464213926789</v>
      </c>
      <c r="AG762" s="8">
        <f t="shared" si="112"/>
        <v>0.36834909388245801</v>
      </c>
      <c r="AH762" s="7">
        <f t="shared" si="113"/>
        <v>0.72066049991146652</v>
      </c>
      <c r="AI762">
        <f t="shared" si="114"/>
        <v>1</v>
      </c>
      <c r="AJ762" s="10">
        <f t="shared" si="115"/>
        <v>0.36834909388245801</v>
      </c>
    </row>
    <row r="763" spans="1:36" hidden="1" x14ac:dyDescent="0.25">
      <c r="A763" t="b">
        <v>0</v>
      </c>
      <c r="B763">
        <v>1000</v>
      </c>
      <c r="C763">
        <v>0.36834909388245801</v>
      </c>
      <c r="D763" t="s">
        <v>52</v>
      </c>
      <c r="E763" t="b">
        <v>1</v>
      </c>
      <c r="F763" t="s">
        <v>53</v>
      </c>
      <c r="G763">
        <v>7.4999999999999997E-2</v>
      </c>
      <c r="H763">
        <v>0.5</v>
      </c>
      <c r="I763">
        <v>1E-4</v>
      </c>
      <c r="J763" t="b">
        <v>1</v>
      </c>
      <c r="K763">
        <v>1</v>
      </c>
      <c r="L763">
        <v>1500</v>
      </c>
      <c r="M763">
        <v>0.5</v>
      </c>
      <c r="N763">
        <v>0.154</v>
      </c>
      <c r="O763" t="s">
        <v>360</v>
      </c>
      <c r="P763" t="s">
        <v>364</v>
      </c>
      <c r="Q763" s="1">
        <v>-1E-10</v>
      </c>
      <c r="R763" s="1">
        <v>3.58578586345997E-12</v>
      </c>
      <c r="S763" s="1">
        <v>1.38421780090777E-17</v>
      </c>
      <c r="T763" s="1">
        <v>-7.2606553736156097E-17</v>
      </c>
      <c r="U763">
        <v>1.2579276457021</v>
      </c>
      <c r="V763">
        <v>0</v>
      </c>
      <c r="W763">
        <v>6.8474546950671206E-2</v>
      </c>
      <c r="X763">
        <v>2</v>
      </c>
      <c r="Y763">
        <v>4.0005663375287E-3</v>
      </c>
      <c r="Z763">
        <v>2.5000000000000001E-4</v>
      </c>
      <c r="AA763">
        <v>4.7933528896730703E-3</v>
      </c>
      <c r="AB763" s="9">
        <f t="shared" si="107"/>
        <v>-5.245312817718478</v>
      </c>
      <c r="AC763" s="9">
        <f t="shared" si="108"/>
        <v>-1.1409103519375479</v>
      </c>
      <c r="AD763" s="2">
        <f t="shared" si="109"/>
        <v>-0.78248954989231645</v>
      </c>
      <c r="AE763" s="8">
        <f t="shared" si="110"/>
        <v>-2.5690544927393621</v>
      </c>
      <c r="AF763" s="2">
        <f t="shared" si="111"/>
        <v>-2.9374035866218202</v>
      </c>
      <c r="AG763" s="8">
        <f t="shared" si="112"/>
        <v>0.36834909388245801</v>
      </c>
      <c r="AH763" s="7">
        <f t="shared" si="113"/>
        <v>-7.9745101465056409</v>
      </c>
      <c r="AI763">
        <f t="shared" si="114"/>
        <v>1</v>
      </c>
      <c r="AJ763" s="10">
        <f t="shared" si="115"/>
        <v>0.36834909388245801</v>
      </c>
    </row>
    <row r="764" spans="1:36" hidden="1" x14ac:dyDescent="0.25">
      <c r="A764" t="b">
        <v>0</v>
      </c>
      <c r="B764">
        <v>1000</v>
      </c>
      <c r="C764">
        <v>0.36834909388245801</v>
      </c>
      <c r="D764" t="s">
        <v>52</v>
      </c>
      <c r="E764" t="b">
        <v>1</v>
      </c>
      <c r="F764" t="s">
        <v>53</v>
      </c>
      <c r="G764">
        <v>7.4999999999999997E-2</v>
      </c>
      <c r="H764">
        <v>0.5</v>
      </c>
      <c r="I764">
        <v>1E-4</v>
      </c>
      <c r="J764" t="b">
        <v>1</v>
      </c>
      <c r="K764">
        <v>1</v>
      </c>
      <c r="L764">
        <v>1500</v>
      </c>
      <c r="M764">
        <v>0.5</v>
      </c>
      <c r="N764">
        <v>0.154</v>
      </c>
      <c r="O764" t="s">
        <v>360</v>
      </c>
      <c r="P764" t="s">
        <v>365</v>
      </c>
      <c r="Q764" s="1">
        <v>-2.21958035115489E-6</v>
      </c>
      <c r="R764" s="1">
        <v>2.1289839135274099E-7</v>
      </c>
      <c r="S764" s="1">
        <v>6.6573703991820001E-6</v>
      </c>
      <c r="T764" s="1">
        <v>-9.9669321010758998E-6</v>
      </c>
      <c r="U764">
        <v>1.2579217032485801</v>
      </c>
      <c r="V764">
        <v>0</v>
      </c>
      <c r="W764">
        <v>7.8560706687865398E-3</v>
      </c>
      <c r="X764">
        <v>2</v>
      </c>
      <c r="Y764">
        <v>0.42486960350273301</v>
      </c>
      <c r="Z764">
        <v>2.5000000000000001E-4</v>
      </c>
      <c r="AA764">
        <v>0.38417021377106803</v>
      </c>
      <c r="AB764" s="9">
        <f t="shared" si="107"/>
        <v>-1.4971274697740342</v>
      </c>
      <c r="AC764" s="9">
        <f t="shared" si="108"/>
        <v>-1.1409103519375479</v>
      </c>
      <c r="AD764" s="2">
        <f t="shared" si="109"/>
        <v>-0.23793372643830468</v>
      </c>
      <c r="AE764" s="8">
        <f t="shared" si="110"/>
        <v>0.63380373602816187</v>
      </c>
      <c r="AF764" s="2">
        <f t="shared" si="111"/>
        <v>0.26545464214570386</v>
      </c>
      <c r="AG764" s="8">
        <f t="shared" si="112"/>
        <v>0.36834909388245801</v>
      </c>
      <c r="AH764" s="7">
        <f t="shared" si="113"/>
        <v>0.72066049992893899</v>
      </c>
      <c r="AI764">
        <f t="shared" si="114"/>
        <v>1</v>
      </c>
      <c r="AJ764" s="10">
        <f t="shared" si="115"/>
        <v>0.36834909388245801</v>
      </c>
    </row>
    <row r="765" spans="1:36" hidden="1" x14ac:dyDescent="0.25">
      <c r="A765" t="b">
        <v>0</v>
      </c>
      <c r="B765">
        <v>1000</v>
      </c>
      <c r="C765">
        <v>0.36834909388245801</v>
      </c>
      <c r="D765" t="s">
        <v>52</v>
      </c>
      <c r="E765" t="b">
        <v>1</v>
      </c>
      <c r="F765" t="s">
        <v>53</v>
      </c>
      <c r="G765">
        <v>7.4999999999999997E-2</v>
      </c>
      <c r="H765">
        <v>0.5</v>
      </c>
      <c r="I765">
        <v>1E-4</v>
      </c>
      <c r="J765" t="b">
        <v>1</v>
      </c>
      <c r="K765">
        <v>1</v>
      </c>
      <c r="L765">
        <v>1500</v>
      </c>
      <c r="M765">
        <v>0.5</v>
      </c>
      <c r="N765">
        <v>0.154</v>
      </c>
      <c r="O765" t="s">
        <v>360</v>
      </c>
      <c r="P765" t="s">
        <v>366</v>
      </c>
      <c r="Q765" s="1">
        <v>-1.76167165516345E-5</v>
      </c>
      <c r="R765" s="1">
        <v>5.5781969752459597E-8</v>
      </c>
      <c r="S765" s="1">
        <v>5.3236818252175302E-5</v>
      </c>
      <c r="T765" s="1">
        <v>-7.9689048779546499E-5</v>
      </c>
      <c r="U765">
        <v>1.2578801317758701</v>
      </c>
      <c r="V765" s="1">
        <v>4.0188527861294E-15</v>
      </c>
      <c r="W765">
        <v>3.5402110008053098E-4</v>
      </c>
      <c r="X765">
        <v>2.0831969452616201</v>
      </c>
      <c r="Y765">
        <v>1.2757334059583901E-2</v>
      </c>
      <c r="Z765">
        <v>3.1866695738198399E-2</v>
      </c>
      <c r="AA765">
        <v>1.35036162753677E-2</v>
      </c>
      <c r="AB765" s="9">
        <f t="shared" si="107"/>
        <v>-1.4968785024317326</v>
      </c>
      <c r="AC765" s="9">
        <f t="shared" si="108"/>
        <v>-1.1409103519375479</v>
      </c>
      <c r="AD765" s="2">
        <f t="shared" si="109"/>
        <v>-0.2378069762615348</v>
      </c>
      <c r="AE765" s="8">
        <f t="shared" si="110"/>
        <v>0.63358224200219571</v>
      </c>
      <c r="AF765" s="2">
        <f t="shared" si="111"/>
        <v>0.26523314811973769</v>
      </c>
      <c r="AG765" s="8">
        <f t="shared" si="112"/>
        <v>0.36834909388245801</v>
      </c>
      <c r="AH765" s="7">
        <f t="shared" si="113"/>
        <v>0.72005918441155414</v>
      </c>
      <c r="AI765">
        <f t="shared" si="114"/>
        <v>1</v>
      </c>
      <c r="AJ765" s="10">
        <f t="shared" si="115"/>
        <v>0.36834909388245801</v>
      </c>
    </row>
    <row r="766" spans="1:36" hidden="1" x14ac:dyDescent="0.25">
      <c r="A766" t="b">
        <v>0</v>
      </c>
      <c r="B766">
        <v>1000</v>
      </c>
      <c r="C766">
        <v>0.36834909388245801</v>
      </c>
      <c r="D766" t="s">
        <v>52</v>
      </c>
      <c r="E766" t="b">
        <v>1</v>
      </c>
      <c r="F766" t="s">
        <v>53</v>
      </c>
      <c r="G766">
        <v>7.4999999999999997E-2</v>
      </c>
      <c r="H766">
        <v>0.5</v>
      </c>
      <c r="I766">
        <v>1E-4</v>
      </c>
      <c r="J766" t="b">
        <v>1</v>
      </c>
      <c r="K766">
        <v>1</v>
      </c>
      <c r="L766">
        <v>1500</v>
      </c>
      <c r="M766">
        <v>0.5</v>
      </c>
      <c r="N766">
        <v>0.154</v>
      </c>
      <c r="O766" t="s">
        <v>361</v>
      </c>
      <c r="P766" t="s">
        <v>362</v>
      </c>
      <c r="Q766" s="1">
        <v>-2.2196779267932001E-6</v>
      </c>
      <c r="R766" s="1">
        <v>2.12668808623264E-7</v>
      </c>
      <c r="S766" s="1">
        <v>6.6576627266456902E-6</v>
      </c>
      <c r="T766" s="1">
        <v>-9.9681879134787195E-6</v>
      </c>
      <c r="U766">
        <v>1.2580048513452899</v>
      </c>
      <c r="V766">
        <v>0</v>
      </c>
      <c r="W766">
        <v>7.8428074775742703E-3</v>
      </c>
      <c r="X766">
        <v>2</v>
      </c>
      <c r="Y766">
        <v>0.42496638284988097</v>
      </c>
      <c r="Z766">
        <v>2.5000000000000001E-4</v>
      </c>
      <c r="AA766">
        <v>0.38374197187204101</v>
      </c>
      <c r="AB766" s="9">
        <f t="shared" si="107"/>
        <v>-1.4972503598873297</v>
      </c>
      <c r="AC766" s="9">
        <f t="shared" si="108"/>
        <v>-1.1409103519375479</v>
      </c>
      <c r="AD766" s="2">
        <f t="shared" si="109"/>
        <v>-0.23799627470224616</v>
      </c>
      <c r="AE766" s="8">
        <f t="shared" si="110"/>
        <v>0.63391308747312736</v>
      </c>
      <c r="AF766" s="2">
        <f t="shared" si="111"/>
        <v>0.26556399359066934</v>
      </c>
      <c r="AG766" s="8">
        <f t="shared" si="112"/>
        <v>0.36834909388245801</v>
      </c>
      <c r="AH766" s="7">
        <f t="shared" si="113"/>
        <v>0.7209573689772999</v>
      </c>
      <c r="AI766">
        <f t="shared" si="114"/>
        <v>1</v>
      </c>
      <c r="AJ766" s="10">
        <f t="shared" si="115"/>
        <v>0.36834909388245801</v>
      </c>
    </row>
    <row r="767" spans="1:36" hidden="1" x14ac:dyDescent="0.25">
      <c r="A767" t="b">
        <v>0</v>
      </c>
      <c r="B767">
        <v>1000</v>
      </c>
      <c r="C767">
        <v>0.36834909388245801</v>
      </c>
      <c r="D767" t="s">
        <v>52</v>
      </c>
      <c r="E767" t="b">
        <v>1</v>
      </c>
      <c r="F767" t="s">
        <v>53</v>
      </c>
      <c r="G767">
        <v>7.4999999999999997E-2</v>
      </c>
      <c r="H767">
        <v>0.5</v>
      </c>
      <c r="I767">
        <v>1E-4</v>
      </c>
      <c r="J767" t="b">
        <v>1</v>
      </c>
      <c r="K767">
        <v>1</v>
      </c>
      <c r="L767">
        <v>1500</v>
      </c>
      <c r="M767">
        <v>0.5</v>
      </c>
      <c r="N767">
        <v>0.154</v>
      </c>
      <c r="O767" t="s">
        <v>361</v>
      </c>
      <c r="P767" t="s">
        <v>363</v>
      </c>
      <c r="Q767" s="1">
        <v>-1.7617426857230299E-5</v>
      </c>
      <c r="R767" s="1">
        <v>5.6028957560465602E-8</v>
      </c>
      <c r="S767" s="1">
        <v>5.3239155702807198E-5</v>
      </c>
      <c r="T767" s="1">
        <v>-7.9699089028707797E-5</v>
      </c>
      <c r="U767">
        <v>1.2579632774734499</v>
      </c>
      <c r="V767" s="1">
        <v>4.0709428314201698E-15</v>
      </c>
      <c r="W767">
        <v>3.5411658047125198E-4</v>
      </c>
      <c r="X767">
        <v>2.08326550484577</v>
      </c>
      <c r="Y767">
        <v>1.2780458635874001E-2</v>
      </c>
      <c r="Z767">
        <v>3.1884398957367603E-2</v>
      </c>
      <c r="AA767">
        <v>1.3564079330452301E-2</v>
      </c>
      <c r="AB767" s="9">
        <f t="shared" si="107"/>
        <v>-1.4970013700744209</v>
      </c>
      <c r="AC767" s="9">
        <f t="shared" si="108"/>
        <v>-1.1409103519375479</v>
      </c>
      <c r="AD767" s="2">
        <f t="shared" si="109"/>
        <v>-0.23786953389305887</v>
      </c>
      <c r="AE767" s="8">
        <f t="shared" si="110"/>
        <v>0.63369154380776682</v>
      </c>
      <c r="AF767" s="2">
        <f t="shared" si="111"/>
        <v>0.26534244992530881</v>
      </c>
      <c r="AG767" s="8">
        <f t="shared" si="112"/>
        <v>0.36834909388245801</v>
      </c>
      <c r="AH767" s="7">
        <f t="shared" si="113"/>
        <v>0.72035591869809479</v>
      </c>
      <c r="AI767">
        <f t="shared" si="114"/>
        <v>1</v>
      </c>
      <c r="AJ767" s="10">
        <f t="shared" si="115"/>
        <v>0.36834909388245801</v>
      </c>
    </row>
    <row r="768" spans="1:36" hidden="1" x14ac:dyDescent="0.25">
      <c r="A768" t="b">
        <v>0</v>
      </c>
      <c r="B768">
        <v>1000</v>
      </c>
      <c r="C768">
        <v>0.36834909388245801</v>
      </c>
      <c r="D768" t="s">
        <v>52</v>
      </c>
      <c r="E768" t="b">
        <v>1</v>
      </c>
      <c r="F768" t="s">
        <v>53</v>
      </c>
      <c r="G768">
        <v>7.4999999999999997E-2</v>
      </c>
      <c r="H768">
        <v>0.5</v>
      </c>
      <c r="I768">
        <v>1E-4</v>
      </c>
      <c r="J768" t="b">
        <v>1</v>
      </c>
      <c r="K768">
        <v>1</v>
      </c>
      <c r="L768">
        <v>1500</v>
      </c>
      <c r="M768">
        <v>0.5</v>
      </c>
      <c r="N768">
        <v>0.154</v>
      </c>
      <c r="O768" t="s">
        <v>361</v>
      </c>
      <c r="P768" t="s">
        <v>364</v>
      </c>
      <c r="Q768" s="1">
        <v>-1.5414437595310399E-5</v>
      </c>
      <c r="R768" s="1">
        <v>4.75580878666676E-8</v>
      </c>
      <c r="S768" s="1">
        <v>4.6581785303626001E-5</v>
      </c>
      <c r="T768" s="1">
        <v>-6.9732156927666095E-5</v>
      </c>
      <c r="U768">
        <v>1.2579692199718999</v>
      </c>
      <c r="V768" s="1">
        <v>4.1444658068630702E-15</v>
      </c>
      <c r="W768">
        <v>3.3702061984316897E-4</v>
      </c>
      <c r="X768">
        <v>2.0832555433038098</v>
      </c>
      <c r="Y768">
        <v>1.26875686690857E-2</v>
      </c>
      <c r="Z768">
        <v>3.1881718426927302E-2</v>
      </c>
      <c r="AA768">
        <v>1.31503543608471E-2</v>
      </c>
      <c r="AB768" s="9">
        <f t="shared" si="107"/>
        <v>-1.4969833481723174</v>
      </c>
      <c r="AC768" s="9">
        <f t="shared" si="108"/>
        <v>-1.1409103519375479</v>
      </c>
      <c r="AD768" s="2">
        <f t="shared" si="109"/>
        <v>-0.23786035874714484</v>
      </c>
      <c r="AE768" s="8">
        <f t="shared" si="110"/>
        <v>0.63367551079156181</v>
      </c>
      <c r="AF768" s="2">
        <f t="shared" si="111"/>
        <v>0.2653264169091038</v>
      </c>
      <c r="AG768" s="8">
        <f t="shared" si="112"/>
        <v>0.36834909388245801</v>
      </c>
      <c r="AH768" s="7">
        <f t="shared" si="113"/>
        <v>0.7203123920097676</v>
      </c>
      <c r="AI768">
        <f t="shared" si="114"/>
        <v>1</v>
      </c>
      <c r="AJ768" s="10">
        <f t="shared" si="115"/>
        <v>0.36834909388245801</v>
      </c>
    </row>
    <row r="769" spans="1:36" hidden="1" x14ac:dyDescent="0.25">
      <c r="A769" t="b">
        <v>0</v>
      </c>
      <c r="B769">
        <v>1000</v>
      </c>
      <c r="C769">
        <v>0.36834909388245801</v>
      </c>
      <c r="D769" t="s">
        <v>52</v>
      </c>
      <c r="E769" t="b">
        <v>1</v>
      </c>
      <c r="F769" t="s">
        <v>53</v>
      </c>
      <c r="G769">
        <v>7.4999999999999997E-2</v>
      </c>
      <c r="H769">
        <v>0.5</v>
      </c>
      <c r="I769">
        <v>1E-4</v>
      </c>
      <c r="J769" t="b">
        <v>1</v>
      </c>
      <c r="K769">
        <v>1</v>
      </c>
      <c r="L769">
        <v>1500</v>
      </c>
      <c r="M769">
        <v>0.5</v>
      </c>
      <c r="N769">
        <v>0.154</v>
      </c>
      <c r="O769" t="s">
        <v>361</v>
      </c>
      <c r="P769" t="s">
        <v>365</v>
      </c>
      <c r="Q769" s="1">
        <v>-1.76174268753739E-5</v>
      </c>
      <c r="R769" s="1">
        <v>5.6277614755389103E-8</v>
      </c>
      <c r="S769" s="1">
        <v>5.3239155702804399E-5</v>
      </c>
      <c r="T769" s="1">
        <v>-7.9699089028641105E-5</v>
      </c>
      <c r="U769">
        <v>1.25796327751838</v>
      </c>
      <c r="V769" s="1">
        <v>4.0911205015180997E-15</v>
      </c>
      <c r="W769">
        <v>3.5461330042183502E-4</v>
      </c>
      <c r="X769">
        <v>2.08326551026494</v>
      </c>
      <c r="Y769">
        <v>1.2804180399151901E-2</v>
      </c>
      <c r="Z769">
        <v>3.1884394230256498E-2</v>
      </c>
      <c r="AA769">
        <v>1.3624344418556301E-2</v>
      </c>
      <c r="AB769" s="9">
        <f t="shared" si="107"/>
        <v>-1.497001370073247</v>
      </c>
      <c r="AC769" s="9">
        <f t="shared" si="108"/>
        <v>-1.1409103519375479</v>
      </c>
      <c r="AD769" s="2">
        <f t="shared" si="109"/>
        <v>-0.23786953389246124</v>
      </c>
      <c r="AE769" s="8">
        <f t="shared" si="110"/>
        <v>0.63369154380672255</v>
      </c>
      <c r="AF769" s="2">
        <f t="shared" si="111"/>
        <v>0.26534244992426453</v>
      </c>
      <c r="AG769" s="8">
        <f t="shared" si="112"/>
        <v>0.36834909388245801</v>
      </c>
      <c r="AH769" s="7">
        <f t="shared" si="113"/>
        <v>0.72035591869525972</v>
      </c>
      <c r="AI769">
        <f t="shared" si="114"/>
        <v>1</v>
      </c>
      <c r="AJ769" s="10">
        <f t="shared" si="115"/>
        <v>0.36834909388245801</v>
      </c>
    </row>
    <row r="770" spans="1:36" hidden="1" x14ac:dyDescent="0.25">
      <c r="A770" t="b">
        <v>0</v>
      </c>
      <c r="B770">
        <v>1000</v>
      </c>
      <c r="C770">
        <v>0.36834909388245801</v>
      </c>
      <c r="D770" t="s">
        <v>52</v>
      </c>
      <c r="E770" t="b">
        <v>1</v>
      </c>
      <c r="F770" t="s">
        <v>53</v>
      </c>
      <c r="G770">
        <v>7.4999999999999997E-2</v>
      </c>
      <c r="H770">
        <v>0.5</v>
      </c>
      <c r="I770">
        <v>1E-4</v>
      </c>
      <c r="J770" t="b">
        <v>1</v>
      </c>
      <c r="K770">
        <v>1</v>
      </c>
      <c r="L770">
        <v>1500</v>
      </c>
      <c r="M770">
        <v>0.5</v>
      </c>
      <c r="N770">
        <v>0.154</v>
      </c>
      <c r="O770" t="s">
        <v>361</v>
      </c>
      <c r="P770" t="s">
        <v>366</v>
      </c>
      <c r="Q770" s="1">
        <v>-3.30311541466758E-5</v>
      </c>
      <c r="R770" s="1">
        <v>1.02860485358056E-7</v>
      </c>
      <c r="S770" s="1">
        <v>9.9818603555803696E-5</v>
      </c>
      <c r="T770">
        <v>-1.4942120570737001E-4</v>
      </c>
      <c r="U770">
        <v>1.25792170604567</v>
      </c>
      <c r="V770" s="1">
        <v>4.1139435111302098E-15</v>
      </c>
      <c r="W770">
        <v>3.41502733387523E-4</v>
      </c>
      <c r="X770">
        <v>2.0832242914584098</v>
      </c>
      <c r="Y770">
        <v>1.2716972592828E-2</v>
      </c>
      <c r="Z770">
        <v>3.18737059702816E-2</v>
      </c>
      <c r="AA770">
        <v>1.32750631737312E-2</v>
      </c>
      <c r="AB770" s="9">
        <f t="shared" si="107"/>
        <v>-1.4969274302042899</v>
      </c>
      <c r="AC770" s="9">
        <f t="shared" si="108"/>
        <v>-1.1409103519375479</v>
      </c>
      <c r="AD770" s="2">
        <f t="shared" si="109"/>
        <v>-0.23783188889668172</v>
      </c>
      <c r="AE770" s="8">
        <f t="shared" si="110"/>
        <v>0.63362576589865793</v>
      </c>
      <c r="AF770" s="2">
        <f t="shared" si="111"/>
        <v>0.26527667201619992</v>
      </c>
      <c r="AG770" s="8">
        <f t="shared" si="112"/>
        <v>0.36834909388245801</v>
      </c>
      <c r="AH770" s="7">
        <f t="shared" si="113"/>
        <v>0.72017734378043829</v>
      </c>
      <c r="AI770">
        <f t="shared" si="114"/>
        <v>1</v>
      </c>
      <c r="AJ770" s="10">
        <f t="shared" si="115"/>
        <v>0.36834909388245801</v>
      </c>
    </row>
    <row r="771" spans="1:36" hidden="1" x14ac:dyDescent="0.25">
      <c r="A771" t="b">
        <v>0</v>
      </c>
      <c r="B771">
        <v>1000</v>
      </c>
      <c r="C771">
        <v>0.36834909388245801</v>
      </c>
      <c r="D771" t="s">
        <v>52</v>
      </c>
      <c r="E771" t="b">
        <v>1</v>
      </c>
      <c r="F771" t="s">
        <v>53</v>
      </c>
      <c r="G771">
        <v>7.4999999999999997E-2</v>
      </c>
      <c r="H771">
        <v>0.5</v>
      </c>
      <c r="I771">
        <v>1E-4</v>
      </c>
      <c r="J771" t="b">
        <v>1</v>
      </c>
      <c r="K771">
        <v>1</v>
      </c>
      <c r="L771">
        <v>1500</v>
      </c>
      <c r="M771">
        <v>0.5</v>
      </c>
      <c r="N771">
        <v>0.154</v>
      </c>
      <c r="O771" t="s">
        <v>362</v>
      </c>
      <c r="P771" t="s">
        <v>363</v>
      </c>
      <c r="Q771" s="1">
        <v>-1.5414347597416499E-5</v>
      </c>
      <c r="R771" s="1">
        <v>4.8058330855972101E-8</v>
      </c>
      <c r="S771" s="1">
        <v>4.6581492976157502E-5</v>
      </c>
      <c r="T771" s="1">
        <v>-6.9730901115169501E-5</v>
      </c>
      <c r="U771">
        <v>1.25795733461241</v>
      </c>
      <c r="V771" s="1">
        <v>4.0865907973724296E-15</v>
      </c>
      <c r="W771">
        <v>3.4432758197109898E-4</v>
      </c>
      <c r="X771">
        <v>2.0832453758819298</v>
      </c>
      <c r="Y771">
        <v>1.27138175250997E-2</v>
      </c>
      <c r="Z771">
        <v>3.1879512005570203E-2</v>
      </c>
      <c r="AA771">
        <v>1.3291777073270001E-2</v>
      </c>
      <c r="AB771" s="9">
        <f t="shared" si="107"/>
        <v>-1.4969657831890641</v>
      </c>
      <c r="AC771" s="9">
        <f t="shared" si="108"/>
        <v>-1.1409103519375479</v>
      </c>
      <c r="AD771" s="2">
        <f t="shared" si="109"/>
        <v>-0.2378514160109878</v>
      </c>
      <c r="AE771" s="8">
        <f t="shared" si="110"/>
        <v>0.63365988457175315</v>
      </c>
      <c r="AF771" s="2">
        <f t="shared" si="111"/>
        <v>0.26531079068929514</v>
      </c>
      <c r="AG771" s="8">
        <f t="shared" si="112"/>
        <v>0.36834909388245801</v>
      </c>
      <c r="AH771" s="7">
        <f t="shared" si="113"/>
        <v>0.72026996969879098</v>
      </c>
      <c r="AI771">
        <f t="shared" si="114"/>
        <v>1</v>
      </c>
      <c r="AJ771" s="10">
        <f t="shared" si="115"/>
        <v>0.36834909388245801</v>
      </c>
    </row>
    <row r="772" spans="1:36" hidden="1" x14ac:dyDescent="0.25">
      <c r="A772" t="b">
        <v>0</v>
      </c>
      <c r="B772">
        <v>1000</v>
      </c>
      <c r="C772">
        <v>0.36834909388245801</v>
      </c>
      <c r="D772" t="s">
        <v>52</v>
      </c>
      <c r="E772" t="b">
        <v>1</v>
      </c>
      <c r="F772" t="s">
        <v>53</v>
      </c>
      <c r="G772">
        <v>7.4999999999999997E-2</v>
      </c>
      <c r="H772">
        <v>0.5</v>
      </c>
      <c r="I772">
        <v>1E-4</v>
      </c>
      <c r="J772" t="b">
        <v>1</v>
      </c>
      <c r="K772">
        <v>1</v>
      </c>
      <c r="L772">
        <v>1500</v>
      </c>
      <c r="M772">
        <v>0.5</v>
      </c>
      <c r="N772">
        <v>0.154</v>
      </c>
      <c r="O772" t="s">
        <v>362</v>
      </c>
      <c r="P772" t="s">
        <v>364</v>
      </c>
      <c r="Q772" s="1">
        <v>-1.32113586656425E-5</v>
      </c>
      <c r="R772" s="1">
        <v>4.0071821901443401E-8</v>
      </c>
      <c r="S772" s="1">
        <v>3.9924122576980602E-5</v>
      </c>
      <c r="T772" s="1">
        <v>-5.97639690142635E-5</v>
      </c>
      <c r="U772">
        <v>1.25796327711086</v>
      </c>
      <c r="V772" s="1">
        <v>4.1006198035476897E-15</v>
      </c>
      <c r="W772">
        <v>3.2261033476281098E-4</v>
      </c>
      <c r="X772">
        <v>2.0832305168841398</v>
      </c>
      <c r="Y772">
        <v>1.26534479960419E-2</v>
      </c>
      <c r="Z772">
        <v>3.1875463094860897E-2</v>
      </c>
      <c r="AA772">
        <v>1.29217058411352E-2</v>
      </c>
      <c r="AB772" s="9">
        <f t="shared" si="107"/>
        <v>-1.4969388218621023</v>
      </c>
      <c r="AC772" s="9">
        <f t="shared" si="108"/>
        <v>-1.1409103519375479</v>
      </c>
      <c r="AD772" s="2">
        <f t="shared" si="109"/>
        <v>-0.23783768897226965</v>
      </c>
      <c r="AE772" s="8">
        <f t="shared" si="110"/>
        <v>0.63363589972643963</v>
      </c>
      <c r="AF772" s="2">
        <f t="shared" si="111"/>
        <v>0.26528680584398162</v>
      </c>
      <c r="AG772" s="8">
        <f t="shared" si="112"/>
        <v>0.36834909388245801</v>
      </c>
      <c r="AH772" s="7">
        <f t="shared" si="113"/>
        <v>0.72020485525786559</v>
      </c>
      <c r="AI772">
        <f t="shared" si="114"/>
        <v>1</v>
      </c>
      <c r="AJ772" s="10">
        <f t="shared" si="115"/>
        <v>0.36834909388245801</v>
      </c>
    </row>
    <row r="773" spans="1:36" hidden="1" x14ac:dyDescent="0.25">
      <c r="A773" t="b">
        <v>0</v>
      </c>
      <c r="B773">
        <v>1000</v>
      </c>
      <c r="C773">
        <v>0.36834909388245801</v>
      </c>
      <c r="D773" t="s">
        <v>52</v>
      </c>
      <c r="E773" t="b">
        <v>1</v>
      </c>
      <c r="F773" t="s">
        <v>53</v>
      </c>
      <c r="G773">
        <v>7.4999999999999997E-2</v>
      </c>
      <c r="H773">
        <v>0.5</v>
      </c>
      <c r="I773">
        <v>1E-4</v>
      </c>
      <c r="J773" t="b">
        <v>1</v>
      </c>
      <c r="K773">
        <v>1</v>
      </c>
      <c r="L773">
        <v>1500</v>
      </c>
      <c r="M773">
        <v>0.5</v>
      </c>
      <c r="N773">
        <v>0.154</v>
      </c>
      <c r="O773" t="s">
        <v>362</v>
      </c>
      <c r="P773" t="s">
        <v>365</v>
      </c>
      <c r="Q773" s="1">
        <v>-1.5414347863375798E-5</v>
      </c>
      <c r="R773" s="1">
        <v>4.7401951616901299E-8</v>
      </c>
      <c r="S773" s="1">
        <v>4.6581492976155801E-5</v>
      </c>
      <c r="T773" s="1">
        <v>-6.9730901115101494E-5</v>
      </c>
      <c r="U773">
        <v>1.2579573346573401</v>
      </c>
      <c r="V773" s="1">
        <v>4.0111747796614398E-15</v>
      </c>
      <c r="W773">
        <v>3.4028012839982499E-4</v>
      </c>
      <c r="X773">
        <v>2.0832454591787402</v>
      </c>
      <c r="Y773">
        <v>1.26653371621411E-2</v>
      </c>
      <c r="Z773">
        <v>3.1879438208009703E-2</v>
      </c>
      <c r="AA773">
        <v>1.31074740676713E-2</v>
      </c>
      <c r="AB773" s="9">
        <f t="shared" si="107"/>
        <v>-1.4969657831876588</v>
      </c>
      <c r="AC773" s="9">
        <f t="shared" si="108"/>
        <v>-1.1409103519375479</v>
      </c>
      <c r="AD773" s="2">
        <f t="shared" si="109"/>
        <v>-0.23785141601027238</v>
      </c>
      <c r="AE773" s="8">
        <f t="shared" si="110"/>
        <v>0.63365988457050293</v>
      </c>
      <c r="AF773" s="2">
        <f t="shared" si="111"/>
        <v>0.26531079068804492</v>
      </c>
      <c r="AG773" s="8">
        <f t="shared" si="112"/>
        <v>0.36834909388245801</v>
      </c>
      <c r="AH773" s="7">
        <f t="shared" si="113"/>
        <v>0.72026996969539681</v>
      </c>
      <c r="AI773">
        <f t="shared" si="114"/>
        <v>1</v>
      </c>
      <c r="AJ773" s="10">
        <f t="shared" si="115"/>
        <v>0.36834909388245801</v>
      </c>
    </row>
    <row r="774" spans="1:36" hidden="1" x14ac:dyDescent="0.25">
      <c r="A774" t="b">
        <v>0</v>
      </c>
      <c r="B774">
        <v>1000</v>
      </c>
      <c r="C774">
        <v>0.36834909388245801</v>
      </c>
      <c r="D774" t="s">
        <v>52</v>
      </c>
      <c r="E774" t="b">
        <v>1</v>
      </c>
      <c r="F774" t="s">
        <v>53</v>
      </c>
      <c r="G774">
        <v>7.4999999999999997E-2</v>
      </c>
      <c r="H774">
        <v>0.5</v>
      </c>
      <c r="I774">
        <v>1E-4</v>
      </c>
      <c r="J774" t="b">
        <v>1</v>
      </c>
      <c r="K774">
        <v>1</v>
      </c>
      <c r="L774">
        <v>1500</v>
      </c>
      <c r="M774">
        <v>0.5</v>
      </c>
      <c r="N774">
        <v>0.154</v>
      </c>
      <c r="O774" t="s">
        <v>362</v>
      </c>
      <c r="P774" t="s">
        <v>366</v>
      </c>
      <c r="Q774" s="1">
        <v>-3.0828073725807201E-5</v>
      </c>
      <c r="R774" s="1">
        <v>9.5998201827035398E-8</v>
      </c>
      <c r="S774" s="1">
        <v>9.3160940829150395E-5</v>
      </c>
      <c r="T774">
        <v>-1.39453017793731E-4</v>
      </c>
      <c r="U774">
        <v>1.25791576318464</v>
      </c>
      <c r="V774" s="1">
        <v>4.0537721912471102E-15</v>
      </c>
      <c r="W774">
        <v>3.3013522935266198E-4</v>
      </c>
      <c r="X774">
        <v>2.0832110989436701</v>
      </c>
      <c r="Y774">
        <v>1.27520274858536E-2</v>
      </c>
      <c r="Z774">
        <v>3.1870659803092297E-2</v>
      </c>
      <c r="AA774">
        <v>1.32710683364483E-2</v>
      </c>
      <c r="AB774" s="9">
        <f t="shared" si="107"/>
        <v>-1.4969043523237546</v>
      </c>
      <c r="AC774" s="9">
        <f t="shared" si="108"/>
        <v>-1.1409103519375479</v>
      </c>
      <c r="AD774" s="2">
        <f t="shared" si="109"/>
        <v>-0.23782013849687267</v>
      </c>
      <c r="AE774" s="8">
        <f t="shared" si="110"/>
        <v>0.63360523658842871</v>
      </c>
      <c r="AF774" s="2">
        <f t="shared" si="111"/>
        <v>0.2652561427059707</v>
      </c>
      <c r="AG774" s="8">
        <f t="shared" si="112"/>
        <v>0.36834909388245801</v>
      </c>
      <c r="AH774" s="7">
        <f t="shared" si="113"/>
        <v>0.72012161048132028</v>
      </c>
      <c r="AI774">
        <f t="shared" si="114"/>
        <v>1</v>
      </c>
      <c r="AJ774" s="10">
        <f t="shared" si="115"/>
        <v>0.36834909388245801</v>
      </c>
    </row>
    <row r="775" spans="1:36" hidden="1" x14ac:dyDescent="0.25">
      <c r="A775" t="b">
        <v>0</v>
      </c>
      <c r="B775">
        <v>1000</v>
      </c>
      <c r="C775">
        <v>0.36834909388245801</v>
      </c>
      <c r="D775" t="s">
        <v>52</v>
      </c>
      <c r="E775" t="b">
        <v>1</v>
      </c>
      <c r="F775" t="s">
        <v>53</v>
      </c>
      <c r="G775">
        <v>7.4999999999999997E-2</v>
      </c>
      <c r="H775">
        <v>0.5</v>
      </c>
      <c r="I775">
        <v>1E-4</v>
      </c>
      <c r="J775" t="b">
        <v>1</v>
      </c>
      <c r="K775">
        <v>1</v>
      </c>
      <c r="L775">
        <v>1500</v>
      </c>
      <c r="M775">
        <v>0.5</v>
      </c>
      <c r="N775">
        <v>0.154</v>
      </c>
      <c r="O775" t="s">
        <v>363</v>
      </c>
      <c r="P775" t="s">
        <v>365</v>
      </c>
      <c r="Q775" s="1">
        <v>-1E-10</v>
      </c>
      <c r="R775" s="1">
        <v>3.5857859244064699E-12</v>
      </c>
      <c r="S775" s="1">
        <v>6.2463460889082797E-18</v>
      </c>
      <c r="T775" s="1">
        <v>6.5009938088654202E-17</v>
      </c>
      <c r="U775">
        <v>1.2579157607855</v>
      </c>
      <c r="V775">
        <v>0</v>
      </c>
      <c r="W775">
        <v>6.8474548114511993E-2</v>
      </c>
      <c r="X775">
        <v>2</v>
      </c>
      <c r="Y775">
        <v>4.0005664055250897E-3</v>
      </c>
      <c r="Z775">
        <v>2.5000000000000001E-4</v>
      </c>
      <c r="AA775">
        <v>4.7933529711441996E-3</v>
      </c>
      <c r="AB775" s="9">
        <f t="shared" si="107"/>
        <v>10.407674689062333</v>
      </c>
      <c r="AC775" s="9">
        <f t="shared" si="108"/>
        <v>-1.1409103519375479</v>
      </c>
      <c r="AD775" s="2">
        <f t="shared" si="109"/>
        <v>-1.1096220227882947</v>
      </c>
      <c r="AE775" s="8">
        <f t="shared" si="110"/>
        <v>-0.78167540582827144</v>
      </c>
      <c r="AF775" s="2">
        <f t="shared" si="111"/>
        <v>-1.1500244997107294</v>
      </c>
      <c r="AG775" s="8">
        <f t="shared" si="112"/>
        <v>0.36834909388245801</v>
      </c>
      <c r="AH775" s="7">
        <f t="shared" si="113"/>
        <v>-3.1221048695662268</v>
      </c>
      <c r="AI775">
        <f t="shared" si="114"/>
        <v>1</v>
      </c>
      <c r="AJ775" s="10">
        <f t="shared" si="115"/>
        <v>0.36834909388245801</v>
      </c>
    </row>
    <row r="776" spans="1:36" hidden="1" x14ac:dyDescent="0.25">
      <c r="A776" t="b">
        <v>0</v>
      </c>
      <c r="B776">
        <v>1000</v>
      </c>
      <c r="C776">
        <v>0.36834909388245801</v>
      </c>
      <c r="D776" t="s">
        <v>52</v>
      </c>
      <c r="E776" t="b">
        <v>1</v>
      </c>
      <c r="F776" t="s">
        <v>53</v>
      </c>
      <c r="G776">
        <v>7.4999999999999997E-2</v>
      </c>
      <c r="H776">
        <v>0.5</v>
      </c>
      <c r="I776">
        <v>1E-4</v>
      </c>
      <c r="J776" t="b">
        <v>1</v>
      </c>
      <c r="K776">
        <v>1</v>
      </c>
      <c r="L776">
        <v>1500</v>
      </c>
      <c r="M776">
        <v>0.5</v>
      </c>
      <c r="N776">
        <v>0.154</v>
      </c>
      <c r="O776" t="s">
        <v>363</v>
      </c>
      <c r="P776" t="s">
        <v>366</v>
      </c>
      <c r="Q776" s="1">
        <v>-1.5413726184826102E-5</v>
      </c>
      <c r="R776" s="1">
        <v>4.8598763470860299E-8</v>
      </c>
      <c r="S776" s="1">
        <v>4.6579447852993598E-5</v>
      </c>
      <c r="T776" s="1">
        <v>-6.9722116678507697E-5</v>
      </c>
      <c r="U776">
        <v>1.2578741893128</v>
      </c>
      <c r="V776" s="1">
        <v>4.1369852193694503E-15</v>
      </c>
      <c r="W776">
        <v>3.43180758231173E-4</v>
      </c>
      <c r="X776">
        <v>2.0831768358649998</v>
      </c>
      <c r="Y776">
        <v>1.2772195830346099E-2</v>
      </c>
      <c r="Z776">
        <v>3.1861792873258403E-2</v>
      </c>
      <c r="AA776">
        <v>1.3442168908216401E-2</v>
      </c>
      <c r="AB776" s="9">
        <f t="shared" si="107"/>
        <v>-1.496842918760076</v>
      </c>
      <c r="AC776" s="9">
        <f t="shared" si="108"/>
        <v>-1.1409103519375479</v>
      </c>
      <c r="AD776" s="2">
        <f t="shared" si="109"/>
        <v>-0.23778885704143782</v>
      </c>
      <c r="AE776" s="8">
        <f t="shared" si="110"/>
        <v>0.63355058986088186</v>
      </c>
      <c r="AF776" s="2">
        <f t="shared" si="111"/>
        <v>0.26520149597842385</v>
      </c>
      <c r="AG776" s="8">
        <f t="shared" si="112"/>
        <v>0.36834909388245801</v>
      </c>
      <c r="AH776" s="7">
        <f t="shared" si="113"/>
        <v>0.71997325467305462</v>
      </c>
      <c r="AI776">
        <f t="shared" si="114"/>
        <v>1</v>
      </c>
      <c r="AJ776" s="10">
        <f t="shared" si="115"/>
        <v>0.36834909388245801</v>
      </c>
    </row>
    <row r="777" spans="1:36" hidden="1" x14ac:dyDescent="0.25">
      <c r="A777" t="b">
        <v>0</v>
      </c>
      <c r="B777">
        <v>1000</v>
      </c>
      <c r="C777">
        <v>0.36834909388245801</v>
      </c>
      <c r="D777" t="s">
        <v>52</v>
      </c>
      <c r="E777" t="b">
        <v>1</v>
      </c>
      <c r="F777" t="s">
        <v>53</v>
      </c>
      <c r="G777">
        <v>7.4999999999999997E-2</v>
      </c>
      <c r="H777">
        <v>0.5</v>
      </c>
      <c r="I777">
        <v>1E-4</v>
      </c>
      <c r="J777" t="b">
        <v>1</v>
      </c>
      <c r="K777">
        <v>1</v>
      </c>
      <c r="L777">
        <v>1500</v>
      </c>
      <c r="M777">
        <v>0.5</v>
      </c>
      <c r="N777">
        <v>0.154</v>
      </c>
      <c r="O777" t="s">
        <v>364</v>
      </c>
      <c r="P777" t="s">
        <v>365</v>
      </c>
      <c r="Q777" s="1">
        <v>-2.2195803510068702E-6</v>
      </c>
      <c r="R777" s="1">
        <v>2.1190607737531599E-7</v>
      </c>
      <c r="S777" s="1">
        <v>6.6573703991768502E-6</v>
      </c>
      <c r="T777" s="1">
        <v>-9.9669321009083397E-6</v>
      </c>
      <c r="U777">
        <v>1.25792170328395</v>
      </c>
      <c r="V777">
        <v>0</v>
      </c>
      <c r="W777">
        <v>7.7678307515763297E-3</v>
      </c>
      <c r="X777">
        <v>2</v>
      </c>
      <c r="Y777">
        <v>0.424431587201966</v>
      </c>
      <c r="Z777">
        <v>2.5000000000000001E-4</v>
      </c>
      <c r="AA777">
        <v>0.38238328285220602</v>
      </c>
      <c r="AB777" s="9">
        <f t="shared" si="107"/>
        <v>-1.4971274697500232</v>
      </c>
      <c r="AC777" s="9">
        <f t="shared" si="108"/>
        <v>-1.1409103519375479</v>
      </c>
      <c r="AD777" s="2">
        <f t="shared" si="109"/>
        <v>-0.23793372642608268</v>
      </c>
      <c r="AE777" s="8">
        <f t="shared" si="110"/>
        <v>0.63380373600679762</v>
      </c>
      <c r="AF777" s="2">
        <f t="shared" si="111"/>
        <v>0.26545464212433961</v>
      </c>
      <c r="AG777" s="8">
        <f t="shared" si="112"/>
        <v>0.36834909388245801</v>
      </c>
      <c r="AH777" s="7">
        <f t="shared" si="113"/>
        <v>0.72066049987093894</v>
      </c>
      <c r="AI777">
        <f t="shared" si="114"/>
        <v>1</v>
      </c>
      <c r="AJ777" s="10">
        <f t="shared" si="115"/>
        <v>0.36834909388245801</v>
      </c>
    </row>
    <row r="778" spans="1:36" hidden="1" x14ac:dyDescent="0.25">
      <c r="A778" t="b">
        <v>0</v>
      </c>
      <c r="B778">
        <v>1000</v>
      </c>
      <c r="C778">
        <v>0.36834909388245801</v>
      </c>
      <c r="D778" t="s">
        <v>52</v>
      </c>
      <c r="E778" t="b">
        <v>1</v>
      </c>
      <c r="F778" t="s">
        <v>53</v>
      </c>
      <c r="G778">
        <v>7.4999999999999997E-2</v>
      </c>
      <c r="H778">
        <v>0.5</v>
      </c>
      <c r="I778">
        <v>1E-4</v>
      </c>
      <c r="J778" t="b">
        <v>1</v>
      </c>
      <c r="K778">
        <v>1</v>
      </c>
      <c r="L778">
        <v>1500</v>
      </c>
      <c r="M778">
        <v>0.5</v>
      </c>
      <c r="N778">
        <v>0.154</v>
      </c>
      <c r="O778" t="s">
        <v>364</v>
      </c>
      <c r="P778" t="s">
        <v>366</v>
      </c>
      <c r="Q778" s="1">
        <v>-1.7616716822367399E-5</v>
      </c>
      <c r="R778" s="1">
        <v>5.5710612164511603E-8</v>
      </c>
      <c r="S778" s="1">
        <v>5.3236818252170898E-5</v>
      </c>
      <c r="T778" s="1">
        <v>-7.9689048779331E-5</v>
      </c>
      <c r="U778">
        <v>1.25788013181125</v>
      </c>
      <c r="V778" s="1">
        <v>4.1261936762524297E-15</v>
      </c>
      <c r="W778">
        <v>3.5761879075620902E-4</v>
      </c>
      <c r="X778">
        <v>2.0831970203051502</v>
      </c>
      <c r="Y778">
        <v>1.2740405099604699E-2</v>
      </c>
      <c r="Z778">
        <v>3.1866629372451903E-2</v>
      </c>
      <c r="AA778">
        <v>1.3486971926634801E-2</v>
      </c>
      <c r="AB778" s="9">
        <f t="shared" si="107"/>
        <v>-1.4968785024278086</v>
      </c>
      <c r="AC778" s="9">
        <f t="shared" si="108"/>
        <v>-1.1409103519375479</v>
      </c>
      <c r="AD778" s="2">
        <f t="shared" si="109"/>
        <v>-0.23780697625953673</v>
      </c>
      <c r="AE778" s="8">
        <f t="shared" si="110"/>
        <v>0.63358224199870516</v>
      </c>
      <c r="AF778" s="2">
        <f t="shared" si="111"/>
        <v>0.26523314811624715</v>
      </c>
      <c r="AG778" s="8">
        <f t="shared" si="112"/>
        <v>0.36834909388245801</v>
      </c>
      <c r="AH778" s="7">
        <f t="shared" si="113"/>
        <v>0.72005918440207795</v>
      </c>
      <c r="AI778">
        <f t="shared" si="114"/>
        <v>1</v>
      </c>
      <c r="AJ778" s="10">
        <f t="shared" si="115"/>
        <v>0.36834909388245801</v>
      </c>
    </row>
    <row r="779" spans="1:36" hidden="1" x14ac:dyDescent="0.25">
      <c r="A779" t="b">
        <v>0</v>
      </c>
      <c r="B779">
        <v>1000</v>
      </c>
      <c r="C779">
        <v>0.36834909388245801</v>
      </c>
      <c r="D779" t="s">
        <v>52</v>
      </c>
      <c r="E779" t="b">
        <v>1</v>
      </c>
      <c r="F779" t="s">
        <v>53</v>
      </c>
      <c r="G779">
        <v>7.4999999999999997E-2</v>
      </c>
      <c r="H779">
        <v>0.5</v>
      </c>
      <c r="I779">
        <v>1E-4</v>
      </c>
      <c r="J779" t="b">
        <v>1</v>
      </c>
      <c r="K779">
        <v>1</v>
      </c>
      <c r="L779">
        <v>1500</v>
      </c>
      <c r="M779">
        <v>0.5</v>
      </c>
      <c r="N779">
        <v>0.154</v>
      </c>
      <c r="O779" t="s">
        <v>365</v>
      </c>
      <c r="P779" t="s">
        <v>366</v>
      </c>
      <c r="Q779" s="1">
        <v>-1.5413726401268901E-5</v>
      </c>
      <c r="R779" s="1">
        <v>4.7752661329354103E-8</v>
      </c>
      <c r="S779" s="1">
        <v>4.6579447852997298E-5</v>
      </c>
      <c r="T779" s="1">
        <v>-6.9722116678576707E-5</v>
      </c>
      <c r="U779">
        <v>1.2578741893577201</v>
      </c>
      <c r="V779" s="1">
        <v>4.1323182910939801E-15</v>
      </c>
      <c r="W779">
        <v>3.4601851440429099E-4</v>
      </c>
      <c r="X779">
        <v>2.0831769038183801</v>
      </c>
      <c r="Y779">
        <v>1.2680928062437801E-2</v>
      </c>
      <c r="Z779">
        <v>3.1861732688974298E-2</v>
      </c>
      <c r="AA779">
        <v>1.32069623200707E-2</v>
      </c>
      <c r="AB779" s="9">
        <f t="shared" si="107"/>
        <v>-1.4968429187614387</v>
      </c>
      <c r="AC779" s="9">
        <f t="shared" si="108"/>
        <v>-1.1409103519375479</v>
      </c>
      <c r="AD779" s="2">
        <f t="shared" si="109"/>
        <v>-0.23778885704213171</v>
      </c>
      <c r="AE779" s="8">
        <f t="shared" si="110"/>
        <v>0.63355058986209412</v>
      </c>
      <c r="AF779" s="2">
        <f t="shared" si="111"/>
        <v>0.2652014959796361</v>
      </c>
      <c r="AG779" s="8">
        <f t="shared" si="112"/>
        <v>0.36834909388245801</v>
      </c>
      <c r="AH779" s="7">
        <f t="shared" si="113"/>
        <v>0.71997325467634565</v>
      </c>
      <c r="AI779">
        <f t="shared" si="114"/>
        <v>1</v>
      </c>
      <c r="AJ779" s="10">
        <f t="shared" si="115"/>
        <v>0.36834909388245801</v>
      </c>
    </row>
    <row r="780" spans="1:36" hidden="1" x14ac:dyDescent="0.25">
      <c r="A780" t="b">
        <v>0</v>
      </c>
      <c r="B780">
        <v>1000</v>
      </c>
      <c r="C780">
        <v>0.48307886441849202</v>
      </c>
      <c r="D780" t="s">
        <v>52</v>
      </c>
      <c r="E780" t="b">
        <v>1</v>
      </c>
      <c r="F780" t="s">
        <v>53</v>
      </c>
      <c r="G780">
        <v>7.4999999999999997E-2</v>
      </c>
      <c r="H780">
        <v>0.5</v>
      </c>
      <c r="I780">
        <v>1E-4</v>
      </c>
      <c r="J780" t="b">
        <v>1</v>
      </c>
      <c r="K780">
        <v>2</v>
      </c>
      <c r="L780">
        <v>1500</v>
      </c>
      <c r="M780">
        <v>0.5</v>
      </c>
      <c r="N780">
        <v>0.154</v>
      </c>
      <c r="O780" t="s">
        <v>367</v>
      </c>
      <c r="P780" t="s">
        <v>368</v>
      </c>
      <c r="Q780" s="1">
        <v>-6.0943547442749297E-6</v>
      </c>
      <c r="R780" s="1">
        <v>1.6754390844905401E-6</v>
      </c>
      <c r="S780" s="1">
        <v>1.8680706225483002E-5</v>
      </c>
      <c r="T780" s="1">
        <v>-4.8914775171660103E-5</v>
      </c>
      <c r="U780">
        <v>2.1066218294702499</v>
      </c>
      <c r="V780" s="1">
        <v>2.5504672383569399E-15</v>
      </c>
      <c r="W780">
        <v>2.9951459914723599E-2</v>
      </c>
      <c r="X780">
        <v>2.1287578474564799</v>
      </c>
      <c r="Y780">
        <v>1.22523857718147</v>
      </c>
      <c r="Z780">
        <v>2.5683833731236799E-4</v>
      </c>
      <c r="AA780">
        <v>1.2477835492040199</v>
      </c>
      <c r="AB780" s="9">
        <f t="shared" si="107"/>
        <v>-0.65461624658672912</v>
      </c>
      <c r="AC780" s="9">
        <f t="shared" si="108"/>
        <v>-0.65660147941879354</v>
      </c>
      <c r="AD780" s="2">
        <f t="shared" si="109"/>
        <v>3.0326666079794062E-3</v>
      </c>
      <c r="AE780" s="8">
        <f t="shared" si="110"/>
        <v>0.11993909877343753</v>
      </c>
      <c r="AF780" s="2">
        <f t="shared" si="111"/>
        <v>-8.3061733118547365E-4</v>
      </c>
      <c r="AG780" s="8">
        <f t="shared" si="112"/>
        <v>0.120769716104623</v>
      </c>
      <c r="AH780" s="7">
        <f t="shared" si="113"/>
        <v>-6.8776954850660451E-3</v>
      </c>
      <c r="AI780">
        <f t="shared" si="114"/>
        <v>2</v>
      </c>
      <c r="AJ780" s="10">
        <f t="shared" si="115"/>
        <v>0.48307886441849202</v>
      </c>
    </row>
    <row r="781" spans="1:36" hidden="1" x14ac:dyDescent="0.25">
      <c r="A781" t="b">
        <v>0</v>
      </c>
      <c r="B781">
        <v>1000</v>
      </c>
      <c r="C781">
        <v>0.48307886441849202</v>
      </c>
      <c r="D781" t="s">
        <v>52</v>
      </c>
      <c r="E781" t="b">
        <v>1</v>
      </c>
      <c r="F781" t="s">
        <v>53</v>
      </c>
      <c r="G781">
        <v>7.4999999999999997E-2</v>
      </c>
      <c r="H781">
        <v>0.5</v>
      </c>
      <c r="I781">
        <v>1E-4</v>
      </c>
      <c r="J781" t="b">
        <v>1</v>
      </c>
      <c r="K781">
        <v>2</v>
      </c>
      <c r="L781">
        <v>1500</v>
      </c>
      <c r="M781">
        <v>0.5</v>
      </c>
      <c r="N781">
        <v>0.154</v>
      </c>
      <c r="O781" t="s">
        <v>367</v>
      </c>
      <c r="P781" t="s">
        <v>369</v>
      </c>
      <c r="Q781" s="1">
        <v>-4.7139562423787098E-5</v>
      </c>
      <c r="R781" s="1">
        <v>4.8440179406160403E-6</v>
      </c>
      <c r="S781">
        <v>1.4936899378065801E-4</v>
      </c>
      <c r="T781">
        <v>-3.91006653029473E-4</v>
      </c>
      <c r="U781">
        <v>2.1065000297555398</v>
      </c>
      <c r="V781" s="1">
        <v>9.5696327910301501E-15</v>
      </c>
      <c r="W781">
        <v>9.5380655041304597E-3</v>
      </c>
      <c r="X781">
        <v>2.4153930871959299</v>
      </c>
      <c r="Y781">
        <v>0.319260189481132</v>
      </c>
      <c r="Z781">
        <v>0.30288912250967498</v>
      </c>
      <c r="AA781">
        <v>0.55386660859967296</v>
      </c>
      <c r="AB781" s="9">
        <f t="shared" si="107"/>
        <v>-0.65443075422274311</v>
      </c>
      <c r="AC781" s="9">
        <f t="shared" si="108"/>
        <v>-0.65660147941879354</v>
      </c>
      <c r="AD781" s="2">
        <f t="shared" si="109"/>
        <v>3.3169669702159954E-3</v>
      </c>
      <c r="AE781" s="8">
        <f t="shared" si="110"/>
        <v>0.1198615520374824</v>
      </c>
      <c r="AF781" s="2">
        <f t="shared" si="111"/>
        <v>-9.0816406714060161E-4</v>
      </c>
      <c r="AG781" s="8">
        <f t="shared" si="112"/>
        <v>0.120769716104623</v>
      </c>
      <c r="AH781" s="7">
        <f t="shared" si="113"/>
        <v>-7.5197996354802853E-3</v>
      </c>
      <c r="AI781">
        <f t="shared" si="114"/>
        <v>2</v>
      </c>
      <c r="AJ781" s="10">
        <f t="shared" si="115"/>
        <v>0.48307886441849202</v>
      </c>
    </row>
    <row r="782" spans="1:36" hidden="1" x14ac:dyDescent="0.25">
      <c r="A782" t="b">
        <v>0</v>
      </c>
      <c r="B782">
        <v>1000</v>
      </c>
      <c r="C782">
        <v>0.48307886441849202</v>
      </c>
      <c r="D782" t="s">
        <v>52</v>
      </c>
      <c r="E782" t="b">
        <v>1</v>
      </c>
      <c r="F782" t="s">
        <v>53</v>
      </c>
      <c r="G782">
        <v>7.4999999999999997E-2</v>
      </c>
      <c r="H782">
        <v>0.5</v>
      </c>
      <c r="I782">
        <v>1E-4</v>
      </c>
      <c r="J782" t="b">
        <v>1</v>
      </c>
      <c r="K782">
        <v>2</v>
      </c>
      <c r="L782">
        <v>1500</v>
      </c>
      <c r="M782">
        <v>0.5</v>
      </c>
      <c r="N782">
        <v>0.154</v>
      </c>
      <c r="O782" t="s">
        <v>367</v>
      </c>
      <c r="P782" t="s">
        <v>370</v>
      </c>
      <c r="Q782" s="1">
        <v>-6.0943547442753499E-6</v>
      </c>
      <c r="R782" s="1">
        <v>1.65223888947173E-6</v>
      </c>
      <c r="S782" s="1">
        <v>1.8680706225483601E-5</v>
      </c>
      <c r="T782" s="1">
        <v>-4.89147751716286E-5</v>
      </c>
      <c r="U782">
        <v>2.1066218294692298</v>
      </c>
      <c r="V782" s="1">
        <v>2.5504672366815102E-15</v>
      </c>
      <c r="W782">
        <v>2.94318215684213E-2</v>
      </c>
      <c r="X782">
        <v>2.1287578474565301</v>
      </c>
      <c r="Y782">
        <v>1.22195490528755</v>
      </c>
      <c r="Z782">
        <v>2.56838337312399E-4</v>
      </c>
      <c r="AA782">
        <v>1.2305149284355399</v>
      </c>
      <c r="AB782" s="9">
        <f t="shared" si="107"/>
        <v>-0.65461624658628648</v>
      </c>
      <c r="AC782" s="9">
        <f t="shared" si="108"/>
        <v>-0.65660147941879354</v>
      </c>
      <c r="AD782" s="2">
        <f t="shared" si="109"/>
        <v>3.0326666086577525E-3</v>
      </c>
      <c r="AE782" s="8">
        <f t="shared" si="110"/>
        <v>0.11993909877325247</v>
      </c>
      <c r="AF782" s="2">
        <f t="shared" si="111"/>
        <v>-8.3061733137053395E-4</v>
      </c>
      <c r="AG782" s="8">
        <f t="shared" si="112"/>
        <v>0.120769716104623</v>
      </c>
      <c r="AH782" s="7">
        <f t="shared" si="113"/>
        <v>-6.8776954865983854E-3</v>
      </c>
      <c r="AI782">
        <f t="shared" si="114"/>
        <v>2</v>
      </c>
      <c r="AJ782" s="10">
        <f t="shared" si="115"/>
        <v>0.48307886441849202</v>
      </c>
    </row>
    <row r="783" spans="1:36" hidden="1" x14ac:dyDescent="0.25">
      <c r="A783" t="b">
        <v>0</v>
      </c>
      <c r="B783">
        <v>1000</v>
      </c>
      <c r="C783">
        <v>0.48307886441849202</v>
      </c>
      <c r="D783" t="s">
        <v>52</v>
      </c>
      <c r="E783" t="b">
        <v>1</v>
      </c>
      <c r="F783" t="s">
        <v>53</v>
      </c>
      <c r="G783">
        <v>7.4999999999999997E-2</v>
      </c>
      <c r="H783">
        <v>0.5</v>
      </c>
      <c r="I783">
        <v>1E-4</v>
      </c>
      <c r="J783" t="b">
        <v>1</v>
      </c>
      <c r="K783">
        <v>2</v>
      </c>
      <c r="L783">
        <v>1500</v>
      </c>
      <c r="M783">
        <v>0.5</v>
      </c>
      <c r="N783">
        <v>0.154</v>
      </c>
      <c r="O783" t="s">
        <v>367</v>
      </c>
      <c r="P783" t="s">
        <v>371</v>
      </c>
      <c r="Q783" s="1">
        <v>-1.21886679534367E-5</v>
      </c>
      <c r="R783" s="1">
        <v>3.3211900159750399E-6</v>
      </c>
      <c r="S783" s="1">
        <v>3.73612706657424E-5</v>
      </c>
      <c r="T783" s="1">
        <v>-9.7828399860251897E-5</v>
      </c>
      <c r="U783">
        <v>2.1066044148965002</v>
      </c>
      <c r="V783" s="1">
        <v>2.5483471945433302E-15</v>
      </c>
      <c r="W783">
        <v>2.9098070625887498E-2</v>
      </c>
      <c r="X783">
        <v>2.1287574598983299</v>
      </c>
      <c r="Y783">
        <v>1.22417379044681</v>
      </c>
      <c r="Z783">
        <v>2.5683841256141598E-4</v>
      </c>
      <c r="AA783">
        <v>1.23672920569769</v>
      </c>
      <c r="AB783" s="9">
        <f t="shared" si="107"/>
        <v>-0.65461103247455599</v>
      </c>
      <c r="AC783" s="9">
        <f t="shared" si="108"/>
        <v>-0.65660147941879354</v>
      </c>
      <c r="AD783" s="2">
        <f t="shared" si="109"/>
        <v>3.0406559704825309E-3</v>
      </c>
      <c r="AE783" s="8">
        <f t="shared" si="110"/>
        <v>0.11993691882067192</v>
      </c>
      <c r="AF783" s="2">
        <f t="shared" si="111"/>
        <v>-8.327972839510811E-4</v>
      </c>
      <c r="AG783" s="8">
        <f t="shared" si="112"/>
        <v>0.120769716104623</v>
      </c>
      <c r="AH783" s="7">
        <f t="shared" si="113"/>
        <v>-6.8957459768277289E-3</v>
      </c>
      <c r="AI783">
        <f t="shared" si="114"/>
        <v>2</v>
      </c>
      <c r="AJ783" s="10">
        <f t="shared" si="115"/>
        <v>0.48307886441849202</v>
      </c>
    </row>
    <row r="784" spans="1:36" hidden="1" x14ac:dyDescent="0.25">
      <c r="A784" t="b">
        <v>0</v>
      </c>
      <c r="B784">
        <v>1000</v>
      </c>
      <c r="C784">
        <v>0.48307886441849202</v>
      </c>
      <c r="D784" t="s">
        <v>52</v>
      </c>
      <c r="E784" t="b">
        <v>1</v>
      </c>
      <c r="F784" t="s">
        <v>53</v>
      </c>
      <c r="G784">
        <v>7.4999999999999997E-2</v>
      </c>
      <c r="H784">
        <v>0.5</v>
      </c>
      <c r="I784">
        <v>1E-4</v>
      </c>
      <c r="J784" t="b">
        <v>1</v>
      </c>
      <c r="K784">
        <v>2</v>
      </c>
      <c r="L784">
        <v>1500</v>
      </c>
      <c r="M784">
        <v>0.5</v>
      </c>
      <c r="N784">
        <v>0.154</v>
      </c>
      <c r="O784" t="s">
        <v>367</v>
      </c>
      <c r="P784" t="s">
        <v>372</v>
      </c>
      <c r="Q784" s="1">
        <v>-5.3034569477837398E-5</v>
      </c>
      <c r="R784" s="1">
        <v>5.5792945375413397E-6</v>
      </c>
      <c r="S784">
        <v>1.68048566490789E-4</v>
      </c>
      <c r="T784">
        <v>-4.3991223230597701E-4</v>
      </c>
      <c r="U784">
        <v>2.10648261616989</v>
      </c>
      <c r="V784" s="1">
        <v>9.5684897853908004E-15</v>
      </c>
      <c r="W784">
        <v>1.0062668547730899E-2</v>
      </c>
      <c r="X784">
        <v>2.4153985330213299</v>
      </c>
      <c r="Y784">
        <v>0.32161756007090903</v>
      </c>
      <c r="Z784">
        <v>0.302900146252921</v>
      </c>
      <c r="AA784">
        <v>0.56836124570776403</v>
      </c>
      <c r="AB784" s="9">
        <f t="shared" si="107"/>
        <v>-0.6544421078564947</v>
      </c>
      <c r="AC784" s="9">
        <f t="shared" si="108"/>
        <v>-0.65660147941879354</v>
      </c>
      <c r="AD784" s="2">
        <f t="shared" si="109"/>
        <v>3.2995608570656199E-3</v>
      </c>
      <c r="AE784" s="8">
        <f t="shared" si="110"/>
        <v>0.11986629821672004</v>
      </c>
      <c r="AF784" s="2">
        <f t="shared" si="111"/>
        <v>-9.0341788790296307E-4</v>
      </c>
      <c r="AG784" s="8">
        <f t="shared" si="112"/>
        <v>0.120769716104623</v>
      </c>
      <c r="AH784" s="7">
        <f t="shared" si="113"/>
        <v>-7.480500220107586E-3</v>
      </c>
      <c r="AI784">
        <f t="shared" si="114"/>
        <v>2</v>
      </c>
      <c r="AJ784" s="10">
        <f t="shared" si="115"/>
        <v>0.48307886441849202</v>
      </c>
    </row>
    <row r="785" spans="1:36" hidden="1" x14ac:dyDescent="0.25">
      <c r="A785" t="b">
        <v>0</v>
      </c>
      <c r="B785">
        <v>1000</v>
      </c>
      <c r="C785">
        <v>0.48307886441849202</v>
      </c>
      <c r="D785" t="s">
        <v>52</v>
      </c>
      <c r="E785" t="b">
        <v>1</v>
      </c>
      <c r="F785" t="s">
        <v>53</v>
      </c>
      <c r="G785">
        <v>7.4999999999999997E-2</v>
      </c>
      <c r="H785">
        <v>0.5</v>
      </c>
      <c r="I785">
        <v>1E-4</v>
      </c>
      <c r="J785" t="b">
        <v>1</v>
      </c>
      <c r="K785">
        <v>2</v>
      </c>
      <c r="L785">
        <v>1500</v>
      </c>
      <c r="M785">
        <v>0.5</v>
      </c>
      <c r="N785">
        <v>0.154</v>
      </c>
      <c r="O785" t="s">
        <v>367</v>
      </c>
      <c r="P785" t="s">
        <v>373</v>
      </c>
      <c r="Q785" s="1">
        <v>-4.7139562395277399E-5</v>
      </c>
      <c r="R785" s="1">
        <v>4.8713107379184198E-6</v>
      </c>
      <c r="S785">
        <v>1.4936899378066999E-4</v>
      </c>
      <c r="T785">
        <v>-3.9100665303012699E-4</v>
      </c>
      <c r="U785">
        <v>2.1065000297876701</v>
      </c>
      <c r="V785" s="1">
        <v>9.5667425246021499E-15</v>
      </c>
      <c r="W785">
        <v>9.6549577340136906E-3</v>
      </c>
      <c r="X785">
        <v>2.41539307942507</v>
      </c>
      <c r="Y785">
        <v>0.31996268084996898</v>
      </c>
      <c r="Z785">
        <v>0.30288912694887998</v>
      </c>
      <c r="AA785">
        <v>0.55725245679676605</v>
      </c>
      <c r="AB785" s="9">
        <f t="shared" si="107"/>
        <v>-0.65443075422378527</v>
      </c>
      <c r="AC785" s="9">
        <f t="shared" si="108"/>
        <v>-0.65660147941879354</v>
      </c>
      <c r="AD785" s="2">
        <f t="shared" si="109"/>
        <v>3.3169669686183845E-3</v>
      </c>
      <c r="AE785" s="8">
        <f t="shared" si="110"/>
        <v>0.11986155203791804</v>
      </c>
      <c r="AF785" s="2">
        <f t="shared" si="111"/>
        <v>-9.0816406670496397E-4</v>
      </c>
      <c r="AG785" s="8">
        <f t="shared" si="112"/>
        <v>0.120769716104623</v>
      </c>
      <c r="AH785" s="7">
        <f t="shared" si="113"/>
        <v>-7.5197996318731091E-3</v>
      </c>
      <c r="AI785">
        <f t="shared" si="114"/>
        <v>2</v>
      </c>
      <c r="AJ785" s="10">
        <f t="shared" si="115"/>
        <v>0.48307886441849202</v>
      </c>
    </row>
    <row r="786" spans="1:36" hidden="1" x14ac:dyDescent="0.25">
      <c r="A786" t="b">
        <v>0</v>
      </c>
      <c r="B786">
        <v>1000</v>
      </c>
      <c r="C786">
        <v>0.48307886441849202</v>
      </c>
      <c r="D786" t="s">
        <v>52</v>
      </c>
      <c r="E786" t="b">
        <v>1</v>
      </c>
      <c r="F786" t="s">
        <v>53</v>
      </c>
      <c r="G786">
        <v>7.4999999999999997E-2</v>
      </c>
      <c r="H786">
        <v>0.5</v>
      </c>
      <c r="I786">
        <v>1E-4</v>
      </c>
      <c r="J786" t="b">
        <v>1</v>
      </c>
      <c r="K786">
        <v>2</v>
      </c>
      <c r="L786">
        <v>1500</v>
      </c>
      <c r="M786">
        <v>0.5</v>
      </c>
      <c r="N786">
        <v>0.154</v>
      </c>
      <c r="O786" t="s">
        <v>367</v>
      </c>
      <c r="P786" t="s">
        <v>374</v>
      </c>
      <c r="Q786" s="1">
        <v>-5.3034569515250498E-5</v>
      </c>
      <c r="R786" s="1">
        <v>5.5813395301225803E-6</v>
      </c>
      <c r="S786">
        <v>1.6804856649078699E-4</v>
      </c>
      <c r="T786">
        <v>-4.3991223230610798E-4</v>
      </c>
      <c r="U786">
        <v>2.1064826161044001</v>
      </c>
      <c r="V786" s="1">
        <v>9.5714349514454796E-15</v>
      </c>
      <c r="W786">
        <v>1.00139193778262E-2</v>
      </c>
      <c r="X786">
        <v>2.4153985361705801</v>
      </c>
      <c r="Y786">
        <v>0.32231013171288903</v>
      </c>
      <c r="Z786">
        <v>0.30290014325855502</v>
      </c>
      <c r="AA786">
        <v>0.56840875639030897</v>
      </c>
      <c r="AB786" s="9">
        <f t="shared" si="107"/>
        <v>-0.65444210785669732</v>
      </c>
      <c r="AC786" s="9">
        <f t="shared" si="108"/>
        <v>-0.65660147941879354</v>
      </c>
      <c r="AD786" s="2">
        <f t="shared" si="109"/>
        <v>3.2995608567549795E-3</v>
      </c>
      <c r="AE786" s="8">
        <f t="shared" si="110"/>
        <v>0.11986629821680475</v>
      </c>
      <c r="AF786" s="2">
        <f t="shared" si="111"/>
        <v>-9.0341788781825305E-4</v>
      </c>
      <c r="AG786" s="8">
        <f t="shared" si="112"/>
        <v>0.120769716104623</v>
      </c>
      <c r="AH786" s="7">
        <f t="shared" si="113"/>
        <v>-7.4805002194061688E-3</v>
      </c>
      <c r="AI786">
        <f t="shared" si="114"/>
        <v>2</v>
      </c>
      <c r="AJ786" s="10">
        <f t="shared" si="115"/>
        <v>0.48307886441849202</v>
      </c>
    </row>
    <row r="787" spans="1:36" hidden="1" x14ac:dyDescent="0.25">
      <c r="A787" t="b">
        <v>0</v>
      </c>
      <c r="B787">
        <v>1000</v>
      </c>
      <c r="C787">
        <v>0.48307886441849202</v>
      </c>
      <c r="D787" t="s">
        <v>52</v>
      </c>
      <c r="E787" t="b">
        <v>1</v>
      </c>
      <c r="F787" t="s">
        <v>53</v>
      </c>
      <c r="G787">
        <v>7.4999999999999997E-2</v>
      </c>
      <c r="H787">
        <v>0.5</v>
      </c>
      <c r="I787">
        <v>1E-4</v>
      </c>
      <c r="J787" t="b">
        <v>1</v>
      </c>
      <c r="K787">
        <v>2</v>
      </c>
      <c r="L787">
        <v>1500</v>
      </c>
      <c r="M787">
        <v>0.5</v>
      </c>
      <c r="N787">
        <v>0.154</v>
      </c>
      <c r="O787" t="s">
        <v>367</v>
      </c>
      <c r="P787" t="s">
        <v>375</v>
      </c>
      <c r="Q787" s="1">
        <v>-9.3610928999480296E-5</v>
      </c>
      <c r="R787" s="1">
        <v>7.74843173506479E-7</v>
      </c>
      <c r="S787">
        <v>2.98728925565319E-4</v>
      </c>
      <c r="T787">
        <v>-7.8193980257553104E-4</v>
      </c>
      <c r="U787">
        <v>2.1063608233268201</v>
      </c>
      <c r="V787" s="1">
        <v>9.7019709171107804E-15</v>
      </c>
      <c r="W787">
        <v>6.7635191135200596E-4</v>
      </c>
      <c r="X787">
        <v>2.4749897949948001</v>
      </c>
      <c r="Y787">
        <v>2.5477678346637701E-2</v>
      </c>
      <c r="Z787">
        <v>0.392114125161102</v>
      </c>
      <c r="AA787">
        <v>4.60709321480747E-2</v>
      </c>
      <c r="AB787" s="9">
        <f t="shared" si="107"/>
        <v>-0.65438909296762671</v>
      </c>
      <c r="AC787" s="9">
        <f t="shared" si="108"/>
        <v>-0.65660147941879354</v>
      </c>
      <c r="AD787" s="2">
        <f t="shared" si="109"/>
        <v>3.380842491022884E-3</v>
      </c>
      <c r="AE787" s="8">
        <f t="shared" si="110"/>
        <v>0.11984413665529134</v>
      </c>
      <c r="AF787" s="2">
        <f t="shared" si="111"/>
        <v>-9.2557944933166492E-4</v>
      </c>
      <c r="AG787" s="8">
        <f t="shared" si="112"/>
        <v>0.120769716104623</v>
      </c>
      <c r="AH787" s="7">
        <f t="shared" si="113"/>
        <v>-7.6640028575527489E-3</v>
      </c>
      <c r="AI787">
        <f t="shared" si="114"/>
        <v>2</v>
      </c>
      <c r="AJ787" s="10">
        <f t="shared" si="115"/>
        <v>0.48307886441849202</v>
      </c>
    </row>
    <row r="788" spans="1:36" hidden="1" x14ac:dyDescent="0.25">
      <c r="A788" t="b">
        <v>0</v>
      </c>
      <c r="B788">
        <v>1000</v>
      </c>
      <c r="C788">
        <v>0.48307886441849202</v>
      </c>
      <c r="D788" t="s">
        <v>52</v>
      </c>
      <c r="E788" t="b">
        <v>1</v>
      </c>
      <c r="F788" t="s">
        <v>53</v>
      </c>
      <c r="G788">
        <v>7.4999999999999997E-2</v>
      </c>
      <c r="H788">
        <v>0.5</v>
      </c>
      <c r="I788">
        <v>1E-4</v>
      </c>
      <c r="J788" t="b">
        <v>1</v>
      </c>
      <c r="K788">
        <v>2</v>
      </c>
      <c r="L788">
        <v>1500</v>
      </c>
      <c r="M788">
        <v>0.5</v>
      </c>
      <c r="N788">
        <v>0.154</v>
      </c>
      <c r="O788" t="s">
        <v>368</v>
      </c>
      <c r="P788" t="s">
        <v>369</v>
      </c>
      <c r="Q788" s="1">
        <v>-4.12442803710567E-5</v>
      </c>
      <c r="R788" s="1">
        <v>4.2091996277105199E-6</v>
      </c>
      <c r="S788">
        <v>1.30688287555178E-4</v>
      </c>
      <c r="T788">
        <v>-3.4209187785767798E-4</v>
      </c>
      <c r="U788">
        <v>2.1064826151312999</v>
      </c>
      <c r="V788" s="1">
        <v>9.5659561098540604E-15</v>
      </c>
      <c r="W788">
        <v>9.5188639006901204E-3</v>
      </c>
      <c r="X788">
        <v>2.4153799243596401</v>
      </c>
      <c r="Y788">
        <v>0.31706856368856601</v>
      </c>
      <c r="Z788">
        <v>0.30286357614694298</v>
      </c>
      <c r="AA788">
        <v>0.55011418644029098</v>
      </c>
      <c r="AB788" s="9">
        <f t="shared" si="107"/>
        <v>-0.65440423977023021</v>
      </c>
      <c r="AC788" s="9">
        <f t="shared" si="108"/>
        <v>-0.65660147941879354</v>
      </c>
      <c r="AD788" s="2">
        <f t="shared" si="109"/>
        <v>3.3576182961998491E-3</v>
      </c>
      <c r="AE788" s="8">
        <f t="shared" si="110"/>
        <v>0.11985046831152116</v>
      </c>
      <c r="AF788" s="2">
        <f t="shared" si="111"/>
        <v>-9.1924779310184612E-4</v>
      </c>
      <c r="AG788" s="8">
        <f t="shared" si="112"/>
        <v>0.120769716104623</v>
      </c>
      <c r="AH788" s="7">
        <f t="shared" si="113"/>
        <v>-7.611575341499522E-3</v>
      </c>
      <c r="AI788">
        <f t="shared" si="114"/>
        <v>2</v>
      </c>
      <c r="AJ788" s="10">
        <f t="shared" si="115"/>
        <v>0.48307886441849202</v>
      </c>
    </row>
    <row r="789" spans="1:36" hidden="1" x14ac:dyDescent="0.25">
      <c r="A789" t="b">
        <v>0</v>
      </c>
      <c r="B789">
        <v>1000</v>
      </c>
      <c r="C789">
        <v>0.48307886441849202</v>
      </c>
      <c r="D789" t="s">
        <v>52</v>
      </c>
      <c r="E789" t="b">
        <v>1</v>
      </c>
      <c r="F789" t="s">
        <v>53</v>
      </c>
      <c r="G789">
        <v>7.4999999999999997E-2</v>
      </c>
      <c r="H789">
        <v>0.5</v>
      </c>
      <c r="I789">
        <v>1E-4</v>
      </c>
      <c r="J789" t="b">
        <v>1</v>
      </c>
      <c r="K789">
        <v>2</v>
      </c>
      <c r="L789">
        <v>1500</v>
      </c>
      <c r="M789">
        <v>0.5</v>
      </c>
      <c r="N789">
        <v>0.154</v>
      </c>
      <c r="O789" t="s">
        <v>368</v>
      </c>
      <c r="P789" t="s">
        <v>370</v>
      </c>
      <c r="Q789" s="1">
        <v>-1E-10</v>
      </c>
      <c r="R789" s="1">
        <v>3.5857859832509601E-12</v>
      </c>
      <c r="S789" s="1">
        <v>-7.9173328414985199E-19</v>
      </c>
      <c r="T789" s="1">
        <v>1.82381306378833E-16</v>
      </c>
      <c r="U789">
        <v>2.1066044148449801</v>
      </c>
      <c r="V789">
        <v>0</v>
      </c>
      <c r="W789">
        <v>6.8474549238212598E-2</v>
      </c>
      <c r="X789">
        <v>2</v>
      </c>
      <c r="Y789">
        <v>4.0005664711763303E-3</v>
      </c>
      <c r="Z789">
        <v>2.5000000000000001E-4</v>
      </c>
      <c r="AA789">
        <v>4.7933530498054603E-3</v>
      </c>
      <c r="AB789" s="9">
        <f t="shared" si="107"/>
        <v>-57.589250707916918</v>
      </c>
      <c r="AC789" s="9">
        <f t="shared" si="108"/>
        <v>-0.65660147941879354</v>
      </c>
      <c r="AD789" s="2">
        <f t="shared" si="109"/>
        <v>-0.98859854102375866</v>
      </c>
      <c r="AE789" s="8">
        <f t="shared" si="110"/>
        <v>-1.0552935079742172</v>
      </c>
      <c r="AF789" s="2">
        <f t="shared" si="111"/>
        <v>-1.1760632240788402</v>
      </c>
      <c r="AG789" s="8">
        <f t="shared" si="112"/>
        <v>0.120769716104623</v>
      </c>
      <c r="AH789" s="7">
        <f t="shared" si="113"/>
        <v>-9.7380639949506449</v>
      </c>
      <c r="AI789">
        <f t="shared" si="114"/>
        <v>2</v>
      </c>
      <c r="AJ789" s="10">
        <f t="shared" si="115"/>
        <v>0.48307886441849202</v>
      </c>
    </row>
    <row r="790" spans="1:36" hidden="1" x14ac:dyDescent="0.25">
      <c r="A790" t="b">
        <v>0</v>
      </c>
      <c r="B790">
        <v>1000</v>
      </c>
      <c r="C790">
        <v>0.48307886441849202</v>
      </c>
      <c r="D790" t="s">
        <v>52</v>
      </c>
      <c r="E790" t="b">
        <v>1</v>
      </c>
      <c r="F790" t="s">
        <v>53</v>
      </c>
      <c r="G790">
        <v>7.4999999999999997E-2</v>
      </c>
      <c r="H790">
        <v>0.5</v>
      </c>
      <c r="I790">
        <v>1E-4</v>
      </c>
      <c r="J790" t="b">
        <v>1</v>
      </c>
      <c r="K790">
        <v>2</v>
      </c>
      <c r="L790">
        <v>1500</v>
      </c>
      <c r="M790">
        <v>0.5</v>
      </c>
      <c r="N790">
        <v>0.154</v>
      </c>
      <c r="O790" t="s">
        <v>368</v>
      </c>
      <c r="P790" t="s">
        <v>371</v>
      </c>
      <c r="Q790" s="1">
        <v>-6.09431320927363E-6</v>
      </c>
      <c r="R790" s="1">
        <v>1.65551190700429E-6</v>
      </c>
      <c r="S790" s="1">
        <v>1.86805644402649E-5</v>
      </c>
      <c r="T790" s="1">
        <v>-4.8913624688888899E-5</v>
      </c>
      <c r="U790">
        <v>2.1065870002722602</v>
      </c>
      <c r="V790" s="1">
        <v>2.5500493248223499E-15</v>
      </c>
      <c r="W790">
        <v>2.9704310049754601E-2</v>
      </c>
      <c r="X790">
        <v>2.1287570729815699</v>
      </c>
      <c r="Y790">
        <v>1.2220141841708401</v>
      </c>
      <c r="Z790">
        <v>2.5683848783180898E-4</v>
      </c>
      <c r="AA790">
        <v>1.23294679658484</v>
      </c>
      <c r="AB790" s="9">
        <f t="shared" si="107"/>
        <v>-0.65460581832659115</v>
      </c>
      <c r="AC790" s="9">
        <f t="shared" si="108"/>
        <v>-0.65660147941879354</v>
      </c>
      <c r="AD790" s="2">
        <f t="shared" si="109"/>
        <v>3.048645515103976E-3</v>
      </c>
      <c r="AE790" s="8">
        <f t="shared" si="110"/>
        <v>0.11993473886142884</v>
      </c>
      <c r="AF790" s="2">
        <f t="shared" si="111"/>
        <v>-8.3497724319415989E-4</v>
      </c>
      <c r="AG790" s="8">
        <f t="shared" si="112"/>
        <v>0.120769716104623</v>
      </c>
      <c r="AH790" s="7">
        <f t="shared" si="113"/>
        <v>-6.9137965222243114E-3</v>
      </c>
      <c r="AI790">
        <f t="shared" si="114"/>
        <v>2</v>
      </c>
      <c r="AJ790" s="10">
        <f t="shared" si="115"/>
        <v>0.48307886441849202</v>
      </c>
    </row>
    <row r="791" spans="1:36" hidden="1" x14ac:dyDescent="0.25">
      <c r="A791" t="b">
        <v>0</v>
      </c>
      <c r="B791">
        <v>1000</v>
      </c>
      <c r="C791">
        <v>0.48307886441849202</v>
      </c>
      <c r="D791" t="s">
        <v>52</v>
      </c>
      <c r="E791" t="b">
        <v>1</v>
      </c>
      <c r="F791" t="s">
        <v>53</v>
      </c>
      <c r="G791">
        <v>7.4999999999999997E-2</v>
      </c>
      <c r="H791">
        <v>0.5</v>
      </c>
      <c r="I791">
        <v>1E-4</v>
      </c>
      <c r="J791" t="b">
        <v>1</v>
      </c>
      <c r="K791">
        <v>2</v>
      </c>
      <c r="L791">
        <v>1500</v>
      </c>
      <c r="M791">
        <v>0.5</v>
      </c>
      <c r="N791">
        <v>0.154</v>
      </c>
      <c r="O791" t="s">
        <v>368</v>
      </c>
      <c r="P791" t="s">
        <v>372</v>
      </c>
      <c r="Q791" s="1">
        <v>-4.7139287725367299E-5</v>
      </c>
      <c r="R791" s="1">
        <v>4.8050462074435303E-6</v>
      </c>
      <c r="S791">
        <v>1.4936786026530999E-4</v>
      </c>
      <c r="T791">
        <v>-3.9099745713432001E-4</v>
      </c>
      <c r="U791">
        <v>2.10646520154565</v>
      </c>
      <c r="V791" s="1">
        <v>9.5658343545160104E-15</v>
      </c>
      <c r="W791">
        <v>9.7045336637179395E-3</v>
      </c>
      <c r="X791">
        <v>2.4153877678865601</v>
      </c>
      <c r="Y791">
        <v>0.31423270418023502</v>
      </c>
      <c r="Z791">
        <v>0.30287916711103902</v>
      </c>
      <c r="AA791">
        <v>0.55020907912691197</v>
      </c>
      <c r="AB791" s="9">
        <f t="shared" si="107"/>
        <v>-0.65442032917895288</v>
      </c>
      <c r="AC791" s="9">
        <f t="shared" si="108"/>
        <v>-0.65660147941879354</v>
      </c>
      <c r="AD791" s="2">
        <f t="shared" si="109"/>
        <v>3.3329500056595851E-3</v>
      </c>
      <c r="AE791" s="8">
        <f t="shared" si="110"/>
        <v>0.11985719407374826</v>
      </c>
      <c r="AF791" s="2">
        <f t="shared" si="111"/>
        <v>-9.1252203087474615E-4</v>
      </c>
      <c r="AG791" s="8">
        <f t="shared" si="112"/>
        <v>0.120769716104623</v>
      </c>
      <c r="AH791" s="7">
        <f t="shared" si="113"/>
        <v>-7.5558845404938004E-3</v>
      </c>
      <c r="AI791">
        <f t="shared" si="114"/>
        <v>2</v>
      </c>
      <c r="AJ791" s="10">
        <f t="shared" si="115"/>
        <v>0.48307886441849202</v>
      </c>
    </row>
    <row r="792" spans="1:36" hidden="1" x14ac:dyDescent="0.25">
      <c r="A792" t="b">
        <v>0</v>
      </c>
      <c r="B792">
        <v>1000</v>
      </c>
      <c r="C792">
        <v>0.48307886441849202</v>
      </c>
      <c r="D792" t="s">
        <v>52</v>
      </c>
      <c r="E792" t="b">
        <v>1</v>
      </c>
      <c r="F792" t="s">
        <v>53</v>
      </c>
      <c r="G792">
        <v>7.4999999999999997E-2</v>
      </c>
      <c r="H792">
        <v>0.5</v>
      </c>
      <c r="I792">
        <v>1E-4</v>
      </c>
      <c r="J792" t="b">
        <v>1</v>
      </c>
      <c r="K792">
        <v>2</v>
      </c>
      <c r="L792">
        <v>1500</v>
      </c>
      <c r="M792">
        <v>0.5</v>
      </c>
      <c r="N792">
        <v>0.154</v>
      </c>
      <c r="O792" t="s">
        <v>368</v>
      </c>
      <c r="P792" t="s">
        <v>373</v>
      </c>
      <c r="Q792" s="1">
        <v>-4.1244280343409403E-5</v>
      </c>
      <c r="R792" s="1">
        <v>4.1668619214678799E-6</v>
      </c>
      <c r="S792">
        <v>1.3068828755519001E-4</v>
      </c>
      <c r="T792">
        <v>-3.4209187785830898E-4</v>
      </c>
      <c r="U792">
        <v>2.1064826151634199</v>
      </c>
      <c r="V792" s="1">
        <v>9.5650768277985403E-15</v>
      </c>
      <c r="W792">
        <v>9.3748484417437092E-3</v>
      </c>
      <c r="X792">
        <v>2.4153799267711</v>
      </c>
      <c r="Y792">
        <v>0.31510072497283997</v>
      </c>
      <c r="Z792">
        <v>0.30286357846144202</v>
      </c>
      <c r="AA792">
        <v>0.54431505617563103</v>
      </c>
      <c r="AB792" s="9">
        <f t="shared" si="107"/>
        <v>-0.65440423977137718</v>
      </c>
      <c r="AC792" s="9">
        <f t="shared" si="108"/>
        <v>-0.65660147941879354</v>
      </c>
      <c r="AD792" s="2">
        <f t="shared" si="109"/>
        <v>3.3576182944412558E-3</v>
      </c>
      <c r="AE792" s="8">
        <f t="shared" si="110"/>
        <v>0.11985046831200066</v>
      </c>
      <c r="AF792" s="2">
        <f t="shared" si="111"/>
        <v>-9.192477926223408E-4</v>
      </c>
      <c r="AG792" s="8">
        <f t="shared" si="112"/>
        <v>0.120769716104623</v>
      </c>
      <c r="AH792" s="7">
        <f t="shared" si="113"/>
        <v>-7.6115753375291112E-3</v>
      </c>
      <c r="AI792">
        <f t="shared" si="114"/>
        <v>2</v>
      </c>
      <c r="AJ792" s="10">
        <f t="shared" si="115"/>
        <v>0.48307886441849202</v>
      </c>
    </row>
    <row r="793" spans="1:36" hidden="1" x14ac:dyDescent="0.25">
      <c r="A793" t="b">
        <v>0</v>
      </c>
      <c r="B793">
        <v>1000</v>
      </c>
      <c r="C793">
        <v>0.48307886441849202</v>
      </c>
      <c r="D793" t="s">
        <v>52</v>
      </c>
      <c r="E793" t="b">
        <v>1</v>
      </c>
      <c r="F793" t="s">
        <v>53</v>
      </c>
      <c r="G793">
        <v>7.4999999999999997E-2</v>
      </c>
      <c r="H793">
        <v>0.5</v>
      </c>
      <c r="I793">
        <v>1E-4</v>
      </c>
      <c r="J793" t="b">
        <v>1</v>
      </c>
      <c r="K793">
        <v>2</v>
      </c>
      <c r="L793">
        <v>1500</v>
      </c>
      <c r="M793">
        <v>0.5</v>
      </c>
      <c r="N793">
        <v>0.154</v>
      </c>
      <c r="O793" t="s">
        <v>368</v>
      </c>
      <c r="P793" t="s">
        <v>374</v>
      </c>
      <c r="Q793" s="1">
        <v>-4.7139287503026903E-5</v>
      </c>
      <c r="R793" s="1">
        <v>4.8375100106203004E-6</v>
      </c>
      <c r="S793">
        <v>1.4936786026530701E-4</v>
      </c>
      <c r="T793">
        <v>-3.9099745713441498E-4</v>
      </c>
      <c r="U793">
        <v>2.1064652014801499</v>
      </c>
      <c r="V793" s="1">
        <v>9.56564670612187E-15</v>
      </c>
      <c r="W793">
        <v>9.5838645781864094E-3</v>
      </c>
      <c r="X793">
        <v>2.4153877324955202</v>
      </c>
      <c r="Y793">
        <v>0.31829729864904599</v>
      </c>
      <c r="Z793">
        <v>0.302879175305383</v>
      </c>
      <c r="AA793">
        <v>0.55328905192310296</v>
      </c>
      <c r="AB793" s="9">
        <f t="shared" si="107"/>
        <v>-0.65442032917912496</v>
      </c>
      <c r="AC793" s="9">
        <f t="shared" si="108"/>
        <v>-0.65660147941879354</v>
      </c>
      <c r="AD793" s="2">
        <f t="shared" si="109"/>
        <v>3.3329500053955741E-3</v>
      </c>
      <c r="AE793" s="8">
        <f t="shared" si="110"/>
        <v>0.1198571940738202</v>
      </c>
      <c r="AF793" s="2">
        <f t="shared" si="111"/>
        <v>-9.125220308028037E-4</v>
      </c>
      <c r="AG793" s="8">
        <f t="shared" si="112"/>
        <v>0.120769716104623</v>
      </c>
      <c r="AH793" s="7">
        <f t="shared" si="113"/>
        <v>-7.5558845398981016E-3</v>
      </c>
      <c r="AI793">
        <f t="shared" si="114"/>
        <v>2</v>
      </c>
      <c r="AJ793" s="10">
        <f t="shared" si="115"/>
        <v>0.48307886441849202</v>
      </c>
    </row>
    <row r="794" spans="1:36" hidden="1" x14ac:dyDescent="0.25">
      <c r="A794" t="b">
        <v>0</v>
      </c>
      <c r="B794">
        <v>1000</v>
      </c>
      <c r="C794">
        <v>0.48307886441849202</v>
      </c>
      <c r="D794" t="s">
        <v>52</v>
      </c>
      <c r="E794" t="b">
        <v>1</v>
      </c>
      <c r="F794" t="s">
        <v>53</v>
      </c>
      <c r="G794">
        <v>7.4999999999999997E-2</v>
      </c>
      <c r="H794">
        <v>0.5</v>
      </c>
      <c r="I794">
        <v>1E-4</v>
      </c>
      <c r="J794" t="b">
        <v>1</v>
      </c>
      <c r="K794">
        <v>2</v>
      </c>
      <c r="L794">
        <v>1500</v>
      </c>
      <c r="M794">
        <v>0.5</v>
      </c>
      <c r="N794">
        <v>0.154</v>
      </c>
      <c r="O794" t="s">
        <v>368</v>
      </c>
      <c r="P794" t="s">
        <v>375</v>
      </c>
      <c r="Q794" s="1">
        <v>-8.7757277792013696E-5</v>
      </c>
      <c r="R794" s="1">
        <v>6.8180230282467802E-7</v>
      </c>
      <c r="S794">
        <v>2.80048219339842E-4</v>
      </c>
      <c r="T794">
        <v>-7.3302502740405797E-4</v>
      </c>
      <c r="U794">
        <v>2.1063434087025699</v>
      </c>
      <c r="V794" s="1">
        <v>9.7021467036416303E-15</v>
      </c>
      <c r="W794">
        <v>6.3053491863790303E-4</v>
      </c>
      <c r="X794">
        <v>2.4749712413613998</v>
      </c>
      <c r="Y794">
        <v>2.4165820548984598E-2</v>
      </c>
      <c r="Z794">
        <v>0.39209227287647003</v>
      </c>
      <c r="AA794">
        <v>4.3186153917972599E-2</v>
      </c>
      <c r="AB794" s="9">
        <f t="shared" si="107"/>
        <v>-0.65437394061281551</v>
      </c>
      <c r="AC794" s="9">
        <f t="shared" si="108"/>
        <v>-0.65660147941879354</v>
      </c>
      <c r="AD794" s="2">
        <f t="shared" si="109"/>
        <v>3.4040762746327946E-3</v>
      </c>
      <c r="AE794" s="8">
        <f t="shared" si="110"/>
        <v>0.11983780274976893</v>
      </c>
      <c r="AF794" s="2">
        <f t="shared" si="111"/>
        <v>-9.3191335485406923E-4</v>
      </c>
      <c r="AG794" s="8">
        <f t="shared" si="112"/>
        <v>0.120769716104623</v>
      </c>
      <c r="AH794" s="7">
        <f t="shared" si="113"/>
        <v>-7.7164489982468054E-3</v>
      </c>
      <c r="AI794">
        <f t="shared" si="114"/>
        <v>2</v>
      </c>
      <c r="AJ794" s="10">
        <f t="shared" si="115"/>
        <v>0.48307886441849202</v>
      </c>
    </row>
    <row r="795" spans="1:36" hidden="1" x14ac:dyDescent="0.25">
      <c r="A795" t="b">
        <v>0</v>
      </c>
      <c r="B795">
        <v>1000</v>
      </c>
      <c r="C795">
        <v>0.48307886441849202</v>
      </c>
      <c r="D795" t="s">
        <v>52</v>
      </c>
      <c r="E795" t="b">
        <v>1</v>
      </c>
      <c r="F795" t="s">
        <v>53</v>
      </c>
      <c r="G795">
        <v>7.4999999999999997E-2</v>
      </c>
      <c r="H795">
        <v>0.5</v>
      </c>
      <c r="I795">
        <v>1E-4</v>
      </c>
      <c r="J795" t="b">
        <v>1</v>
      </c>
      <c r="K795">
        <v>2</v>
      </c>
      <c r="L795">
        <v>1500</v>
      </c>
      <c r="M795">
        <v>0.5</v>
      </c>
      <c r="N795">
        <v>0.154</v>
      </c>
      <c r="O795" t="s">
        <v>369</v>
      </c>
      <c r="P795" t="s">
        <v>372</v>
      </c>
      <c r="Q795" s="1">
        <v>-6.0940226786169702E-6</v>
      </c>
      <c r="R795" s="1">
        <v>1.65473599333465E-6</v>
      </c>
      <c r="S795" s="1">
        <v>1.8679572710131101E-5</v>
      </c>
      <c r="T795" s="1">
        <v>-4.8905579276638403E-5</v>
      </c>
      <c r="U795">
        <v>2.1063434018309399</v>
      </c>
      <c r="V795" s="1">
        <v>2.5486269346113901E-15</v>
      </c>
      <c r="W795">
        <v>2.9650941223530899E-2</v>
      </c>
      <c r="X795">
        <v>2.1287516594357001</v>
      </c>
      <c r="Y795">
        <v>1.2218128244808999</v>
      </c>
      <c r="Z795">
        <v>2.5683954039754E-4</v>
      </c>
      <c r="AA795">
        <v>1.23241973489405</v>
      </c>
      <c r="AB795" s="9">
        <f t="shared" si="107"/>
        <v>-0.65453289584769048</v>
      </c>
      <c r="AC795" s="9">
        <f t="shared" si="108"/>
        <v>-0.65660147941879354</v>
      </c>
      <c r="AD795" s="2">
        <f t="shared" si="109"/>
        <v>3.1603966496198677E-3</v>
      </c>
      <c r="AE795" s="8">
        <f t="shared" si="110"/>
        <v>0.11990425192547725</v>
      </c>
      <c r="AF795" s="2">
        <f t="shared" si="111"/>
        <v>-8.6546417914575013E-4</v>
      </c>
      <c r="AG795" s="8">
        <f t="shared" si="112"/>
        <v>0.120769716104623</v>
      </c>
      <c r="AH795" s="7">
        <f t="shared" si="113"/>
        <v>-7.1662351048005866E-3</v>
      </c>
      <c r="AI795">
        <f t="shared" si="114"/>
        <v>2</v>
      </c>
      <c r="AJ795" s="10">
        <f t="shared" si="115"/>
        <v>0.48307886441849202</v>
      </c>
    </row>
    <row r="796" spans="1:36" hidden="1" x14ac:dyDescent="0.25">
      <c r="A796" t="b">
        <v>0</v>
      </c>
      <c r="B796">
        <v>1000</v>
      </c>
      <c r="C796">
        <v>0.48307886441849202</v>
      </c>
      <c r="D796" t="s">
        <v>52</v>
      </c>
      <c r="E796" t="b">
        <v>1</v>
      </c>
      <c r="F796" t="s">
        <v>53</v>
      </c>
      <c r="G796">
        <v>7.4999999999999997E-2</v>
      </c>
      <c r="H796">
        <v>0.5</v>
      </c>
      <c r="I796">
        <v>1E-4</v>
      </c>
      <c r="J796" t="b">
        <v>1</v>
      </c>
      <c r="K796">
        <v>2</v>
      </c>
      <c r="L796">
        <v>1500</v>
      </c>
      <c r="M796">
        <v>0.5</v>
      </c>
      <c r="N796">
        <v>0.154</v>
      </c>
      <c r="O796" t="s">
        <v>369</v>
      </c>
      <c r="P796" t="s">
        <v>373</v>
      </c>
      <c r="Q796" s="1">
        <v>-1E-10</v>
      </c>
      <c r="R796" s="1">
        <v>3.58578600647656E-12</v>
      </c>
      <c r="S796" s="1">
        <v>9.1973796121692199E-18</v>
      </c>
      <c r="T796" s="1">
        <v>-4.40275725328566E-16</v>
      </c>
      <c r="U796">
        <v>2.1063608154487099</v>
      </c>
      <c r="V796">
        <v>0</v>
      </c>
      <c r="W796">
        <v>6.8474549681731098E-2</v>
      </c>
      <c r="X796">
        <v>2</v>
      </c>
      <c r="Y796">
        <v>4.0005664970885202E-3</v>
      </c>
      <c r="Z796">
        <v>2.5000000000000001E-4</v>
      </c>
      <c r="AA796">
        <v>4.7933530808526199E-3</v>
      </c>
      <c r="AB796" s="9">
        <f t="shared" si="107"/>
        <v>-11.967422893636716</v>
      </c>
      <c r="AC796" s="9">
        <f t="shared" si="108"/>
        <v>-0.65660147941879354</v>
      </c>
      <c r="AD796" s="2">
        <f t="shared" si="109"/>
        <v>-0.94513426280206747</v>
      </c>
      <c r="AE796" s="8">
        <f t="shared" si="110"/>
        <v>-1.3474599121363049</v>
      </c>
      <c r="AF796" s="2">
        <f t="shared" si="111"/>
        <v>-1.468229628240928</v>
      </c>
      <c r="AG796" s="8">
        <f t="shared" si="112"/>
        <v>0.120769716104623</v>
      </c>
      <c r="AH796" s="7">
        <f t="shared" si="113"/>
        <v>-12.157266536662206</v>
      </c>
      <c r="AI796">
        <f t="shared" si="114"/>
        <v>2</v>
      </c>
      <c r="AJ796" s="10">
        <f t="shared" si="115"/>
        <v>0.48307886441849202</v>
      </c>
    </row>
    <row r="797" spans="1:36" hidden="1" x14ac:dyDescent="0.25">
      <c r="A797" t="b">
        <v>0</v>
      </c>
      <c r="B797">
        <v>1000</v>
      </c>
      <c r="C797">
        <v>0.48307886441849202</v>
      </c>
      <c r="D797" t="s">
        <v>52</v>
      </c>
      <c r="E797" t="b">
        <v>1</v>
      </c>
      <c r="F797" t="s">
        <v>53</v>
      </c>
      <c r="G797">
        <v>7.4999999999999997E-2</v>
      </c>
      <c r="H797">
        <v>0.5</v>
      </c>
      <c r="I797">
        <v>1E-4</v>
      </c>
      <c r="J797" t="b">
        <v>1</v>
      </c>
      <c r="K797">
        <v>2</v>
      </c>
      <c r="L797">
        <v>1500</v>
      </c>
      <c r="M797">
        <v>0.5</v>
      </c>
      <c r="N797">
        <v>0.154</v>
      </c>
      <c r="O797" t="s">
        <v>369</v>
      </c>
      <c r="P797" t="s">
        <v>374</v>
      </c>
      <c r="Q797" s="1">
        <v>-6.09402267868904E-6</v>
      </c>
      <c r="R797" s="1">
        <v>1.6705470881235199E-6</v>
      </c>
      <c r="S797" s="1">
        <v>1.8679572710128299E-5</v>
      </c>
      <c r="T797" s="1">
        <v>-4.8905579276701897E-5</v>
      </c>
      <c r="U797">
        <v>2.1063434017654501</v>
      </c>
      <c r="V797" s="1">
        <v>2.5495181602852501E-15</v>
      </c>
      <c r="W797">
        <v>2.93318513036235E-2</v>
      </c>
      <c r="X797">
        <v>2.1287516598123299</v>
      </c>
      <c r="Y797">
        <v>1.22534629707356</v>
      </c>
      <c r="Z797">
        <v>2.5683954044490598E-4</v>
      </c>
      <c r="AA797">
        <v>1.24416645503858</v>
      </c>
      <c r="AB797" s="9">
        <f t="shared" si="107"/>
        <v>-0.65453289584863839</v>
      </c>
      <c r="AC797" s="9">
        <f t="shared" si="108"/>
        <v>-0.65660147941879354</v>
      </c>
      <c r="AD797" s="2">
        <f t="shared" si="109"/>
        <v>3.1603966481670298E-3</v>
      </c>
      <c r="AE797" s="8">
        <f t="shared" si="110"/>
        <v>0.11990425192587349</v>
      </c>
      <c r="AF797" s="2">
        <f t="shared" si="111"/>
        <v>-8.6546417874951154E-4</v>
      </c>
      <c r="AG797" s="8">
        <f t="shared" si="112"/>
        <v>0.120769716104623</v>
      </c>
      <c r="AH797" s="7">
        <f t="shared" si="113"/>
        <v>-7.1662351015196434E-3</v>
      </c>
      <c r="AI797">
        <f t="shared" si="114"/>
        <v>2</v>
      </c>
      <c r="AJ797" s="10">
        <f t="shared" si="115"/>
        <v>0.48307886441849202</v>
      </c>
    </row>
    <row r="798" spans="1:36" hidden="1" x14ac:dyDescent="0.25">
      <c r="A798" t="b">
        <v>0</v>
      </c>
      <c r="B798">
        <v>1000</v>
      </c>
      <c r="C798">
        <v>0.48307886441849202</v>
      </c>
      <c r="D798" t="s">
        <v>52</v>
      </c>
      <c r="E798" t="b">
        <v>1</v>
      </c>
      <c r="F798" t="s">
        <v>53</v>
      </c>
      <c r="G798">
        <v>7.4999999999999997E-2</v>
      </c>
      <c r="H798">
        <v>0.5</v>
      </c>
      <c r="I798">
        <v>1E-4</v>
      </c>
      <c r="J798" t="b">
        <v>1</v>
      </c>
      <c r="K798">
        <v>2</v>
      </c>
      <c r="L798">
        <v>1500</v>
      </c>
      <c r="M798">
        <v>0.5</v>
      </c>
      <c r="N798">
        <v>0.154</v>
      </c>
      <c r="O798" t="s">
        <v>369</v>
      </c>
      <c r="P798" t="s">
        <v>375</v>
      </c>
      <c r="Q798" s="1">
        <v>-4.7137365798354497E-5</v>
      </c>
      <c r="R798" s="1">
        <v>4.6889338779333601E-6</v>
      </c>
      <c r="S798">
        <v>1.4935993178465801E-4</v>
      </c>
      <c r="T798">
        <v>-3.9093314954613301E-4</v>
      </c>
      <c r="U798">
        <v>2.10622160898787</v>
      </c>
      <c r="V798" s="1">
        <v>9.5693785303384706E-15</v>
      </c>
      <c r="W798">
        <v>9.3531069423786906E-3</v>
      </c>
      <c r="X798">
        <v>2.4153504490667501</v>
      </c>
      <c r="Y798">
        <v>0.30956446475791399</v>
      </c>
      <c r="Z798">
        <v>0.302809542778471</v>
      </c>
      <c r="AA798">
        <v>0.53629110996835005</v>
      </c>
      <c r="AB798" s="9">
        <f t="shared" si="107"/>
        <v>-0.65434742918496869</v>
      </c>
      <c r="AC798" s="9">
        <f t="shared" si="108"/>
        <v>-0.65660147941879354</v>
      </c>
      <c r="AD798" s="2">
        <f t="shared" si="109"/>
        <v>3.4447300215305621E-3</v>
      </c>
      <c r="AE798" s="8">
        <f t="shared" si="110"/>
        <v>0.11982672075823557</v>
      </c>
      <c r="AF798" s="2">
        <f t="shared" si="111"/>
        <v>-9.4299534638743465E-4</v>
      </c>
      <c r="AG798" s="8">
        <f t="shared" si="112"/>
        <v>0.120769716104623</v>
      </c>
      <c r="AH798" s="7">
        <f t="shared" si="113"/>
        <v>-7.8082103428190244E-3</v>
      </c>
      <c r="AI798">
        <f t="shared" si="114"/>
        <v>2</v>
      </c>
      <c r="AJ798" s="10">
        <f t="shared" si="115"/>
        <v>0.48307886441849202</v>
      </c>
    </row>
    <row r="799" spans="1:36" hidden="1" x14ac:dyDescent="0.25">
      <c r="A799" t="b">
        <v>0</v>
      </c>
      <c r="B799">
        <v>1000</v>
      </c>
      <c r="C799">
        <v>0.48307886441849202</v>
      </c>
      <c r="D799" t="s">
        <v>52</v>
      </c>
      <c r="E799" t="b">
        <v>1</v>
      </c>
      <c r="F799" t="s">
        <v>53</v>
      </c>
      <c r="G799">
        <v>7.4999999999999997E-2</v>
      </c>
      <c r="H799">
        <v>0.5</v>
      </c>
      <c r="I799">
        <v>1E-4</v>
      </c>
      <c r="J799" t="b">
        <v>1</v>
      </c>
      <c r="K799">
        <v>2</v>
      </c>
      <c r="L799">
        <v>1500</v>
      </c>
      <c r="M799">
        <v>0.5</v>
      </c>
      <c r="N799">
        <v>0.154</v>
      </c>
      <c r="O799" t="s">
        <v>370</v>
      </c>
      <c r="P799" t="s">
        <v>371</v>
      </c>
      <c r="Q799" s="1">
        <v>-6.09431320927317E-6</v>
      </c>
      <c r="R799" s="1">
        <v>1.6670769113952401E-6</v>
      </c>
      <c r="S799" s="1">
        <v>1.86805644402647E-5</v>
      </c>
      <c r="T799" s="1">
        <v>-4.8913624688954703E-5</v>
      </c>
      <c r="U799">
        <v>2.1065870002712299</v>
      </c>
      <c r="V799" s="1">
        <v>2.5500493156777398E-15</v>
      </c>
      <c r="W799">
        <v>2.9891732223401E-2</v>
      </c>
      <c r="X799">
        <v>2.1287570729816099</v>
      </c>
      <c r="Y799">
        <v>1.2237418571124099</v>
      </c>
      <c r="Z799">
        <v>2.5683848783179E-4</v>
      </c>
      <c r="AA799">
        <v>1.2415294974212701</v>
      </c>
      <c r="AB799" s="9">
        <f t="shared" si="107"/>
        <v>-0.65460581832747888</v>
      </c>
      <c r="AC799" s="9">
        <f t="shared" si="108"/>
        <v>-0.65660147941879354</v>
      </c>
      <c r="AD799" s="2">
        <f t="shared" si="109"/>
        <v>3.0486455137437307E-3</v>
      </c>
      <c r="AE799" s="8">
        <f t="shared" si="110"/>
        <v>0.11993473886179999</v>
      </c>
      <c r="AF799" s="2">
        <f t="shared" si="111"/>
        <v>-8.3497724282301233E-4</v>
      </c>
      <c r="AG799" s="8">
        <f t="shared" si="112"/>
        <v>0.120769716104623</v>
      </c>
      <c r="AH799" s="7">
        <f t="shared" si="113"/>
        <v>-6.9137965191511273E-3</v>
      </c>
      <c r="AI799">
        <f t="shared" si="114"/>
        <v>2</v>
      </c>
      <c r="AJ799" s="10">
        <f t="shared" si="115"/>
        <v>0.48307886441849202</v>
      </c>
    </row>
    <row r="800" spans="1:36" hidden="1" x14ac:dyDescent="0.25">
      <c r="A800" t="b">
        <v>0</v>
      </c>
      <c r="B800">
        <v>1000</v>
      </c>
      <c r="C800">
        <v>0.48307886441849202</v>
      </c>
      <c r="D800" t="s">
        <v>52</v>
      </c>
      <c r="E800" t="b">
        <v>1</v>
      </c>
      <c r="F800" t="s">
        <v>53</v>
      </c>
      <c r="G800">
        <v>7.4999999999999997E-2</v>
      </c>
      <c r="H800">
        <v>0.5</v>
      </c>
      <c r="I800">
        <v>1E-4</v>
      </c>
      <c r="J800" t="b">
        <v>1</v>
      </c>
      <c r="K800">
        <v>2</v>
      </c>
      <c r="L800">
        <v>1500</v>
      </c>
      <c r="M800">
        <v>0.5</v>
      </c>
      <c r="N800">
        <v>0.154</v>
      </c>
      <c r="O800" t="s">
        <v>370</v>
      </c>
      <c r="P800" t="s">
        <v>372</v>
      </c>
      <c r="Q800" s="1">
        <v>-4.7139287714290703E-5</v>
      </c>
      <c r="R800" s="1">
        <v>4.8311429475287402E-6</v>
      </c>
      <c r="S800">
        <v>1.4936786026530701E-4</v>
      </c>
      <c r="T800">
        <v>-3.9099745713428499E-4</v>
      </c>
      <c r="U800">
        <v>2.1064652015446201</v>
      </c>
      <c r="V800" s="1">
        <v>9.5706273238461398E-15</v>
      </c>
      <c r="W800">
        <v>9.6899606209820705E-3</v>
      </c>
      <c r="X800">
        <v>2.4153877726421</v>
      </c>
      <c r="Y800">
        <v>0.31634736062111501</v>
      </c>
      <c r="Z800">
        <v>0.30287916671855603</v>
      </c>
      <c r="AA800">
        <v>0.55302151224867002</v>
      </c>
      <c r="AB800" s="9">
        <f t="shared" si="107"/>
        <v>-0.65442032917890736</v>
      </c>
      <c r="AC800" s="9">
        <f t="shared" si="108"/>
        <v>-0.65660147941879354</v>
      </c>
      <c r="AD800" s="2">
        <f t="shared" si="109"/>
        <v>3.3329500057293071E-3</v>
      </c>
      <c r="AE800" s="8">
        <f t="shared" si="110"/>
        <v>0.11985719407372925</v>
      </c>
      <c r="AF800" s="2">
        <f t="shared" si="111"/>
        <v>-9.1252203089375872E-4</v>
      </c>
      <c r="AG800" s="8">
        <f t="shared" si="112"/>
        <v>0.120769716104623</v>
      </c>
      <c r="AH800" s="7">
        <f t="shared" si="113"/>
        <v>-7.5558845406512292E-3</v>
      </c>
      <c r="AI800">
        <f t="shared" si="114"/>
        <v>2</v>
      </c>
      <c r="AJ800" s="10">
        <f t="shared" si="115"/>
        <v>0.48307886441849202</v>
      </c>
    </row>
    <row r="801" spans="1:36" hidden="1" x14ac:dyDescent="0.25">
      <c r="A801" t="b">
        <v>0</v>
      </c>
      <c r="B801">
        <v>1000</v>
      </c>
      <c r="C801">
        <v>0.48307886441849202</v>
      </c>
      <c r="D801" t="s">
        <v>52</v>
      </c>
      <c r="E801" t="b">
        <v>1</v>
      </c>
      <c r="F801" t="s">
        <v>53</v>
      </c>
      <c r="G801">
        <v>7.4999999999999997E-2</v>
      </c>
      <c r="H801">
        <v>0.5</v>
      </c>
      <c r="I801">
        <v>1E-4</v>
      </c>
      <c r="J801" t="b">
        <v>1</v>
      </c>
      <c r="K801">
        <v>2</v>
      </c>
      <c r="L801">
        <v>1500</v>
      </c>
      <c r="M801">
        <v>0.5</v>
      </c>
      <c r="N801">
        <v>0.154</v>
      </c>
      <c r="O801" t="s">
        <v>370</v>
      </c>
      <c r="P801" t="s">
        <v>373</v>
      </c>
      <c r="Q801" s="1">
        <v>-4.1244280343447797E-5</v>
      </c>
      <c r="R801" s="1">
        <v>4.2215219797483303E-6</v>
      </c>
      <c r="S801">
        <v>1.30688287555188E-4</v>
      </c>
      <c r="T801">
        <v>-3.4209187785830503E-4</v>
      </c>
      <c r="U801">
        <v>2.1064826151623999</v>
      </c>
      <c r="V801" s="1">
        <v>9.5677407288738808E-15</v>
      </c>
      <c r="W801">
        <v>9.3770860907622499E-3</v>
      </c>
      <c r="X801">
        <v>2.4153799269012799</v>
      </c>
      <c r="Y801">
        <v>0.31987018126311201</v>
      </c>
      <c r="Z801">
        <v>0.30286357757231702</v>
      </c>
      <c r="AA801">
        <v>0.55115000528693903</v>
      </c>
      <c r="AB801" s="9">
        <f t="shared" si="107"/>
        <v>-0.65440423977137963</v>
      </c>
      <c r="AC801" s="9">
        <f t="shared" si="108"/>
        <v>-0.65660147941879354</v>
      </c>
      <c r="AD801" s="2">
        <f t="shared" si="109"/>
        <v>3.3576182944377031E-3</v>
      </c>
      <c r="AE801" s="8">
        <f t="shared" si="110"/>
        <v>0.11985046831200168</v>
      </c>
      <c r="AF801" s="2">
        <f t="shared" si="111"/>
        <v>-9.1924779262132772E-4</v>
      </c>
      <c r="AG801" s="8">
        <f t="shared" si="112"/>
        <v>0.120769716104623</v>
      </c>
      <c r="AH801" s="7">
        <f t="shared" si="113"/>
        <v>-7.6115753375207229E-3</v>
      </c>
      <c r="AI801">
        <f t="shared" si="114"/>
        <v>2</v>
      </c>
      <c r="AJ801" s="10">
        <f t="shared" si="115"/>
        <v>0.48307886441849202</v>
      </c>
    </row>
    <row r="802" spans="1:36" hidden="1" x14ac:dyDescent="0.25">
      <c r="A802" t="b">
        <v>0</v>
      </c>
      <c r="B802">
        <v>1000</v>
      </c>
      <c r="C802">
        <v>0.48307886441849202</v>
      </c>
      <c r="D802" t="s">
        <v>52</v>
      </c>
      <c r="E802" t="b">
        <v>1</v>
      </c>
      <c r="F802" t="s">
        <v>53</v>
      </c>
      <c r="G802">
        <v>7.4999999999999997E-2</v>
      </c>
      <c r="H802">
        <v>0.5</v>
      </c>
      <c r="I802">
        <v>1E-4</v>
      </c>
      <c r="J802" t="b">
        <v>1</v>
      </c>
      <c r="K802">
        <v>2</v>
      </c>
      <c r="L802">
        <v>1500</v>
      </c>
      <c r="M802">
        <v>0.5</v>
      </c>
      <c r="N802">
        <v>0.154</v>
      </c>
      <c r="O802" t="s">
        <v>370</v>
      </c>
      <c r="P802" t="s">
        <v>374</v>
      </c>
      <c r="Q802" s="1">
        <v>-4.71392875298634E-5</v>
      </c>
      <c r="R802" s="1">
        <v>4.8471934197864302E-6</v>
      </c>
      <c r="S802">
        <v>1.49367860265305E-4</v>
      </c>
      <c r="T802">
        <v>-3.9099745713434998E-4</v>
      </c>
      <c r="U802">
        <v>2.1064652014791299</v>
      </c>
      <c r="V802" s="1">
        <v>9.5612344573982004E-15</v>
      </c>
      <c r="W802">
        <v>9.6425675362963401E-3</v>
      </c>
      <c r="X802">
        <v>2.4153877284645802</v>
      </c>
      <c r="Y802">
        <v>0.31824953539173301</v>
      </c>
      <c r="Z802">
        <v>0.30287917412761201</v>
      </c>
      <c r="AA802">
        <v>0.55459105294568101</v>
      </c>
      <c r="AB802" s="9">
        <f t="shared" si="107"/>
        <v>-0.65442032917902493</v>
      </c>
      <c r="AC802" s="9">
        <f t="shared" si="108"/>
        <v>-0.65660147941879354</v>
      </c>
      <c r="AD802" s="2">
        <f t="shared" si="109"/>
        <v>3.3329500055490069E-3</v>
      </c>
      <c r="AE802" s="8">
        <f t="shared" si="110"/>
        <v>0.11985719407377837</v>
      </c>
      <c r="AF802" s="2">
        <f t="shared" si="111"/>
        <v>-9.1252203084463135E-4</v>
      </c>
      <c r="AG802" s="8">
        <f t="shared" si="112"/>
        <v>0.120769716104623</v>
      </c>
      <c r="AH802" s="7">
        <f t="shared" si="113"/>
        <v>-7.5558845402444435E-3</v>
      </c>
      <c r="AI802">
        <f t="shared" si="114"/>
        <v>2</v>
      </c>
      <c r="AJ802" s="10">
        <f t="shared" si="115"/>
        <v>0.48307886441849202</v>
      </c>
    </row>
    <row r="803" spans="1:36" hidden="1" x14ac:dyDescent="0.25">
      <c r="A803" t="b">
        <v>0</v>
      </c>
      <c r="B803">
        <v>1000</v>
      </c>
      <c r="C803">
        <v>0.48307886441849202</v>
      </c>
      <c r="D803" t="s">
        <v>52</v>
      </c>
      <c r="E803" t="b">
        <v>1</v>
      </c>
      <c r="F803" t="s">
        <v>53</v>
      </c>
      <c r="G803">
        <v>7.4999999999999997E-2</v>
      </c>
      <c r="H803">
        <v>0.5</v>
      </c>
      <c r="I803">
        <v>1E-4</v>
      </c>
      <c r="J803" t="b">
        <v>1</v>
      </c>
      <c r="K803">
        <v>2</v>
      </c>
      <c r="L803">
        <v>1500</v>
      </c>
      <c r="M803">
        <v>0.5</v>
      </c>
      <c r="N803">
        <v>0.154</v>
      </c>
      <c r="O803" t="s">
        <v>370</v>
      </c>
      <c r="P803" t="s">
        <v>375</v>
      </c>
      <c r="Q803" s="1">
        <v>-8.7757279495366704E-5</v>
      </c>
      <c r="R803" s="1">
        <v>6.8366299617984101E-7</v>
      </c>
      <c r="S803">
        <v>2.80048219339842E-4</v>
      </c>
      <c r="T803">
        <v>-7.3302502740414405E-4</v>
      </c>
      <c r="U803">
        <v>2.1063434087015498</v>
      </c>
      <c r="V803" s="1">
        <v>9.6985121777315298E-15</v>
      </c>
      <c r="W803">
        <v>6.2155805948467698E-4</v>
      </c>
      <c r="X803">
        <v>2.47497132325188</v>
      </c>
      <c r="Y803">
        <v>2.43762814057874E-2</v>
      </c>
      <c r="Z803">
        <v>0.39209217276244601</v>
      </c>
      <c r="AA803">
        <v>4.3249963932417403E-2</v>
      </c>
      <c r="AB803" s="9">
        <f t="shared" si="107"/>
        <v>-0.65437394061289234</v>
      </c>
      <c r="AC803" s="9">
        <f t="shared" si="108"/>
        <v>-0.65660147941879354</v>
      </c>
      <c r="AD803" s="2">
        <f t="shared" si="109"/>
        <v>3.4040762745148889E-3</v>
      </c>
      <c r="AE803" s="8">
        <f t="shared" si="110"/>
        <v>0.11983780274980103</v>
      </c>
      <c r="AF803" s="2">
        <f t="shared" si="111"/>
        <v>-9.3191335482196991E-4</v>
      </c>
      <c r="AG803" s="8">
        <f t="shared" si="112"/>
        <v>0.120769716104623</v>
      </c>
      <c r="AH803" s="7">
        <f t="shared" si="113"/>
        <v>-7.7164489979810154E-3</v>
      </c>
      <c r="AI803">
        <f t="shared" si="114"/>
        <v>2</v>
      </c>
      <c r="AJ803" s="10">
        <f t="shared" si="115"/>
        <v>0.48307886441849202</v>
      </c>
    </row>
    <row r="804" spans="1:36" hidden="1" x14ac:dyDescent="0.25">
      <c r="A804" t="b">
        <v>0</v>
      </c>
      <c r="B804">
        <v>1000</v>
      </c>
      <c r="C804">
        <v>0.48307886441849202</v>
      </c>
      <c r="D804" t="s">
        <v>52</v>
      </c>
      <c r="E804" t="b">
        <v>1</v>
      </c>
      <c r="F804" t="s">
        <v>53</v>
      </c>
      <c r="G804">
        <v>7.4999999999999997E-2</v>
      </c>
      <c r="H804">
        <v>0.5</v>
      </c>
      <c r="I804">
        <v>1E-4</v>
      </c>
      <c r="J804" t="b">
        <v>1</v>
      </c>
      <c r="K804">
        <v>2</v>
      </c>
      <c r="L804">
        <v>1500</v>
      </c>
      <c r="M804">
        <v>0.5</v>
      </c>
      <c r="N804">
        <v>0.154</v>
      </c>
      <c r="O804" t="s">
        <v>371</v>
      </c>
      <c r="P804" t="s">
        <v>372</v>
      </c>
      <c r="Q804" s="1">
        <v>-4.1244039925673201E-5</v>
      </c>
      <c r="R804" s="1">
        <v>4.2102263233030504E-6</v>
      </c>
      <c r="S804">
        <v>1.3068729582503999E-4</v>
      </c>
      <c r="T804">
        <v>-3.4208383244540099E-4</v>
      </c>
      <c r="U804">
        <v>2.1064477869718998</v>
      </c>
      <c r="V804" s="1">
        <v>9.5693697702879804E-15</v>
      </c>
      <c r="W804">
        <v>9.5554137379448793E-3</v>
      </c>
      <c r="X804">
        <v>2.4153745958563899</v>
      </c>
      <c r="Y804">
        <v>0.31662512739779203</v>
      </c>
      <c r="Z804">
        <v>0.30285362600559401</v>
      </c>
      <c r="AA804">
        <v>0.55041815305608099</v>
      </c>
      <c r="AB804" s="9">
        <f t="shared" ref="AB804:AB867" si="116">T804/S804/K804^2</f>
        <v>-0.65439381518646611</v>
      </c>
      <c r="AC804" s="9">
        <f t="shared" ref="AC804:AC867" si="117">(1+10*C804/K804^2)/(-3-3*C804/K804^2)</f>
        <v>-0.65660147941879354</v>
      </c>
      <c r="AD804" s="2">
        <f t="shared" ref="AD804:AD867" si="118">(AC804/AB804-1)</f>
        <v>3.3736019214949398E-3</v>
      </c>
      <c r="AE804" s="8">
        <f t="shared" ref="AE804:AE867" si="119">-(1+3*AB804)/(10+3*AB804)</f>
        <v>0.11984611062635095</v>
      </c>
      <c r="AF804" s="2">
        <f t="shared" ref="AF804:AF867" si="120">(AE804-C804/K804^2)</f>
        <v>-9.2360547827205486E-4</v>
      </c>
      <c r="AG804" s="8">
        <f t="shared" ref="AG804:AG867" si="121">C804/K804^2</f>
        <v>0.120769716104623</v>
      </c>
      <c r="AH804" s="7">
        <f t="shared" ref="AH804:AH867" si="122">AF804/AG804</f>
        <v>-7.6476579399419467E-3</v>
      </c>
      <c r="AI804">
        <f t="shared" ref="AI804:AI867" si="123">K804</f>
        <v>2</v>
      </c>
      <c r="AJ804" s="10">
        <f t="shared" ref="AJ804:AJ867" si="124">C804</f>
        <v>0.48307886441849202</v>
      </c>
    </row>
    <row r="805" spans="1:36" hidden="1" x14ac:dyDescent="0.25">
      <c r="A805" t="b">
        <v>0</v>
      </c>
      <c r="B805">
        <v>1000</v>
      </c>
      <c r="C805">
        <v>0.48307886441849202</v>
      </c>
      <c r="D805" t="s">
        <v>52</v>
      </c>
      <c r="E805" t="b">
        <v>1</v>
      </c>
      <c r="F805" t="s">
        <v>53</v>
      </c>
      <c r="G805">
        <v>7.4999999999999997E-2</v>
      </c>
      <c r="H805">
        <v>0.5</v>
      </c>
      <c r="I805">
        <v>1E-4</v>
      </c>
      <c r="J805" t="b">
        <v>1</v>
      </c>
      <c r="K805">
        <v>2</v>
      </c>
      <c r="L805">
        <v>1500</v>
      </c>
      <c r="M805">
        <v>0.5</v>
      </c>
      <c r="N805">
        <v>0.154</v>
      </c>
      <c r="O805" t="s">
        <v>371</v>
      </c>
      <c r="P805" t="s">
        <v>373</v>
      </c>
      <c r="Q805" s="1">
        <v>-3.5349032401631498E-5</v>
      </c>
      <c r="R805" s="1">
        <v>4.0450339322258199E-6</v>
      </c>
      <c r="S805">
        <v>1.12007723114921E-4</v>
      </c>
      <c r="T805">
        <v>-2.9317825316938401E-4</v>
      </c>
      <c r="U805">
        <v>2.10646520058968</v>
      </c>
      <c r="V805" s="1">
        <v>9.5656151771952803E-15</v>
      </c>
      <c r="W805">
        <v>1.10722775502536E-2</v>
      </c>
      <c r="X805">
        <v>2.4153632181873999</v>
      </c>
      <c r="Y805">
        <v>0.34269385513134898</v>
      </c>
      <c r="Z805">
        <v>0.30283118650457702</v>
      </c>
      <c r="AA805">
        <v>0.61958234979195104</v>
      </c>
      <c r="AB805" s="9">
        <f t="shared" si="116"/>
        <v>-0.65437062065037321</v>
      </c>
      <c r="AC805" s="9">
        <f t="shared" si="117"/>
        <v>-0.65660147941879354</v>
      </c>
      <c r="AD805" s="2">
        <f t="shared" si="118"/>
        <v>3.4091670652987016E-3</v>
      </c>
      <c r="AE805" s="8">
        <f t="shared" si="119"/>
        <v>0.11983641496656874</v>
      </c>
      <c r="AF805" s="2">
        <f t="shared" si="120"/>
        <v>-9.3330113805425996E-4</v>
      </c>
      <c r="AG805" s="8">
        <f t="shared" si="121"/>
        <v>0.120769716104623</v>
      </c>
      <c r="AH805" s="7">
        <f t="shared" si="122"/>
        <v>-7.72794015054022E-3</v>
      </c>
      <c r="AI805">
        <f t="shared" si="123"/>
        <v>2</v>
      </c>
      <c r="AJ805" s="10">
        <f t="shared" si="124"/>
        <v>0.48307886441849202</v>
      </c>
    </row>
    <row r="806" spans="1:36" hidden="1" x14ac:dyDescent="0.25">
      <c r="A806" t="b">
        <v>0</v>
      </c>
      <c r="B806">
        <v>1000</v>
      </c>
      <c r="C806">
        <v>0.48307886441849202</v>
      </c>
      <c r="D806" t="s">
        <v>52</v>
      </c>
      <c r="E806" t="b">
        <v>1</v>
      </c>
      <c r="F806" t="s">
        <v>53</v>
      </c>
      <c r="G806">
        <v>7.4999999999999997E-2</v>
      </c>
      <c r="H806">
        <v>0.5</v>
      </c>
      <c r="I806">
        <v>1E-4</v>
      </c>
      <c r="J806" t="b">
        <v>1</v>
      </c>
      <c r="K806">
        <v>2</v>
      </c>
      <c r="L806">
        <v>1500</v>
      </c>
      <c r="M806">
        <v>0.5</v>
      </c>
      <c r="N806">
        <v>0.154</v>
      </c>
      <c r="O806" t="s">
        <v>371</v>
      </c>
      <c r="P806" t="s">
        <v>374</v>
      </c>
      <c r="Q806" s="1">
        <v>-4.12440397988607E-5</v>
      </c>
      <c r="R806" s="1">
        <v>4.2121241797883501E-6</v>
      </c>
      <c r="S806">
        <v>1.3068729582503601E-4</v>
      </c>
      <c r="T806">
        <v>-3.4208383244540397E-4</v>
      </c>
      <c r="U806">
        <v>2.10644778690641</v>
      </c>
      <c r="V806" s="1">
        <v>9.5629268374789496E-15</v>
      </c>
      <c r="W806">
        <v>9.6417370338717293E-3</v>
      </c>
      <c r="X806">
        <v>2.4153745437204099</v>
      </c>
      <c r="Y806">
        <v>0.31567661888566101</v>
      </c>
      <c r="Z806">
        <v>0.30285363212562899</v>
      </c>
      <c r="AA806">
        <v>0.55098566001376703</v>
      </c>
      <c r="AB806" s="9">
        <f t="shared" si="116"/>
        <v>-0.65439381518649176</v>
      </c>
      <c r="AC806" s="9">
        <f t="shared" si="117"/>
        <v>-0.65660147941879354</v>
      </c>
      <c r="AD806" s="2">
        <f t="shared" si="118"/>
        <v>3.3736019214556379E-3</v>
      </c>
      <c r="AE806" s="8">
        <f t="shared" si="119"/>
        <v>0.11984611062636165</v>
      </c>
      <c r="AF806" s="2">
        <f t="shared" si="120"/>
        <v>-9.2360547826135508E-4</v>
      </c>
      <c r="AG806" s="8">
        <f t="shared" si="121"/>
        <v>0.120769716104623</v>
      </c>
      <c r="AH806" s="7">
        <f t="shared" si="122"/>
        <v>-7.6476579398533501E-3</v>
      </c>
      <c r="AI806">
        <f t="shared" si="123"/>
        <v>2</v>
      </c>
      <c r="AJ806" s="10">
        <f t="shared" si="124"/>
        <v>0.48307886441849202</v>
      </c>
    </row>
    <row r="807" spans="1:36" hidden="1" x14ac:dyDescent="0.25">
      <c r="A807" t="b">
        <v>0</v>
      </c>
      <c r="B807">
        <v>1000</v>
      </c>
      <c r="C807">
        <v>0.48307886441849202</v>
      </c>
      <c r="D807" t="s">
        <v>52</v>
      </c>
      <c r="E807" t="b">
        <v>1</v>
      </c>
      <c r="F807" t="s">
        <v>53</v>
      </c>
      <c r="G807">
        <v>7.4999999999999997E-2</v>
      </c>
      <c r="H807">
        <v>0.5</v>
      </c>
      <c r="I807">
        <v>1E-4</v>
      </c>
      <c r="J807" t="b">
        <v>1</v>
      </c>
      <c r="K807">
        <v>2</v>
      </c>
      <c r="L807">
        <v>1500</v>
      </c>
      <c r="M807">
        <v>0.5</v>
      </c>
      <c r="N807">
        <v>0.154</v>
      </c>
      <c r="O807" t="s">
        <v>371</v>
      </c>
      <c r="P807" t="s">
        <v>375</v>
      </c>
      <c r="Q807" s="1">
        <v>-8.1903661628395698E-5</v>
      </c>
      <c r="R807" s="1">
        <v>6.7391419195408895E-7</v>
      </c>
      <c r="S807">
        <v>2.6136765489957297E-4</v>
      </c>
      <c r="T807">
        <v>-6.8411140271508496E-4</v>
      </c>
      <c r="U807">
        <v>2.1063259941288299</v>
      </c>
      <c r="V807" s="1">
        <v>9.6992045172781604E-15</v>
      </c>
      <c r="W807">
        <v>6.7559922753723204E-4</v>
      </c>
      <c r="X807">
        <v>2.47495096060134</v>
      </c>
      <c r="Y807">
        <v>2.5294098141149898E-2</v>
      </c>
      <c r="Z807">
        <v>0.392068351252707</v>
      </c>
      <c r="AA807">
        <v>4.5812610369368199E-2</v>
      </c>
      <c r="AB807" s="9">
        <f t="shared" si="116"/>
        <v>-0.65435736776414211</v>
      </c>
      <c r="AC807" s="9">
        <f t="shared" si="117"/>
        <v>-0.65660147941879354</v>
      </c>
      <c r="AD807" s="2">
        <f t="shared" si="118"/>
        <v>3.4294893970847617E-3</v>
      </c>
      <c r="AE807" s="8">
        <f t="shared" si="119"/>
        <v>0.11983087513911386</v>
      </c>
      <c r="AF807" s="2">
        <f t="shared" si="120"/>
        <v>-9.388409655091412E-4</v>
      </c>
      <c r="AG807" s="8">
        <f t="shared" si="121"/>
        <v>0.120769716104623</v>
      </c>
      <c r="AH807" s="7">
        <f t="shared" si="122"/>
        <v>-7.7738111489458308E-3</v>
      </c>
      <c r="AI807">
        <f t="shared" si="123"/>
        <v>2</v>
      </c>
      <c r="AJ807" s="10">
        <f t="shared" si="124"/>
        <v>0.48307886441849202</v>
      </c>
    </row>
    <row r="808" spans="1:36" hidden="1" x14ac:dyDescent="0.25">
      <c r="A808" t="b">
        <v>0</v>
      </c>
      <c r="B808">
        <v>1000</v>
      </c>
      <c r="C808">
        <v>0.48307886441849202</v>
      </c>
      <c r="D808" t="s">
        <v>52</v>
      </c>
      <c r="E808" t="b">
        <v>1</v>
      </c>
      <c r="F808" t="s">
        <v>53</v>
      </c>
      <c r="G808">
        <v>7.4999999999999997E-2</v>
      </c>
      <c r="H808">
        <v>0.5</v>
      </c>
      <c r="I808">
        <v>1E-4</v>
      </c>
      <c r="J808" t="b">
        <v>1</v>
      </c>
      <c r="K808">
        <v>2</v>
      </c>
      <c r="L808">
        <v>1500</v>
      </c>
      <c r="M808">
        <v>0.5</v>
      </c>
      <c r="N808">
        <v>0.154</v>
      </c>
      <c r="O808" t="s">
        <v>372</v>
      </c>
      <c r="P808" t="s">
        <v>375</v>
      </c>
      <c r="Q808" s="1">
        <v>-4.1242358402167498E-5</v>
      </c>
      <c r="R808" s="1">
        <v>4.3323554795305198E-6</v>
      </c>
      <c r="S808">
        <v>1.3068035907453E-4</v>
      </c>
      <c r="T808">
        <v>-3.42027570269571E-4</v>
      </c>
      <c r="U808">
        <v>2.1062041954022201</v>
      </c>
      <c r="V808" s="1">
        <v>9.5691616456077297E-15</v>
      </c>
      <c r="W808">
        <v>9.7733419803441093E-3</v>
      </c>
      <c r="X808">
        <v>2.4153372718132</v>
      </c>
      <c r="Y808">
        <v>0.32464178014487199</v>
      </c>
      <c r="Z808">
        <v>0.30278400765913199</v>
      </c>
      <c r="AA808">
        <v>0.56646251324762698</v>
      </c>
      <c r="AB808" s="9">
        <f t="shared" si="116"/>
        <v>-0.65432091840692153</v>
      </c>
      <c r="AC808" s="9">
        <f t="shared" si="117"/>
        <v>-0.65660147941879354</v>
      </c>
      <c r="AD808" s="2">
        <f t="shared" si="118"/>
        <v>3.4853860662509284E-3</v>
      </c>
      <c r="AE808" s="8">
        <f t="shared" si="119"/>
        <v>0.11981563925764982</v>
      </c>
      <c r="AF808" s="2">
        <f t="shared" si="120"/>
        <v>-9.5407684697318418E-4</v>
      </c>
      <c r="AG808" s="8">
        <f t="shared" si="121"/>
        <v>0.120769716104623</v>
      </c>
      <c r="AH808" s="7">
        <f t="shared" si="122"/>
        <v>-7.899967622236239E-3</v>
      </c>
      <c r="AI808">
        <f t="shared" si="123"/>
        <v>2</v>
      </c>
      <c r="AJ808" s="10">
        <f t="shared" si="124"/>
        <v>0.48307886441849202</v>
      </c>
    </row>
    <row r="809" spans="1:36" hidden="1" x14ac:dyDescent="0.25">
      <c r="A809" t="b">
        <v>0</v>
      </c>
      <c r="B809">
        <v>1000</v>
      </c>
      <c r="C809">
        <v>0.48307886441849202</v>
      </c>
      <c r="D809" t="s">
        <v>52</v>
      </c>
      <c r="E809" t="b">
        <v>1</v>
      </c>
      <c r="F809" t="s">
        <v>53</v>
      </c>
      <c r="G809">
        <v>7.4999999999999997E-2</v>
      </c>
      <c r="H809">
        <v>0.5</v>
      </c>
      <c r="I809">
        <v>1E-4</v>
      </c>
      <c r="J809" t="b">
        <v>1</v>
      </c>
      <c r="K809">
        <v>2</v>
      </c>
      <c r="L809">
        <v>1500</v>
      </c>
      <c r="M809">
        <v>0.5</v>
      </c>
      <c r="N809">
        <v>0.154</v>
      </c>
      <c r="O809" t="s">
        <v>373</v>
      </c>
      <c r="P809" t="s">
        <v>374</v>
      </c>
      <c r="Q809" s="1">
        <v>-6.09402267868883E-6</v>
      </c>
      <c r="R809" s="1">
        <v>1.6843495001713301E-6</v>
      </c>
      <c r="S809" s="1">
        <v>1.8679572710115801E-5</v>
      </c>
      <c r="T809" s="1">
        <v>-4.8905579276020903E-5</v>
      </c>
      <c r="U809">
        <v>2.1063434017975702</v>
      </c>
      <c r="V809" s="1">
        <v>2.5495181589564601E-15</v>
      </c>
      <c r="W809">
        <v>2.9748917018799999E-2</v>
      </c>
      <c r="X809">
        <v>2.1287516598099199</v>
      </c>
      <c r="Y809">
        <v>1.2274651399733201</v>
      </c>
      <c r="Z809">
        <v>2.5683954044453702E-4</v>
      </c>
      <c r="AA809">
        <v>1.25441196519597</v>
      </c>
      <c r="AB809" s="9">
        <f t="shared" si="116"/>
        <v>-0.65453289583996221</v>
      </c>
      <c r="AC809" s="9">
        <f t="shared" si="117"/>
        <v>-0.65660147941879354</v>
      </c>
      <c r="AD809" s="2">
        <f t="shared" si="118"/>
        <v>3.1603966614646151E-3</v>
      </c>
      <c r="AE809" s="8">
        <f t="shared" si="119"/>
        <v>0.11990425192224634</v>
      </c>
      <c r="AF809" s="2">
        <f t="shared" si="120"/>
        <v>-8.6546418237666567E-4</v>
      </c>
      <c r="AG809" s="8">
        <f t="shared" si="121"/>
        <v>0.120769716104623</v>
      </c>
      <c r="AH809" s="7">
        <f t="shared" si="122"/>
        <v>-7.166235131553283E-3</v>
      </c>
      <c r="AI809">
        <f t="shared" si="123"/>
        <v>2</v>
      </c>
      <c r="AJ809" s="10">
        <f t="shared" si="124"/>
        <v>0.48307886441849202</v>
      </c>
    </row>
    <row r="810" spans="1:36" hidden="1" x14ac:dyDescent="0.25">
      <c r="A810" t="b">
        <v>0</v>
      </c>
      <c r="B810">
        <v>1000</v>
      </c>
      <c r="C810">
        <v>0.48307886441849202</v>
      </c>
      <c r="D810" t="s">
        <v>52</v>
      </c>
      <c r="E810" t="b">
        <v>1</v>
      </c>
      <c r="F810" t="s">
        <v>53</v>
      </c>
      <c r="G810">
        <v>7.4999999999999997E-2</v>
      </c>
      <c r="H810">
        <v>0.5</v>
      </c>
      <c r="I810">
        <v>1E-4</v>
      </c>
      <c r="J810" t="b">
        <v>1</v>
      </c>
      <c r="K810">
        <v>2</v>
      </c>
      <c r="L810">
        <v>1500</v>
      </c>
      <c r="M810">
        <v>0.5</v>
      </c>
      <c r="N810">
        <v>0.154</v>
      </c>
      <c r="O810" t="s">
        <v>373</v>
      </c>
      <c r="P810" t="s">
        <v>375</v>
      </c>
      <c r="Q810" s="1">
        <v>-4.7137365813588303E-5</v>
      </c>
      <c r="R810" s="1">
        <v>4.6854164050521401E-6</v>
      </c>
      <c r="S810">
        <v>1.4935993178464801E-4</v>
      </c>
      <c r="T810">
        <v>-3.9093314954563899E-4</v>
      </c>
      <c r="U810">
        <v>2.1062216090199901</v>
      </c>
      <c r="V810" s="1">
        <v>9.5675627939272706E-15</v>
      </c>
      <c r="W810">
        <v>9.3335109027428195E-3</v>
      </c>
      <c r="X810">
        <v>2.4153504448943002</v>
      </c>
      <c r="Y810">
        <v>0.30955852851593502</v>
      </c>
      <c r="Z810">
        <v>0.30280954291745199</v>
      </c>
      <c r="AA810">
        <v>0.53580915345606195</v>
      </c>
      <c r="AB810" s="9">
        <f t="shared" si="116"/>
        <v>-0.65434742918418554</v>
      </c>
      <c r="AC810" s="9">
        <f t="shared" si="117"/>
        <v>-0.65660147941879354</v>
      </c>
      <c r="AD810" s="2">
        <f t="shared" si="118"/>
        <v>3.4447300227316013E-3</v>
      </c>
      <c r="AE810" s="8">
        <f t="shared" si="119"/>
        <v>0.11982672075790823</v>
      </c>
      <c r="AF810" s="2">
        <f t="shared" si="120"/>
        <v>-9.4299534671477003E-4</v>
      </c>
      <c r="AG810" s="8">
        <f t="shared" si="121"/>
        <v>0.120769716104623</v>
      </c>
      <c r="AH810" s="7">
        <f t="shared" si="122"/>
        <v>-7.8082103455294344E-3</v>
      </c>
      <c r="AI810">
        <f t="shared" si="123"/>
        <v>2</v>
      </c>
      <c r="AJ810" s="10">
        <f t="shared" si="124"/>
        <v>0.48307886441849202</v>
      </c>
    </row>
    <row r="811" spans="1:36" hidden="1" x14ac:dyDescent="0.25">
      <c r="A811" t="b">
        <v>0</v>
      </c>
      <c r="B811">
        <v>1000</v>
      </c>
      <c r="C811">
        <v>0.48307886441849202</v>
      </c>
      <c r="D811" t="s">
        <v>52</v>
      </c>
      <c r="E811" t="b">
        <v>1</v>
      </c>
      <c r="F811" t="s">
        <v>53</v>
      </c>
      <c r="G811">
        <v>7.4999999999999997E-2</v>
      </c>
      <c r="H811">
        <v>0.5</v>
      </c>
      <c r="I811">
        <v>1E-4</v>
      </c>
      <c r="J811" t="b">
        <v>1</v>
      </c>
      <c r="K811">
        <v>2</v>
      </c>
      <c r="L811">
        <v>1500</v>
      </c>
      <c r="M811">
        <v>0.5</v>
      </c>
      <c r="N811">
        <v>0.154</v>
      </c>
      <c r="O811" t="s">
        <v>374</v>
      </c>
      <c r="P811" t="s">
        <v>375</v>
      </c>
      <c r="Q811" s="1">
        <v>-4.1242358280390303E-5</v>
      </c>
      <c r="R811" s="1">
        <v>4.24183034152361E-6</v>
      </c>
      <c r="S811">
        <v>1.3068035907453401E-4</v>
      </c>
      <c r="T811">
        <v>-3.42027570269602E-4</v>
      </c>
      <c r="U811">
        <v>2.1062041953367299</v>
      </c>
      <c r="V811" s="1">
        <v>9.5685489916507307E-15</v>
      </c>
      <c r="W811">
        <v>9.5406440160768196E-3</v>
      </c>
      <c r="X811">
        <v>2.4153372366666401</v>
      </c>
      <c r="Y811">
        <v>0.31954388469995798</v>
      </c>
      <c r="Z811">
        <v>0.30278401328161397</v>
      </c>
      <c r="AA811">
        <v>0.55431583663666595</v>
      </c>
      <c r="AB811" s="9">
        <f t="shared" si="116"/>
        <v>-0.65432091840696072</v>
      </c>
      <c r="AC811" s="9">
        <f t="shared" si="117"/>
        <v>-0.65660147941879354</v>
      </c>
      <c r="AD811" s="2">
        <f t="shared" si="118"/>
        <v>3.4853860661907543E-3</v>
      </c>
      <c r="AE811" s="8">
        <f t="shared" si="119"/>
        <v>0.1198156392576662</v>
      </c>
      <c r="AF811" s="2">
        <f t="shared" si="120"/>
        <v>-9.5407684695680839E-4</v>
      </c>
      <c r="AG811" s="8">
        <f t="shared" si="121"/>
        <v>0.120769716104623</v>
      </c>
      <c r="AH811" s="7">
        <f t="shared" si="122"/>
        <v>-7.8999676221006444E-3</v>
      </c>
      <c r="AI811">
        <f t="shared" si="123"/>
        <v>2</v>
      </c>
      <c r="AJ811" s="10">
        <f t="shared" si="124"/>
        <v>0.48307886441849202</v>
      </c>
    </row>
    <row r="812" spans="1:36" hidden="1" x14ac:dyDescent="0.25">
      <c r="A812" t="b">
        <v>0</v>
      </c>
      <c r="B812">
        <v>1000</v>
      </c>
      <c r="C812">
        <v>0.48677533284680402</v>
      </c>
      <c r="D812" t="s">
        <v>52</v>
      </c>
      <c r="E812" t="b">
        <v>1</v>
      </c>
      <c r="F812" t="s">
        <v>53</v>
      </c>
      <c r="G812">
        <v>7.4999999999999997E-2</v>
      </c>
      <c r="H812">
        <v>0.5</v>
      </c>
      <c r="I812">
        <v>1E-4</v>
      </c>
      <c r="J812" t="b">
        <v>1</v>
      </c>
      <c r="K812">
        <v>8</v>
      </c>
      <c r="L812">
        <v>1500</v>
      </c>
      <c r="M812">
        <v>0.5</v>
      </c>
      <c r="N812">
        <v>0.154</v>
      </c>
      <c r="O812" t="s">
        <v>376</v>
      </c>
      <c r="P812" t="s">
        <v>377</v>
      </c>
      <c r="Q812" s="1">
        <v>-5.1053571021318501E-5</v>
      </c>
      <c r="R812">
        <v>1.0865386040985899E-3</v>
      </c>
      <c r="S812">
        <v>2.66301563219325E-4</v>
      </c>
      <c r="T812">
        <v>-5.8146784547342401E-3</v>
      </c>
      <c r="U812">
        <v>7.9785424852608502</v>
      </c>
      <c r="V812" s="1">
        <v>9.9999999999999905E-15</v>
      </c>
      <c r="W812">
        <v>1.4284983358601</v>
      </c>
      <c r="X812">
        <v>2.4999999999999898</v>
      </c>
      <c r="Y812">
        <v>65.187265376670794</v>
      </c>
      <c r="Z812">
        <v>0.499999999999999</v>
      </c>
      <c r="AA812">
        <v>117.928672924552</v>
      </c>
      <c r="AB812" s="9">
        <f t="shared" si="116"/>
        <v>-0.34117092576131514</v>
      </c>
      <c r="AC812" s="9">
        <f t="shared" si="117"/>
        <v>-0.35597868954789014</v>
      </c>
      <c r="AD812" s="2">
        <f t="shared" si="118"/>
        <v>4.3402771656265271E-2</v>
      </c>
      <c r="AE812" s="8">
        <f t="shared" si="119"/>
        <v>2.6193740046154767E-3</v>
      </c>
      <c r="AF812" s="2">
        <f t="shared" si="120"/>
        <v>-4.9864905711158366E-3</v>
      </c>
      <c r="AG812" s="8">
        <f t="shared" si="121"/>
        <v>7.6058645757313128E-3</v>
      </c>
      <c r="AH812" s="7">
        <f t="shared" si="122"/>
        <v>-0.65561127488736282</v>
      </c>
      <c r="AI812">
        <f t="shared" si="123"/>
        <v>8</v>
      </c>
      <c r="AJ812" s="10">
        <f t="shared" si="124"/>
        <v>0.48677533284680402</v>
      </c>
    </row>
    <row r="813" spans="1:36" hidden="1" x14ac:dyDescent="0.25">
      <c r="A813" t="b">
        <v>0</v>
      </c>
      <c r="B813">
        <v>1000</v>
      </c>
      <c r="C813">
        <v>0.48677533284680402</v>
      </c>
      <c r="D813" t="s">
        <v>52</v>
      </c>
      <c r="E813" t="b">
        <v>1</v>
      </c>
      <c r="F813" t="s">
        <v>53</v>
      </c>
      <c r="G813">
        <v>7.4999999999999997E-2</v>
      </c>
      <c r="H813">
        <v>0.5</v>
      </c>
      <c r="I813">
        <v>1E-4</v>
      </c>
      <c r="J813" t="b">
        <v>1</v>
      </c>
      <c r="K813">
        <v>8</v>
      </c>
      <c r="L813">
        <v>1500</v>
      </c>
      <c r="M813">
        <v>0.5</v>
      </c>
      <c r="N813">
        <v>0.154</v>
      </c>
      <c r="O813" t="s">
        <v>376</v>
      </c>
      <c r="P813" t="s">
        <v>378</v>
      </c>
      <c r="Q813">
        <v>-4.0800364529251603E-4</v>
      </c>
      <c r="R813">
        <v>8.8528376228077799E-3</v>
      </c>
      <c r="S813">
        <v>2.12582571091912E-3</v>
      </c>
      <c r="T813">
        <v>-4.6343380741236E-2</v>
      </c>
      <c r="U813">
        <v>7.9747306185428304</v>
      </c>
      <c r="V813" s="1">
        <v>9.9999999999999905E-15</v>
      </c>
      <c r="W813">
        <v>1.43237210836202</v>
      </c>
      <c r="X813">
        <v>2.4999999999999898</v>
      </c>
      <c r="Y813">
        <v>66.700105503813305</v>
      </c>
      <c r="Z813">
        <v>0.499999999999999</v>
      </c>
      <c r="AA813">
        <v>120.11386699701799</v>
      </c>
      <c r="AB813" s="9">
        <f t="shared" si="116"/>
        <v>-0.34062779481989364</v>
      </c>
      <c r="AC813" s="9">
        <f t="shared" si="117"/>
        <v>-0.35597868954789014</v>
      </c>
      <c r="AD813" s="2">
        <f t="shared" si="118"/>
        <v>4.5066477138523853E-2</v>
      </c>
      <c r="AE813" s="8">
        <f t="shared" si="119"/>
        <v>2.4374137023128735E-3</v>
      </c>
      <c r="AF813" s="2">
        <f t="shared" si="120"/>
        <v>-5.1684508734184398E-3</v>
      </c>
      <c r="AG813" s="8">
        <f t="shared" si="121"/>
        <v>7.6058645757313128E-3</v>
      </c>
      <c r="AH813" s="7">
        <f t="shared" si="122"/>
        <v>-0.67953495910377648</v>
      </c>
      <c r="AI813">
        <f t="shared" si="123"/>
        <v>8</v>
      </c>
      <c r="AJ813" s="10">
        <f t="shared" si="124"/>
        <v>0.48677533284680402</v>
      </c>
    </row>
    <row r="814" spans="1:36" hidden="1" x14ac:dyDescent="0.25">
      <c r="A814" t="b">
        <v>0</v>
      </c>
      <c r="B814">
        <v>1000</v>
      </c>
      <c r="C814">
        <v>0.48677533284680402</v>
      </c>
      <c r="D814" t="s">
        <v>52</v>
      </c>
      <c r="E814" t="b">
        <v>1</v>
      </c>
      <c r="F814" t="s">
        <v>53</v>
      </c>
      <c r="G814">
        <v>7.4999999999999997E-2</v>
      </c>
      <c r="H814">
        <v>0.5</v>
      </c>
      <c r="I814">
        <v>1E-4</v>
      </c>
      <c r="J814" t="b">
        <v>1</v>
      </c>
      <c r="K814">
        <v>8</v>
      </c>
      <c r="L814">
        <v>1500</v>
      </c>
      <c r="M814">
        <v>0.5</v>
      </c>
      <c r="N814">
        <v>0.154</v>
      </c>
      <c r="O814" t="s">
        <v>376</v>
      </c>
      <c r="P814" t="s">
        <v>379</v>
      </c>
      <c r="Q814" s="1">
        <v>-5.1053571021317403E-5</v>
      </c>
      <c r="R814">
        <v>1.1042844676208399E-3</v>
      </c>
      <c r="S814">
        <v>2.6630156321932598E-4</v>
      </c>
      <c r="T814">
        <v>-5.8146784547344699E-3</v>
      </c>
      <c r="U814">
        <v>7.9785424852428397</v>
      </c>
      <c r="V814" s="1">
        <v>9.9999999999999905E-15</v>
      </c>
      <c r="W814">
        <v>1.4509352976754299</v>
      </c>
      <c r="X814">
        <v>2.4999999999999898</v>
      </c>
      <c r="Y814">
        <v>66.184463464596007</v>
      </c>
      <c r="Z814">
        <v>0.499999999999999</v>
      </c>
      <c r="AA814">
        <v>119.871620893377</v>
      </c>
      <c r="AB814" s="9">
        <f t="shared" si="116"/>
        <v>-0.34117092576132735</v>
      </c>
      <c r="AC814" s="9">
        <f t="shared" si="117"/>
        <v>-0.35597868954789014</v>
      </c>
      <c r="AD814" s="2">
        <f t="shared" si="118"/>
        <v>4.3402771656227968E-2</v>
      </c>
      <c r="AE814" s="8">
        <f t="shared" si="119"/>
        <v>2.6193740046195685E-3</v>
      </c>
      <c r="AF814" s="2">
        <f t="shared" si="120"/>
        <v>-4.9864905711117444E-3</v>
      </c>
      <c r="AG814" s="8">
        <f t="shared" si="121"/>
        <v>7.6058645757313128E-3</v>
      </c>
      <c r="AH814" s="7">
        <f t="shared" si="122"/>
        <v>-0.65561127488682469</v>
      </c>
      <c r="AI814">
        <f t="shared" si="123"/>
        <v>8</v>
      </c>
      <c r="AJ814" s="10">
        <f t="shared" si="124"/>
        <v>0.48677533284680402</v>
      </c>
    </row>
    <row r="815" spans="1:36" hidden="1" x14ac:dyDescent="0.25">
      <c r="A815" t="b">
        <v>0</v>
      </c>
      <c r="B815">
        <v>1000</v>
      </c>
      <c r="C815">
        <v>0.48677533284680402</v>
      </c>
      <c r="D815" t="s">
        <v>52</v>
      </c>
      <c r="E815" t="b">
        <v>1</v>
      </c>
      <c r="F815" t="s">
        <v>53</v>
      </c>
      <c r="G815">
        <v>7.4999999999999997E-2</v>
      </c>
      <c r="H815">
        <v>0.5</v>
      </c>
      <c r="I815">
        <v>1E-4</v>
      </c>
      <c r="J815" t="b">
        <v>1</v>
      </c>
      <c r="K815">
        <v>8</v>
      </c>
      <c r="L815">
        <v>1500</v>
      </c>
      <c r="M815">
        <v>0.5</v>
      </c>
      <c r="N815">
        <v>0.154</v>
      </c>
      <c r="O815" t="s">
        <v>376</v>
      </c>
      <c r="P815" t="s">
        <v>380</v>
      </c>
      <c r="Q815">
        <v>-1.0210987885015799E-4</v>
      </c>
      <c r="R815">
        <v>2.1583977320982599E-3</v>
      </c>
      <c r="S815">
        <v>5.3259765444099499E-4</v>
      </c>
      <c r="T815">
        <v>-1.1628621829496699E-2</v>
      </c>
      <c r="U815">
        <v>7.97799588727091</v>
      </c>
      <c r="V815" s="1">
        <v>9.9999999999999905E-15</v>
      </c>
      <c r="W815">
        <v>1.4189088319477501</v>
      </c>
      <c r="X815">
        <v>2.4999999999999898</v>
      </c>
      <c r="Y815">
        <v>64.767831909795902</v>
      </c>
      <c r="Z815">
        <v>0.499999999999999</v>
      </c>
      <c r="AA815">
        <v>117.123592346419</v>
      </c>
      <c r="AB815" s="9">
        <f t="shared" si="116"/>
        <v>-0.34115286571547537</v>
      </c>
      <c r="AC815" s="9">
        <f t="shared" si="117"/>
        <v>-0.35597868954789014</v>
      </c>
      <c r="AD815" s="2">
        <f t="shared" si="118"/>
        <v>4.3458007604074034E-2</v>
      </c>
      <c r="AE815" s="8">
        <f t="shared" si="119"/>
        <v>2.6133224472143306E-3</v>
      </c>
      <c r="AF815" s="2">
        <f t="shared" si="120"/>
        <v>-4.9925421285169826E-3</v>
      </c>
      <c r="AG815" s="8">
        <f t="shared" si="121"/>
        <v>7.6058645757313128E-3</v>
      </c>
      <c r="AH815" s="7">
        <f t="shared" si="122"/>
        <v>-0.65640691847802768</v>
      </c>
      <c r="AI815">
        <f t="shared" si="123"/>
        <v>8</v>
      </c>
      <c r="AJ815" s="10">
        <f t="shared" si="124"/>
        <v>0.48677533284680402</v>
      </c>
    </row>
    <row r="816" spans="1:36" hidden="1" x14ac:dyDescent="0.25">
      <c r="A816" t="b">
        <v>0</v>
      </c>
      <c r="B816">
        <v>1000</v>
      </c>
      <c r="C816">
        <v>0.48677533284680402</v>
      </c>
      <c r="D816" t="s">
        <v>52</v>
      </c>
      <c r="E816" t="b">
        <v>1</v>
      </c>
      <c r="F816" t="s">
        <v>53</v>
      </c>
      <c r="G816">
        <v>7.4999999999999997E-2</v>
      </c>
      <c r="H816">
        <v>0.5</v>
      </c>
      <c r="I816">
        <v>1E-4</v>
      </c>
      <c r="J816" t="b">
        <v>1</v>
      </c>
      <c r="K816">
        <v>8</v>
      </c>
      <c r="L816">
        <v>1500</v>
      </c>
      <c r="M816">
        <v>0.5</v>
      </c>
      <c r="N816">
        <v>0.154</v>
      </c>
      <c r="O816" t="s">
        <v>376</v>
      </c>
      <c r="P816" t="s">
        <v>381</v>
      </c>
      <c r="Q816">
        <v>-4.5907901635586901E-4</v>
      </c>
      <c r="R816">
        <v>1.01981791096476E-2</v>
      </c>
      <c r="S816">
        <v>2.3920836657288901E-3</v>
      </c>
      <c r="T816">
        <v>-5.2152202791830499E-2</v>
      </c>
      <c r="U816">
        <v>7.9741839796374698</v>
      </c>
      <c r="V816" s="1">
        <v>9.9999999999999795E-15</v>
      </c>
      <c r="W816">
        <v>1.48215926669765</v>
      </c>
      <c r="X816">
        <v>2.4999999999999898</v>
      </c>
      <c r="Y816">
        <v>67.942972409337699</v>
      </c>
      <c r="Z816">
        <v>0.499999999999999</v>
      </c>
      <c r="AA816">
        <v>123.10035067074701</v>
      </c>
      <c r="AB816" s="9">
        <f t="shared" si="116"/>
        <v>-0.3406562154564316</v>
      </c>
      <c r="AC816" s="9">
        <f t="shared" si="117"/>
        <v>-0.35597868954789014</v>
      </c>
      <c r="AD816" s="2">
        <f t="shared" si="118"/>
        <v>4.4979288198010892E-2</v>
      </c>
      <c r="AE816" s="8">
        <f t="shared" si="119"/>
        <v>2.4469335764137922E-3</v>
      </c>
      <c r="AF816" s="2">
        <f t="shared" si="120"/>
        <v>-5.1589309993175202E-3</v>
      </c>
      <c r="AG816" s="8">
        <f t="shared" si="121"/>
        <v>7.6058645757313128E-3</v>
      </c>
      <c r="AH816" s="7">
        <f t="shared" si="122"/>
        <v>-0.67828330993146602</v>
      </c>
      <c r="AI816">
        <f t="shared" si="123"/>
        <v>8</v>
      </c>
      <c r="AJ816" s="10">
        <f t="shared" si="124"/>
        <v>0.48677533284680402</v>
      </c>
    </row>
    <row r="817" spans="1:36" hidden="1" x14ac:dyDescent="0.25">
      <c r="A817" t="b">
        <v>0</v>
      </c>
      <c r="B817">
        <v>1000</v>
      </c>
      <c r="C817">
        <v>0.48677533284680402</v>
      </c>
      <c r="D817" t="s">
        <v>52</v>
      </c>
      <c r="E817" t="b">
        <v>1</v>
      </c>
      <c r="F817" t="s">
        <v>53</v>
      </c>
      <c r="G817">
        <v>7.4999999999999997E-2</v>
      </c>
      <c r="H817">
        <v>0.5</v>
      </c>
      <c r="I817">
        <v>1E-4</v>
      </c>
      <c r="J817" t="b">
        <v>1</v>
      </c>
      <c r="K817">
        <v>8</v>
      </c>
      <c r="L817">
        <v>1500</v>
      </c>
      <c r="M817">
        <v>0.5</v>
      </c>
      <c r="N817">
        <v>0.154</v>
      </c>
      <c r="O817" t="s">
        <v>376</v>
      </c>
      <c r="P817" t="s">
        <v>382</v>
      </c>
      <c r="Q817">
        <v>-4.0800364529251603E-4</v>
      </c>
      <c r="R817">
        <v>8.8261397685894995E-3</v>
      </c>
      <c r="S817">
        <v>2.12582571091912E-3</v>
      </c>
      <c r="T817">
        <v>-4.6343380741235903E-2</v>
      </c>
      <c r="U817">
        <v>7.9747306185405504</v>
      </c>
      <c r="V817" s="1">
        <v>9.9999999999999905E-15</v>
      </c>
      <c r="W817">
        <v>1.43326097516476</v>
      </c>
      <c r="X817">
        <v>2.4999999999999898</v>
      </c>
      <c r="Y817">
        <v>66.436306824082095</v>
      </c>
      <c r="Z817">
        <v>0.499999999999999</v>
      </c>
      <c r="AA817">
        <v>119.779105592522</v>
      </c>
      <c r="AB817" s="9">
        <f t="shared" si="116"/>
        <v>-0.34062779481989292</v>
      </c>
      <c r="AC817" s="9">
        <f t="shared" si="117"/>
        <v>-0.35597868954789014</v>
      </c>
      <c r="AD817" s="2">
        <f t="shared" si="118"/>
        <v>4.5066477138526073E-2</v>
      </c>
      <c r="AE817" s="8">
        <f t="shared" si="119"/>
        <v>2.4374137023126258E-3</v>
      </c>
      <c r="AF817" s="2">
        <f t="shared" si="120"/>
        <v>-5.168450873418687E-3</v>
      </c>
      <c r="AG817" s="8">
        <f t="shared" si="121"/>
        <v>7.6058645757313128E-3</v>
      </c>
      <c r="AH817" s="7">
        <f t="shared" si="122"/>
        <v>-0.67953495910380901</v>
      </c>
      <c r="AI817">
        <f t="shared" si="123"/>
        <v>8</v>
      </c>
      <c r="AJ817" s="10">
        <f t="shared" si="124"/>
        <v>0.48677533284680402</v>
      </c>
    </row>
    <row r="818" spans="1:36" hidden="1" x14ac:dyDescent="0.25">
      <c r="A818" t="b">
        <v>0</v>
      </c>
      <c r="B818">
        <v>1000</v>
      </c>
      <c r="C818">
        <v>0.48677533284680402</v>
      </c>
      <c r="D818" t="s">
        <v>52</v>
      </c>
      <c r="E818" t="b">
        <v>1</v>
      </c>
      <c r="F818" t="s">
        <v>53</v>
      </c>
      <c r="G818">
        <v>7.4999999999999997E-2</v>
      </c>
      <c r="H818">
        <v>0.5</v>
      </c>
      <c r="I818">
        <v>1E-4</v>
      </c>
      <c r="J818" t="b">
        <v>1</v>
      </c>
      <c r="K818">
        <v>8</v>
      </c>
      <c r="L818">
        <v>1500</v>
      </c>
      <c r="M818">
        <v>0.5</v>
      </c>
      <c r="N818">
        <v>0.154</v>
      </c>
      <c r="O818" t="s">
        <v>376</v>
      </c>
      <c r="P818" t="s">
        <v>383</v>
      </c>
      <c r="Q818">
        <v>-4.5907901635586999E-4</v>
      </c>
      <c r="R818">
        <v>1.02563010065148E-2</v>
      </c>
      <c r="S818">
        <v>2.3920836657288901E-3</v>
      </c>
      <c r="T818">
        <v>-5.2152202791830297E-2</v>
      </c>
      <c r="U818">
        <v>7.9741839796630796</v>
      </c>
      <c r="V818" s="1">
        <v>9.9999999999999795E-15</v>
      </c>
      <c r="W818">
        <v>1.50548391315639</v>
      </c>
      <c r="X818">
        <v>2.4999999999999898</v>
      </c>
      <c r="Y818">
        <v>68.077810999373796</v>
      </c>
      <c r="Z818">
        <v>0.499999999999999</v>
      </c>
      <c r="AA818">
        <v>123.904842103196</v>
      </c>
      <c r="AB818" s="9">
        <f t="shared" si="116"/>
        <v>-0.34065621545643032</v>
      </c>
      <c r="AC818" s="9">
        <f t="shared" si="117"/>
        <v>-0.35597868954789014</v>
      </c>
      <c r="AD818" s="2">
        <f t="shared" si="118"/>
        <v>4.4979288198014888E-2</v>
      </c>
      <c r="AE818" s="8">
        <f t="shared" si="119"/>
        <v>2.4469335764133711E-3</v>
      </c>
      <c r="AF818" s="2">
        <f t="shared" si="120"/>
        <v>-5.1589309993179417E-3</v>
      </c>
      <c r="AG818" s="8">
        <f t="shared" si="121"/>
        <v>7.6058645757313128E-3</v>
      </c>
      <c r="AH818" s="7">
        <f t="shared" si="122"/>
        <v>-0.67828330993152142</v>
      </c>
      <c r="AI818">
        <f t="shared" si="123"/>
        <v>8</v>
      </c>
      <c r="AJ818" s="10">
        <f t="shared" si="124"/>
        <v>0.48677533284680402</v>
      </c>
    </row>
    <row r="819" spans="1:36" hidden="1" x14ac:dyDescent="0.25">
      <c r="A819" t="b">
        <v>0</v>
      </c>
      <c r="B819">
        <v>1000</v>
      </c>
      <c r="C819">
        <v>0.48677533284680402</v>
      </c>
      <c r="D819" t="s">
        <v>52</v>
      </c>
      <c r="E819" t="b">
        <v>1</v>
      </c>
      <c r="F819" t="s">
        <v>53</v>
      </c>
      <c r="G819">
        <v>7.4999999999999997E-2</v>
      </c>
      <c r="H819">
        <v>0.5</v>
      </c>
      <c r="I819">
        <v>1E-4</v>
      </c>
      <c r="J819" t="b">
        <v>1</v>
      </c>
      <c r="K819">
        <v>8</v>
      </c>
      <c r="L819">
        <v>1500</v>
      </c>
      <c r="M819">
        <v>0.5</v>
      </c>
      <c r="N819">
        <v>0.154</v>
      </c>
      <c r="O819" t="s">
        <v>376</v>
      </c>
      <c r="P819" t="s">
        <v>384</v>
      </c>
      <c r="Q819">
        <v>-8.1618093889482203E-4</v>
      </c>
      <c r="R819">
        <v>1.7868044909464101E-2</v>
      </c>
      <c r="S819">
        <v>4.2513038898181104E-3</v>
      </c>
      <c r="T819">
        <v>-9.2640103313152602E-2</v>
      </c>
      <c r="U819">
        <v>7.97037178297869</v>
      </c>
      <c r="V819" s="1">
        <v>9.99999999999997E-15</v>
      </c>
      <c r="W819">
        <v>1.4557858095807701</v>
      </c>
      <c r="X819">
        <v>2.4999999999999898</v>
      </c>
      <c r="Y819">
        <v>67.094726464215398</v>
      </c>
      <c r="Z819">
        <v>0.499999999999998</v>
      </c>
      <c r="AA819">
        <v>121.266948887469</v>
      </c>
      <c r="AB819" s="9">
        <f t="shared" si="116"/>
        <v>-0.34048415539871935</v>
      </c>
      <c r="AC819" s="9">
        <f t="shared" si="117"/>
        <v>-0.35597868954789014</v>
      </c>
      <c r="AD819" s="2">
        <f t="shared" si="118"/>
        <v>4.5507357401186832E-2</v>
      </c>
      <c r="AE819" s="8">
        <f t="shared" si="119"/>
        <v>2.3893025141750986E-3</v>
      </c>
      <c r="AF819" s="2">
        <f t="shared" si="120"/>
        <v>-5.2165620615562142E-3</v>
      </c>
      <c r="AG819" s="8">
        <f t="shared" si="121"/>
        <v>7.6058645757313128E-3</v>
      </c>
      <c r="AH819" s="7">
        <f t="shared" si="122"/>
        <v>-0.68586049746417366</v>
      </c>
      <c r="AI819">
        <f t="shared" si="123"/>
        <v>8</v>
      </c>
      <c r="AJ819" s="10">
        <f t="shared" si="124"/>
        <v>0.48677533284680402</v>
      </c>
    </row>
    <row r="820" spans="1:36" hidden="1" x14ac:dyDescent="0.25">
      <c r="A820" t="b">
        <v>0</v>
      </c>
      <c r="B820">
        <v>1000</v>
      </c>
      <c r="C820">
        <v>0.48677533284680402</v>
      </c>
      <c r="D820" t="s">
        <v>52</v>
      </c>
      <c r="E820" t="b">
        <v>1</v>
      </c>
      <c r="F820" t="s">
        <v>53</v>
      </c>
      <c r="G820">
        <v>7.4999999999999997E-2</v>
      </c>
      <c r="H820">
        <v>0.5</v>
      </c>
      <c r="I820">
        <v>1E-4</v>
      </c>
      <c r="J820" t="b">
        <v>1</v>
      </c>
      <c r="K820">
        <v>8</v>
      </c>
      <c r="L820">
        <v>1500</v>
      </c>
      <c r="M820">
        <v>0.5</v>
      </c>
      <c r="N820">
        <v>0.154</v>
      </c>
      <c r="O820" t="s">
        <v>377</v>
      </c>
      <c r="P820" t="s">
        <v>378</v>
      </c>
      <c r="Q820">
        <v>-3.56950074271603E-4</v>
      </c>
      <c r="R820">
        <v>7.2826475801533496E-3</v>
      </c>
      <c r="S820">
        <v>1.8595241476997901E-3</v>
      </c>
      <c r="T820">
        <v>-4.0528702286501697E-2</v>
      </c>
      <c r="U820">
        <v>7.9741840263924804</v>
      </c>
      <c r="V820" s="1">
        <v>9.9999999999999905E-15</v>
      </c>
      <c r="W820">
        <v>1.3517460543955799</v>
      </c>
      <c r="X820">
        <v>2.4999999999999898</v>
      </c>
      <c r="Y820">
        <v>62.943573501766899</v>
      </c>
      <c r="Z820">
        <v>0.499999999999999</v>
      </c>
      <c r="AA820">
        <v>112.89054797105101</v>
      </c>
      <c r="AB820" s="9">
        <f t="shared" si="116"/>
        <v>-0.34055001329771678</v>
      </c>
      <c r="AC820" s="9">
        <f t="shared" si="117"/>
        <v>-0.35597868954789014</v>
      </c>
      <c r="AD820" s="2">
        <f t="shared" si="118"/>
        <v>4.5305170012385876E-2</v>
      </c>
      <c r="AE820" s="8">
        <f t="shared" si="119"/>
        <v>2.4113606608504967E-3</v>
      </c>
      <c r="AF820" s="2">
        <f t="shared" si="120"/>
        <v>-5.1945039148808166E-3</v>
      </c>
      <c r="AG820" s="8">
        <f t="shared" si="121"/>
        <v>7.6058645757313128E-3</v>
      </c>
      <c r="AH820" s="7">
        <f t="shared" si="122"/>
        <v>-0.68296034765795954</v>
      </c>
      <c r="AI820">
        <f t="shared" si="123"/>
        <v>8</v>
      </c>
      <c r="AJ820" s="10">
        <f t="shared" si="124"/>
        <v>0.48677533284680402</v>
      </c>
    </row>
    <row r="821" spans="1:36" hidden="1" x14ac:dyDescent="0.25">
      <c r="A821" t="b">
        <v>0</v>
      </c>
      <c r="B821">
        <v>1000</v>
      </c>
      <c r="C821">
        <v>0.48677533284680402</v>
      </c>
      <c r="D821" t="s">
        <v>52</v>
      </c>
      <c r="E821" t="b">
        <v>1</v>
      </c>
      <c r="F821" t="s">
        <v>53</v>
      </c>
      <c r="G821">
        <v>7.4999999999999997E-2</v>
      </c>
      <c r="H821">
        <v>0.5</v>
      </c>
      <c r="I821">
        <v>1E-4</v>
      </c>
      <c r="J821" t="b">
        <v>1</v>
      </c>
      <c r="K821">
        <v>8</v>
      </c>
      <c r="L821">
        <v>1500</v>
      </c>
      <c r="M821">
        <v>0.5</v>
      </c>
      <c r="N821">
        <v>0.154</v>
      </c>
      <c r="O821" t="s">
        <v>377</v>
      </c>
      <c r="P821" t="s">
        <v>379</v>
      </c>
      <c r="Q821" s="1">
        <v>-1E-10</v>
      </c>
      <c r="R821" s="1">
        <v>3.5857859692823098E-12</v>
      </c>
      <c r="S821" s="1">
        <v>9.6383165667822997E-18</v>
      </c>
      <c r="T821" s="1">
        <v>-3.0446409911187601E-16</v>
      </c>
      <c r="U821">
        <v>7.9779958930924897</v>
      </c>
      <c r="V821">
        <v>0</v>
      </c>
      <c r="W821">
        <v>6.8474548971465696E-2</v>
      </c>
      <c r="X821">
        <v>2</v>
      </c>
      <c r="Y821">
        <v>4.0005664555918799E-3</v>
      </c>
      <c r="Z821">
        <v>2.5000000000000001E-4</v>
      </c>
      <c r="AA821">
        <v>4.7933530311326496E-3</v>
      </c>
      <c r="AB821" s="9">
        <f t="shared" si="116"/>
        <v>-0.49357701790150327</v>
      </c>
      <c r="AC821" s="9">
        <f t="shared" si="117"/>
        <v>-0.35597868954789014</v>
      </c>
      <c r="AD821" s="2">
        <f t="shared" si="118"/>
        <v>-0.27877782668777307</v>
      </c>
      <c r="AE821" s="8">
        <f t="shared" si="119"/>
        <v>5.6428674424411768E-2</v>
      </c>
      <c r="AF821" s="2">
        <f t="shared" si="120"/>
        <v>4.8822809848680454E-2</v>
      </c>
      <c r="AG821" s="8">
        <f t="shared" si="121"/>
        <v>7.6058645757313128E-3</v>
      </c>
      <c r="AH821" s="7">
        <f t="shared" si="122"/>
        <v>6.4191005983019469</v>
      </c>
      <c r="AI821">
        <f t="shared" si="123"/>
        <v>8</v>
      </c>
      <c r="AJ821" s="10">
        <f t="shared" si="124"/>
        <v>0.48677533284680402</v>
      </c>
    </row>
    <row r="822" spans="1:36" hidden="1" x14ac:dyDescent="0.25">
      <c r="A822" t="b">
        <v>0</v>
      </c>
      <c r="B822">
        <v>1000</v>
      </c>
      <c r="C822">
        <v>0.48677533284680402</v>
      </c>
      <c r="D822" t="s">
        <v>52</v>
      </c>
      <c r="E822" t="b">
        <v>1</v>
      </c>
      <c r="F822" t="s">
        <v>53</v>
      </c>
      <c r="G822">
        <v>7.4999999999999997E-2</v>
      </c>
      <c r="H822">
        <v>0.5</v>
      </c>
      <c r="I822">
        <v>1E-4</v>
      </c>
      <c r="J822" t="b">
        <v>1</v>
      </c>
      <c r="K822">
        <v>8</v>
      </c>
      <c r="L822">
        <v>1500</v>
      </c>
      <c r="M822">
        <v>0.5</v>
      </c>
      <c r="N822">
        <v>0.154</v>
      </c>
      <c r="O822" t="s">
        <v>377</v>
      </c>
      <c r="P822" t="s">
        <v>380</v>
      </c>
      <c r="Q822" s="1">
        <v>-5.1056307828907398E-5</v>
      </c>
      <c r="R822">
        <v>1.10848209439374E-3</v>
      </c>
      <c r="S822">
        <v>2.66296091221674E-4</v>
      </c>
      <c r="T822">
        <v>-5.8139433747627896E-3</v>
      </c>
      <c r="U822">
        <v>7.97744929512056</v>
      </c>
      <c r="V822" s="1">
        <v>9.9999999999999905E-15</v>
      </c>
      <c r="W822">
        <v>1.44732689614768</v>
      </c>
      <c r="X822">
        <v>2.4999999999999898</v>
      </c>
      <c r="Y822">
        <v>66.552529007228401</v>
      </c>
      <c r="Z822">
        <v>0.499999999999999</v>
      </c>
      <c r="AA822">
        <v>120.265801758601</v>
      </c>
      <c r="AB822" s="9">
        <f t="shared" si="116"/>
        <v>-0.34113480529854218</v>
      </c>
      <c r="AC822" s="9">
        <f t="shared" si="117"/>
        <v>-0.35597868954789014</v>
      </c>
      <c r="AD822" s="2">
        <f t="shared" si="118"/>
        <v>4.351325053553956E-2</v>
      </c>
      <c r="AE822" s="8">
        <f t="shared" si="119"/>
        <v>2.6072708385204285E-3</v>
      </c>
      <c r="AF822" s="2">
        <f t="shared" si="120"/>
        <v>-4.9985937372108843E-3</v>
      </c>
      <c r="AG822" s="8">
        <f t="shared" si="121"/>
        <v>7.6058645757313128E-3</v>
      </c>
      <c r="AH822" s="7">
        <f t="shared" si="122"/>
        <v>-0.65720256881253547</v>
      </c>
      <c r="AI822">
        <f t="shared" si="123"/>
        <v>8</v>
      </c>
      <c r="AJ822" s="10">
        <f t="shared" si="124"/>
        <v>0.48677533284680402</v>
      </c>
    </row>
    <row r="823" spans="1:36" hidden="1" x14ac:dyDescent="0.25">
      <c r="A823" t="b">
        <v>0</v>
      </c>
      <c r="B823">
        <v>1000</v>
      </c>
      <c r="C823">
        <v>0.48677533284680402</v>
      </c>
      <c r="D823" t="s">
        <v>52</v>
      </c>
      <c r="E823" t="b">
        <v>1</v>
      </c>
      <c r="F823" t="s">
        <v>53</v>
      </c>
      <c r="G823">
        <v>7.4999999999999997E-2</v>
      </c>
      <c r="H823">
        <v>0.5</v>
      </c>
      <c r="I823">
        <v>1E-4</v>
      </c>
      <c r="J823" t="b">
        <v>1</v>
      </c>
      <c r="K823">
        <v>8</v>
      </c>
      <c r="L823">
        <v>1500</v>
      </c>
      <c r="M823">
        <v>0.5</v>
      </c>
      <c r="N823">
        <v>0.154</v>
      </c>
      <c r="O823" t="s">
        <v>377</v>
      </c>
      <c r="P823" t="s">
        <v>381</v>
      </c>
      <c r="Q823">
        <v>-4.0802544533503302E-4</v>
      </c>
      <c r="R823">
        <v>8.7266398309144497E-3</v>
      </c>
      <c r="S823">
        <v>2.1257821025095699E-3</v>
      </c>
      <c r="T823">
        <v>-4.6337524337096501E-2</v>
      </c>
      <c r="U823">
        <v>7.9736373874871198</v>
      </c>
      <c r="V823" s="1">
        <v>9.9999999999999905E-15</v>
      </c>
      <c r="W823">
        <v>1.4090643035365999</v>
      </c>
      <c r="X823">
        <v>2.4999999999999898</v>
      </c>
      <c r="Y823">
        <v>65.859484238446299</v>
      </c>
      <c r="Z823">
        <v>0.499999999999999</v>
      </c>
      <c r="AA823">
        <v>118.356199924688</v>
      </c>
      <c r="AB823" s="9">
        <f t="shared" si="116"/>
        <v>-0.34059173652482727</v>
      </c>
      <c r="AC823" s="9">
        <f t="shared" si="117"/>
        <v>-0.35597868954789014</v>
      </c>
      <c r="AD823" s="2">
        <f t="shared" si="118"/>
        <v>4.5177117859819926E-2</v>
      </c>
      <c r="AE823" s="8">
        <f t="shared" si="119"/>
        <v>2.4253357520857802E-3</v>
      </c>
      <c r="AF823" s="2">
        <f t="shared" si="120"/>
        <v>-5.1805288236455322E-3</v>
      </c>
      <c r="AG823" s="8">
        <f t="shared" si="121"/>
        <v>7.6058645757313128E-3</v>
      </c>
      <c r="AH823" s="7">
        <f t="shared" si="122"/>
        <v>-0.6811229377098682</v>
      </c>
      <c r="AI823">
        <f t="shared" si="123"/>
        <v>8</v>
      </c>
      <c r="AJ823" s="10">
        <f t="shared" si="124"/>
        <v>0.48677533284680402</v>
      </c>
    </row>
    <row r="824" spans="1:36" hidden="1" x14ac:dyDescent="0.25">
      <c r="A824" t="b">
        <v>0</v>
      </c>
      <c r="B824">
        <v>1000</v>
      </c>
      <c r="C824">
        <v>0.48677533284680402</v>
      </c>
      <c r="D824" t="s">
        <v>52</v>
      </c>
      <c r="E824" t="b">
        <v>1</v>
      </c>
      <c r="F824" t="s">
        <v>53</v>
      </c>
      <c r="G824">
        <v>7.4999999999999997E-2</v>
      </c>
      <c r="H824">
        <v>0.5</v>
      </c>
      <c r="I824">
        <v>1E-4</v>
      </c>
      <c r="J824" t="b">
        <v>1</v>
      </c>
      <c r="K824">
        <v>8</v>
      </c>
      <c r="L824">
        <v>1500</v>
      </c>
      <c r="M824">
        <v>0.5</v>
      </c>
      <c r="N824">
        <v>0.154</v>
      </c>
      <c r="O824" t="s">
        <v>377</v>
      </c>
      <c r="P824" t="s">
        <v>382</v>
      </c>
      <c r="Q824">
        <v>-3.5695007427158202E-4</v>
      </c>
      <c r="R824">
        <v>7.3358478675520401E-3</v>
      </c>
      <c r="S824">
        <v>1.8595241476997901E-3</v>
      </c>
      <c r="T824">
        <v>-4.0528702286501503E-2</v>
      </c>
      <c r="U824">
        <v>7.9741840263901898</v>
      </c>
      <c r="V824" s="1">
        <v>9.9999999999999905E-15</v>
      </c>
      <c r="W824">
        <v>1.36041928349722</v>
      </c>
      <c r="X824">
        <v>2.4999999999999898</v>
      </c>
      <c r="Y824">
        <v>63.381100642542002</v>
      </c>
      <c r="Z824">
        <v>0.499999999999999</v>
      </c>
      <c r="AA824">
        <v>113.719815034994</v>
      </c>
      <c r="AB824" s="9">
        <f t="shared" si="116"/>
        <v>-0.34055001329771517</v>
      </c>
      <c r="AC824" s="9">
        <f t="shared" si="117"/>
        <v>-0.35597868954789014</v>
      </c>
      <c r="AD824" s="2">
        <f t="shared" si="118"/>
        <v>4.5305170012390983E-2</v>
      </c>
      <c r="AE824" s="8">
        <f t="shared" si="119"/>
        <v>2.4113606608499516E-3</v>
      </c>
      <c r="AF824" s="2">
        <f t="shared" si="120"/>
        <v>-5.1945039148813613E-3</v>
      </c>
      <c r="AG824" s="8">
        <f t="shared" si="121"/>
        <v>7.6058645757313128E-3</v>
      </c>
      <c r="AH824" s="7">
        <f t="shared" si="122"/>
        <v>-0.68296034765803115</v>
      </c>
      <c r="AI824">
        <f t="shared" si="123"/>
        <v>8</v>
      </c>
      <c r="AJ824" s="10">
        <f t="shared" si="124"/>
        <v>0.48677533284680402</v>
      </c>
    </row>
    <row r="825" spans="1:36" hidden="1" x14ac:dyDescent="0.25">
      <c r="A825" t="b">
        <v>0</v>
      </c>
      <c r="B825">
        <v>1000</v>
      </c>
      <c r="C825">
        <v>0.48677533284680402</v>
      </c>
      <c r="D825" t="s">
        <v>52</v>
      </c>
      <c r="E825" t="b">
        <v>1</v>
      </c>
      <c r="F825" t="s">
        <v>53</v>
      </c>
      <c r="G825">
        <v>7.4999999999999997E-2</v>
      </c>
      <c r="H825">
        <v>0.5</v>
      </c>
      <c r="I825">
        <v>1E-4</v>
      </c>
      <c r="J825" t="b">
        <v>1</v>
      </c>
      <c r="K825">
        <v>8</v>
      </c>
      <c r="L825">
        <v>1500</v>
      </c>
      <c r="M825">
        <v>0.5</v>
      </c>
      <c r="N825">
        <v>0.154</v>
      </c>
      <c r="O825" t="s">
        <v>377</v>
      </c>
      <c r="P825" t="s">
        <v>383</v>
      </c>
      <c r="Q825">
        <v>-4.0802544533502001E-4</v>
      </c>
      <c r="R825">
        <v>8.72260788383835E-3</v>
      </c>
      <c r="S825">
        <v>2.1257821025095699E-3</v>
      </c>
      <c r="T825">
        <v>-4.63375243370963E-2</v>
      </c>
      <c r="U825">
        <v>7.9736373875127304</v>
      </c>
      <c r="V825" s="1">
        <v>9.9999999999999905E-15</v>
      </c>
      <c r="W825">
        <v>1.4195733821142</v>
      </c>
      <c r="X825">
        <v>2.4999999999999898</v>
      </c>
      <c r="Y825">
        <v>65.657759967920995</v>
      </c>
      <c r="Z825">
        <v>0.499999999999999</v>
      </c>
      <c r="AA825">
        <v>118.37579012098099</v>
      </c>
      <c r="AB825" s="9">
        <f t="shared" si="116"/>
        <v>-0.34059173652482583</v>
      </c>
      <c r="AC825" s="9">
        <f t="shared" si="117"/>
        <v>-0.35597868954789014</v>
      </c>
      <c r="AD825" s="2">
        <f t="shared" si="118"/>
        <v>4.5177117859824367E-2</v>
      </c>
      <c r="AE825" s="8">
        <f t="shared" si="119"/>
        <v>2.4253357520852841E-3</v>
      </c>
      <c r="AF825" s="2">
        <f t="shared" si="120"/>
        <v>-5.1805288236460283E-3</v>
      </c>
      <c r="AG825" s="8">
        <f t="shared" si="121"/>
        <v>7.6058645757313128E-3</v>
      </c>
      <c r="AH825" s="7">
        <f t="shared" si="122"/>
        <v>-0.68112293770993348</v>
      </c>
      <c r="AI825">
        <f t="shared" si="123"/>
        <v>8</v>
      </c>
      <c r="AJ825" s="10">
        <f t="shared" si="124"/>
        <v>0.48677533284680402</v>
      </c>
    </row>
    <row r="826" spans="1:36" hidden="1" x14ac:dyDescent="0.25">
      <c r="A826" t="b">
        <v>0</v>
      </c>
      <c r="B826">
        <v>1000</v>
      </c>
      <c r="C826">
        <v>0.48677533284680402</v>
      </c>
      <c r="D826" t="s">
        <v>52</v>
      </c>
      <c r="E826" t="b">
        <v>1</v>
      </c>
      <c r="F826" t="s">
        <v>53</v>
      </c>
      <c r="G826">
        <v>7.4999999999999997E-2</v>
      </c>
      <c r="H826">
        <v>0.5</v>
      </c>
      <c r="I826">
        <v>1E-4</v>
      </c>
      <c r="J826" t="b">
        <v>1</v>
      </c>
      <c r="K826">
        <v>8</v>
      </c>
      <c r="L826">
        <v>1500</v>
      </c>
      <c r="M826">
        <v>0.5</v>
      </c>
      <c r="N826">
        <v>0.154</v>
      </c>
      <c r="O826" t="s">
        <v>377</v>
      </c>
      <c r="P826" t="s">
        <v>384</v>
      </c>
      <c r="Q826">
        <v>-7.6512736787399103E-4</v>
      </c>
      <c r="R826">
        <v>1.6138127166946899E-2</v>
      </c>
      <c r="S826">
        <v>3.9850023265987798E-3</v>
      </c>
      <c r="T826">
        <v>-8.6825424858418501E-2</v>
      </c>
      <c r="U826">
        <v>7.9698251908283302</v>
      </c>
      <c r="V826" s="1">
        <v>9.99999999999997E-15</v>
      </c>
      <c r="W826">
        <v>1.4181889795188101</v>
      </c>
      <c r="X826">
        <v>2.4999999999999898</v>
      </c>
      <c r="Y826">
        <v>64.584142910971295</v>
      </c>
      <c r="Z826">
        <v>0.499999999999998</v>
      </c>
      <c r="AA826">
        <v>116.885558518412</v>
      </c>
      <c r="AB826" s="9">
        <f t="shared" si="116"/>
        <v>-0.34043826131732641</v>
      </c>
      <c r="AC826" s="9">
        <f t="shared" si="117"/>
        <v>-0.35597868954789014</v>
      </c>
      <c r="AD826" s="2">
        <f t="shared" si="118"/>
        <v>4.5648301017723547E-2</v>
      </c>
      <c r="AE826" s="8">
        <f t="shared" si="119"/>
        <v>2.3739315321893973E-3</v>
      </c>
      <c r="AF826" s="2">
        <f t="shared" si="120"/>
        <v>-5.231933043541916E-3</v>
      </c>
      <c r="AG826" s="8">
        <f t="shared" si="121"/>
        <v>7.6058645757313128E-3</v>
      </c>
      <c r="AH826" s="7">
        <f t="shared" si="122"/>
        <v>-0.68788143562743609</v>
      </c>
      <c r="AI826">
        <f t="shared" si="123"/>
        <v>8</v>
      </c>
      <c r="AJ826" s="10">
        <f t="shared" si="124"/>
        <v>0.48677533284680402</v>
      </c>
    </row>
    <row r="827" spans="1:36" hidden="1" x14ac:dyDescent="0.25">
      <c r="A827" t="b">
        <v>0</v>
      </c>
      <c r="B827">
        <v>1000</v>
      </c>
      <c r="C827">
        <v>0.48677533284680402</v>
      </c>
      <c r="D827" t="s">
        <v>52</v>
      </c>
      <c r="E827" t="b">
        <v>1</v>
      </c>
      <c r="F827" t="s">
        <v>53</v>
      </c>
      <c r="G827">
        <v>7.4999999999999997E-2</v>
      </c>
      <c r="H827">
        <v>0.5</v>
      </c>
      <c r="I827">
        <v>1E-4</v>
      </c>
      <c r="J827" t="b">
        <v>1</v>
      </c>
      <c r="K827">
        <v>8</v>
      </c>
      <c r="L827">
        <v>1500</v>
      </c>
      <c r="M827">
        <v>0.5</v>
      </c>
      <c r="N827">
        <v>0.154</v>
      </c>
      <c r="O827" t="s">
        <v>378</v>
      </c>
      <c r="P827" t="s">
        <v>381</v>
      </c>
      <c r="Q827" s="1">
        <v>-5.1075371063826199E-5</v>
      </c>
      <c r="R827">
        <v>1.0980258369115701E-3</v>
      </c>
      <c r="S827">
        <v>2.6625795480977199E-4</v>
      </c>
      <c r="T827">
        <v>-5.8088220505945502E-3</v>
      </c>
      <c r="U827">
        <v>7.9698255207691</v>
      </c>
      <c r="V827" s="1">
        <v>9.9999999999999905E-15</v>
      </c>
      <c r="W827">
        <v>1.4294025334138101</v>
      </c>
      <c r="X827">
        <v>2.4999999999999898</v>
      </c>
      <c r="Y827">
        <v>65.9958727443219</v>
      </c>
      <c r="Z827">
        <v>0.499999999999999</v>
      </c>
      <c r="AA827">
        <v>119.051773896675</v>
      </c>
      <c r="AB827" s="9">
        <f t="shared" si="116"/>
        <v>-0.3408831281881714</v>
      </c>
      <c r="AC827" s="9">
        <f t="shared" si="117"/>
        <v>-0.35597868954789014</v>
      </c>
      <c r="AD827" s="2">
        <f t="shared" si="118"/>
        <v>4.4283685848440779E-2</v>
      </c>
      <c r="AE827" s="8">
        <f t="shared" si="119"/>
        <v>2.522947530373965E-3</v>
      </c>
      <c r="AF827" s="2">
        <f t="shared" si="120"/>
        <v>-5.0829170453573474E-3</v>
      </c>
      <c r="AG827" s="8">
        <f t="shared" si="121"/>
        <v>7.6058645757313128E-3</v>
      </c>
      <c r="AH827" s="7">
        <f t="shared" si="122"/>
        <v>-0.66828918589687336</v>
      </c>
      <c r="AI827">
        <f t="shared" si="123"/>
        <v>8</v>
      </c>
      <c r="AJ827" s="10">
        <f t="shared" si="124"/>
        <v>0.48677533284680402</v>
      </c>
    </row>
    <row r="828" spans="1:36" hidden="1" x14ac:dyDescent="0.25">
      <c r="A828" t="b">
        <v>0</v>
      </c>
      <c r="B828">
        <v>1000</v>
      </c>
      <c r="C828">
        <v>0.48677533284680402</v>
      </c>
      <c r="D828" t="s">
        <v>52</v>
      </c>
      <c r="E828" t="b">
        <v>1</v>
      </c>
      <c r="F828" t="s">
        <v>53</v>
      </c>
      <c r="G828">
        <v>7.4999999999999997E-2</v>
      </c>
      <c r="H828">
        <v>0.5</v>
      </c>
      <c r="I828">
        <v>1E-4</v>
      </c>
      <c r="J828" t="b">
        <v>1</v>
      </c>
      <c r="K828">
        <v>8</v>
      </c>
      <c r="L828">
        <v>1500</v>
      </c>
      <c r="M828">
        <v>0.5</v>
      </c>
      <c r="N828">
        <v>0.154</v>
      </c>
      <c r="O828" t="s">
        <v>378</v>
      </c>
      <c r="P828" t="s">
        <v>382</v>
      </c>
      <c r="Q828" s="1">
        <v>-1E-10</v>
      </c>
      <c r="R828" s="1">
        <v>3.58578593391961E-12</v>
      </c>
      <c r="S828" s="1">
        <v>7.5309994763328097E-18</v>
      </c>
      <c r="T828" s="1">
        <v>-4.2950902877172898E-17</v>
      </c>
      <c r="U828">
        <v>7.9703721596721797</v>
      </c>
      <c r="V828">
        <v>0</v>
      </c>
      <c r="W828">
        <v>6.8474548296175899E-2</v>
      </c>
      <c r="X828">
        <v>2</v>
      </c>
      <c r="Y828">
        <v>4.0005664161386501E-3</v>
      </c>
      <c r="Z828">
        <v>2.5000000000000001E-4</v>
      </c>
      <c r="AA828">
        <v>4.7933529838610402E-3</v>
      </c>
      <c r="AB828" s="9">
        <f t="shared" si="116"/>
        <v>-8.911272130145198E-2</v>
      </c>
      <c r="AC828" s="9">
        <f t="shared" si="117"/>
        <v>-0.35597868954789014</v>
      </c>
      <c r="AD828" s="2">
        <f t="shared" si="118"/>
        <v>2.9947011419803866</v>
      </c>
      <c r="AE828" s="8">
        <f t="shared" si="119"/>
        <v>-7.5278669744633681E-2</v>
      </c>
      <c r="AF828" s="2">
        <f t="shared" si="120"/>
        <v>-8.2884534320364994E-2</v>
      </c>
      <c r="AG828" s="8">
        <f t="shared" si="121"/>
        <v>7.6058645757313128E-3</v>
      </c>
      <c r="AH828" s="7">
        <f t="shared" si="122"/>
        <v>-10.897450709920845</v>
      </c>
      <c r="AI828">
        <f t="shared" si="123"/>
        <v>8</v>
      </c>
      <c r="AJ828" s="10">
        <f t="shared" si="124"/>
        <v>0.48677533284680402</v>
      </c>
    </row>
    <row r="829" spans="1:36" hidden="1" x14ac:dyDescent="0.25">
      <c r="A829" t="b">
        <v>0</v>
      </c>
      <c r="B829">
        <v>1000</v>
      </c>
      <c r="C829">
        <v>0.48677533284680402</v>
      </c>
      <c r="D829" t="s">
        <v>52</v>
      </c>
      <c r="E829" t="b">
        <v>1</v>
      </c>
      <c r="F829" t="s">
        <v>53</v>
      </c>
      <c r="G829">
        <v>7.4999999999999997E-2</v>
      </c>
      <c r="H829">
        <v>0.5</v>
      </c>
      <c r="I829">
        <v>1E-4</v>
      </c>
      <c r="J829" t="b">
        <v>1</v>
      </c>
      <c r="K829">
        <v>8</v>
      </c>
      <c r="L829">
        <v>1500</v>
      </c>
      <c r="M829">
        <v>0.5</v>
      </c>
      <c r="N829">
        <v>0.154</v>
      </c>
      <c r="O829" t="s">
        <v>378</v>
      </c>
      <c r="P829" t="s">
        <v>383</v>
      </c>
      <c r="Q829" s="1">
        <v>-5.10753710638275E-5</v>
      </c>
      <c r="R829">
        <v>1.0973212185895499E-3</v>
      </c>
      <c r="S829">
        <v>2.6625795480977199E-4</v>
      </c>
      <c r="T829">
        <v>-5.8088220505943004E-3</v>
      </c>
      <c r="U829">
        <v>7.9698255207947204</v>
      </c>
      <c r="V829" s="1">
        <v>9.9999999999999905E-15</v>
      </c>
      <c r="W829">
        <v>1.4463212545336199</v>
      </c>
      <c r="X829">
        <v>2.4999999999999898</v>
      </c>
      <c r="Y829">
        <v>65.6884857093672</v>
      </c>
      <c r="Z829">
        <v>0.499999999999999</v>
      </c>
      <c r="AA829">
        <v>119.090131172121</v>
      </c>
      <c r="AB829" s="9">
        <f t="shared" si="116"/>
        <v>-0.34088312818815675</v>
      </c>
      <c r="AC829" s="9">
        <f t="shared" si="117"/>
        <v>-0.35597868954789014</v>
      </c>
      <c r="AD829" s="2">
        <f t="shared" si="118"/>
        <v>4.4283685848485632E-2</v>
      </c>
      <c r="AE829" s="8">
        <f t="shared" si="119"/>
        <v>2.5229475303690553E-3</v>
      </c>
      <c r="AF829" s="2">
        <f t="shared" si="120"/>
        <v>-5.0829170453622575E-3</v>
      </c>
      <c r="AG829" s="8">
        <f t="shared" si="121"/>
        <v>7.6058645757313128E-3</v>
      </c>
      <c r="AH829" s="7">
        <f t="shared" si="122"/>
        <v>-0.66828918589751896</v>
      </c>
      <c r="AI829">
        <f t="shared" si="123"/>
        <v>8</v>
      </c>
      <c r="AJ829" s="10">
        <f t="shared" si="124"/>
        <v>0.48677533284680402</v>
      </c>
    </row>
    <row r="830" spans="1:36" hidden="1" x14ac:dyDescent="0.25">
      <c r="A830" t="b">
        <v>0</v>
      </c>
      <c r="B830">
        <v>1000</v>
      </c>
      <c r="C830">
        <v>0.48677533284680402</v>
      </c>
      <c r="D830" t="s">
        <v>52</v>
      </c>
      <c r="E830" t="b">
        <v>1</v>
      </c>
      <c r="F830" t="s">
        <v>53</v>
      </c>
      <c r="G830">
        <v>7.4999999999999997E-2</v>
      </c>
      <c r="H830">
        <v>0.5</v>
      </c>
      <c r="I830">
        <v>1E-4</v>
      </c>
      <c r="J830" t="b">
        <v>1</v>
      </c>
      <c r="K830">
        <v>8</v>
      </c>
      <c r="L830">
        <v>1500</v>
      </c>
      <c r="M830">
        <v>0.5</v>
      </c>
      <c r="N830">
        <v>0.154</v>
      </c>
      <c r="O830" t="s">
        <v>378</v>
      </c>
      <c r="P830" t="s">
        <v>384</v>
      </c>
      <c r="Q830">
        <v>-4.0817729360424499E-4</v>
      </c>
      <c r="R830">
        <v>8.6410573245438195E-3</v>
      </c>
      <c r="S830">
        <v>2.1254781788989799E-3</v>
      </c>
      <c r="T830">
        <v>-4.6296722571916603E-2</v>
      </c>
      <c r="U830">
        <v>7.9660133241103201</v>
      </c>
      <c r="V830" s="1">
        <v>9.9999999999999905E-15</v>
      </c>
      <c r="W830">
        <v>1.3993305094664801</v>
      </c>
      <c r="X830">
        <v>2.4999999999999898</v>
      </c>
      <c r="Y830">
        <v>65.159267438893593</v>
      </c>
      <c r="Z830">
        <v>0.499999999999999</v>
      </c>
      <c r="AA830">
        <v>117.17106864176</v>
      </c>
      <c r="AB830" s="9">
        <f t="shared" si="116"/>
        <v>-0.34034049249139725</v>
      </c>
      <c r="AC830" s="9">
        <f t="shared" si="117"/>
        <v>-0.35597868954789014</v>
      </c>
      <c r="AD830" s="2">
        <f t="shared" si="118"/>
        <v>4.5948681986138329E-2</v>
      </c>
      <c r="AE830" s="8">
        <f t="shared" si="119"/>
        <v>2.3411880785163416E-3</v>
      </c>
      <c r="AF830" s="2">
        <f t="shared" si="120"/>
        <v>-5.2646764972149717E-3</v>
      </c>
      <c r="AG830" s="8">
        <f t="shared" si="121"/>
        <v>7.6058645757313128E-3</v>
      </c>
      <c r="AH830" s="7">
        <f t="shared" si="122"/>
        <v>-0.69218646280048535</v>
      </c>
      <c r="AI830">
        <f t="shared" si="123"/>
        <v>8</v>
      </c>
      <c r="AJ830" s="10">
        <f t="shared" si="124"/>
        <v>0.48677533284680402</v>
      </c>
    </row>
    <row r="831" spans="1:36" hidden="1" x14ac:dyDescent="0.25">
      <c r="A831" t="b">
        <v>0</v>
      </c>
      <c r="B831">
        <v>1000</v>
      </c>
      <c r="C831">
        <v>0.48677533284680402</v>
      </c>
      <c r="D831" t="s">
        <v>52</v>
      </c>
      <c r="E831" t="b">
        <v>1</v>
      </c>
      <c r="F831" t="s">
        <v>53</v>
      </c>
      <c r="G831">
        <v>7.4999999999999997E-2</v>
      </c>
      <c r="H831">
        <v>0.5</v>
      </c>
      <c r="I831">
        <v>1E-4</v>
      </c>
      <c r="J831" t="b">
        <v>1</v>
      </c>
      <c r="K831">
        <v>8</v>
      </c>
      <c r="L831">
        <v>1500</v>
      </c>
      <c r="M831">
        <v>0.5</v>
      </c>
      <c r="N831">
        <v>0.154</v>
      </c>
      <c r="O831" t="s">
        <v>379</v>
      </c>
      <c r="P831" t="s">
        <v>380</v>
      </c>
      <c r="Q831" s="1">
        <v>-5.1056307828909099E-5</v>
      </c>
      <c r="R831">
        <v>1.10891701980626E-3</v>
      </c>
      <c r="S831">
        <v>2.6629609122167801E-4</v>
      </c>
      <c r="T831">
        <v>-5.8139433747627202E-3</v>
      </c>
      <c r="U831">
        <v>7.9774492951025602</v>
      </c>
      <c r="V831" s="1">
        <v>9.9999999999999905E-15</v>
      </c>
      <c r="W831">
        <v>1.4502896560825</v>
      </c>
      <c r="X831">
        <v>2.4999999999999898</v>
      </c>
      <c r="Y831">
        <v>66.540381358519795</v>
      </c>
      <c r="Z831">
        <v>0.499999999999999</v>
      </c>
      <c r="AA831">
        <v>120.329051509168</v>
      </c>
      <c r="AB831" s="9">
        <f t="shared" si="116"/>
        <v>-0.34113480529853296</v>
      </c>
      <c r="AC831" s="9">
        <f t="shared" si="117"/>
        <v>-0.35597868954789014</v>
      </c>
      <c r="AD831" s="2">
        <f t="shared" si="118"/>
        <v>4.351325053556776E-2</v>
      </c>
      <c r="AE831" s="8">
        <f t="shared" si="119"/>
        <v>2.6072708385173281E-3</v>
      </c>
      <c r="AF831" s="2">
        <f t="shared" si="120"/>
        <v>-4.9985937372139851E-3</v>
      </c>
      <c r="AG831" s="8">
        <f t="shared" si="121"/>
        <v>7.6058645757313128E-3</v>
      </c>
      <c r="AH831" s="7">
        <f t="shared" si="122"/>
        <v>-0.65720256881294314</v>
      </c>
      <c r="AI831">
        <f t="shared" si="123"/>
        <v>8</v>
      </c>
      <c r="AJ831" s="10">
        <f t="shared" si="124"/>
        <v>0.48677533284680402</v>
      </c>
    </row>
    <row r="832" spans="1:36" hidden="1" x14ac:dyDescent="0.25">
      <c r="A832" t="b">
        <v>0</v>
      </c>
      <c r="B832">
        <v>1000</v>
      </c>
      <c r="C832">
        <v>0.48677533284680402</v>
      </c>
      <c r="D832" t="s">
        <v>52</v>
      </c>
      <c r="E832" t="b">
        <v>1</v>
      </c>
      <c r="F832" t="s">
        <v>53</v>
      </c>
      <c r="G832">
        <v>7.4999999999999997E-2</v>
      </c>
      <c r="H832">
        <v>0.5</v>
      </c>
      <c r="I832">
        <v>1E-4</v>
      </c>
      <c r="J832" t="b">
        <v>1</v>
      </c>
      <c r="K832">
        <v>8</v>
      </c>
      <c r="L832">
        <v>1500</v>
      </c>
      <c r="M832">
        <v>0.5</v>
      </c>
      <c r="N832">
        <v>0.154</v>
      </c>
      <c r="O832" t="s">
        <v>379</v>
      </c>
      <c r="P832" t="s">
        <v>381</v>
      </c>
      <c r="Q832">
        <v>-4.08025445335025E-4</v>
      </c>
      <c r="R832">
        <v>8.7417000690542101E-3</v>
      </c>
      <c r="S832">
        <v>2.1257821025095699E-3</v>
      </c>
      <c r="T832">
        <v>-4.63375243370963E-2</v>
      </c>
      <c r="U832">
        <v>7.9736373874691102</v>
      </c>
      <c r="V832" s="1">
        <v>9.9999999999999905E-15</v>
      </c>
      <c r="W832">
        <v>1.42472558609121</v>
      </c>
      <c r="X832">
        <v>2.4999999999999898</v>
      </c>
      <c r="Y832">
        <v>65.760562110279807</v>
      </c>
      <c r="Z832">
        <v>0.499999999999999</v>
      </c>
      <c r="AA832">
        <v>118.64943934641801</v>
      </c>
      <c r="AB832" s="9">
        <f t="shared" si="116"/>
        <v>-0.34059173652482583</v>
      </c>
      <c r="AC832" s="9">
        <f t="shared" si="117"/>
        <v>-0.35597868954789014</v>
      </c>
      <c r="AD832" s="2">
        <f t="shared" si="118"/>
        <v>4.5177117859824367E-2</v>
      </c>
      <c r="AE832" s="8">
        <f t="shared" si="119"/>
        <v>2.4253357520852841E-3</v>
      </c>
      <c r="AF832" s="2">
        <f t="shared" si="120"/>
        <v>-5.1805288236460283E-3</v>
      </c>
      <c r="AG832" s="8">
        <f t="shared" si="121"/>
        <v>7.6058645757313128E-3</v>
      </c>
      <c r="AH832" s="7">
        <f t="shared" si="122"/>
        <v>-0.68112293770993348</v>
      </c>
      <c r="AI832">
        <f t="shared" si="123"/>
        <v>8</v>
      </c>
      <c r="AJ832" s="10">
        <f t="shared" si="124"/>
        <v>0.48677533284680402</v>
      </c>
    </row>
    <row r="833" spans="1:36" hidden="1" x14ac:dyDescent="0.25">
      <c r="A833" t="b">
        <v>0</v>
      </c>
      <c r="B833">
        <v>1000</v>
      </c>
      <c r="C833">
        <v>0.48677533284680402</v>
      </c>
      <c r="D833" t="s">
        <v>52</v>
      </c>
      <c r="E833" t="b">
        <v>1</v>
      </c>
      <c r="F833" t="s">
        <v>53</v>
      </c>
      <c r="G833">
        <v>7.4999999999999997E-2</v>
      </c>
      <c r="H833">
        <v>0.5</v>
      </c>
      <c r="I833">
        <v>1E-4</v>
      </c>
      <c r="J833" t="b">
        <v>1</v>
      </c>
      <c r="K833">
        <v>8</v>
      </c>
      <c r="L833">
        <v>1500</v>
      </c>
      <c r="M833">
        <v>0.5</v>
      </c>
      <c r="N833">
        <v>0.154</v>
      </c>
      <c r="O833" t="s">
        <v>379</v>
      </c>
      <c r="P833" t="s">
        <v>382</v>
      </c>
      <c r="Q833">
        <v>-3.56950074271594E-4</v>
      </c>
      <c r="R833">
        <v>7.2516224864859003E-3</v>
      </c>
      <c r="S833">
        <v>1.8595241476997901E-3</v>
      </c>
      <c r="T833">
        <v>-4.0528702286501399E-2</v>
      </c>
      <c r="U833">
        <v>7.9741840263721899</v>
      </c>
      <c r="V833" s="1">
        <v>9.9999999999999905E-15</v>
      </c>
      <c r="W833">
        <v>1.34074841318311</v>
      </c>
      <c r="X833">
        <v>2.4999999999999898</v>
      </c>
      <c r="Y833">
        <v>62.773464329993097</v>
      </c>
      <c r="Z833">
        <v>0.499999999999999</v>
      </c>
      <c r="AA833">
        <v>112.372503178071</v>
      </c>
      <c r="AB833" s="9">
        <f t="shared" si="116"/>
        <v>-0.34055001329771428</v>
      </c>
      <c r="AC833" s="9">
        <f t="shared" si="117"/>
        <v>-0.35597868954789014</v>
      </c>
      <c r="AD833" s="2">
        <f t="shared" si="118"/>
        <v>4.5305170012393647E-2</v>
      </c>
      <c r="AE833" s="8">
        <f t="shared" si="119"/>
        <v>2.4113606608496541E-3</v>
      </c>
      <c r="AF833" s="2">
        <f t="shared" si="120"/>
        <v>-5.1945039148816588E-3</v>
      </c>
      <c r="AG833" s="8">
        <f t="shared" si="121"/>
        <v>7.6058645757313128E-3</v>
      </c>
      <c r="AH833" s="7">
        <f t="shared" si="122"/>
        <v>-0.68296034765807034</v>
      </c>
      <c r="AI833">
        <f t="shared" si="123"/>
        <v>8</v>
      </c>
      <c r="AJ833" s="10">
        <f t="shared" si="124"/>
        <v>0.48677533284680402</v>
      </c>
    </row>
    <row r="834" spans="1:36" hidden="1" x14ac:dyDescent="0.25">
      <c r="A834" t="b">
        <v>0</v>
      </c>
      <c r="B834">
        <v>1000</v>
      </c>
      <c r="C834">
        <v>0.48677533284680402</v>
      </c>
      <c r="D834" t="s">
        <v>52</v>
      </c>
      <c r="E834" t="b">
        <v>1</v>
      </c>
      <c r="F834" t="s">
        <v>53</v>
      </c>
      <c r="G834">
        <v>7.4999999999999997E-2</v>
      </c>
      <c r="H834">
        <v>0.5</v>
      </c>
      <c r="I834">
        <v>1E-4</v>
      </c>
      <c r="J834" t="b">
        <v>1</v>
      </c>
      <c r="K834">
        <v>8</v>
      </c>
      <c r="L834">
        <v>1500</v>
      </c>
      <c r="M834">
        <v>0.5</v>
      </c>
      <c r="N834">
        <v>0.154</v>
      </c>
      <c r="O834" t="s">
        <v>379</v>
      </c>
      <c r="P834" t="s">
        <v>383</v>
      </c>
      <c r="Q834">
        <v>-4.0802544533502202E-4</v>
      </c>
      <c r="R834">
        <v>8.7438117100920396E-3</v>
      </c>
      <c r="S834">
        <v>2.1257821025095699E-3</v>
      </c>
      <c r="T834">
        <v>-4.6337524337096203E-2</v>
      </c>
      <c r="U834">
        <v>7.9736373874947297</v>
      </c>
      <c r="V834" s="1">
        <v>9.9999999999999905E-15</v>
      </c>
      <c r="W834">
        <v>1.43071513568621</v>
      </c>
      <c r="X834">
        <v>2.4999999999999898</v>
      </c>
      <c r="Y834">
        <v>65.691833035608298</v>
      </c>
      <c r="Z834">
        <v>0.499999999999999</v>
      </c>
      <c r="AA834">
        <v>118.71456926387501</v>
      </c>
      <c r="AB834" s="9">
        <f t="shared" si="116"/>
        <v>-0.34059173652482511</v>
      </c>
      <c r="AC834" s="9">
        <f t="shared" si="117"/>
        <v>-0.35597868954789014</v>
      </c>
      <c r="AD834" s="2">
        <f t="shared" si="118"/>
        <v>4.5177117859826588E-2</v>
      </c>
      <c r="AE834" s="8">
        <f t="shared" si="119"/>
        <v>2.4253357520850611E-3</v>
      </c>
      <c r="AF834" s="2">
        <f t="shared" si="120"/>
        <v>-5.1805288236462521E-3</v>
      </c>
      <c r="AG834" s="8">
        <f t="shared" si="121"/>
        <v>7.6058645757313128E-3</v>
      </c>
      <c r="AH834" s="7">
        <f t="shared" si="122"/>
        <v>-0.68112293770996291</v>
      </c>
      <c r="AI834">
        <f t="shared" si="123"/>
        <v>8</v>
      </c>
      <c r="AJ834" s="10">
        <f t="shared" si="124"/>
        <v>0.48677533284680402</v>
      </c>
    </row>
    <row r="835" spans="1:36" hidden="1" x14ac:dyDescent="0.25">
      <c r="A835" t="b">
        <v>0</v>
      </c>
      <c r="B835">
        <v>1000</v>
      </c>
      <c r="C835">
        <v>0.48677533284680402</v>
      </c>
      <c r="D835" t="s">
        <v>52</v>
      </c>
      <c r="E835" t="b">
        <v>1</v>
      </c>
      <c r="F835" t="s">
        <v>53</v>
      </c>
      <c r="G835">
        <v>7.4999999999999997E-2</v>
      </c>
      <c r="H835">
        <v>0.5</v>
      </c>
      <c r="I835">
        <v>1E-4</v>
      </c>
      <c r="J835" t="b">
        <v>1</v>
      </c>
      <c r="K835">
        <v>8</v>
      </c>
      <c r="L835">
        <v>1500</v>
      </c>
      <c r="M835">
        <v>0.5</v>
      </c>
      <c r="N835">
        <v>0.154</v>
      </c>
      <c r="O835" t="s">
        <v>379</v>
      </c>
      <c r="P835" t="s">
        <v>384</v>
      </c>
      <c r="Q835">
        <v>-7.6512736787400502E-4</v>
      </c>
      <c r="R835">
        <v>1.59366906520618E-2</v>
      </c>
      <c r="S835">
        <v>3.9850023265987902E-3</v>
      </c>
      <c r="T835">
        <v>-8.6825424858418404E-2</v>
      </c>
      <c r="U835">
        <v>7.9698251908103304</v>
      </c>
      <c r="V835" s="1">
        <v>9.99999999999997E-15</v>
      </c>
      <c r="W835">
        <v>1.3829200251601601</v>
      </c>
      <c r="X835">
        <v>2.4999999999999898</v>
      </c>
      <c r="Y835">
        <v>64.097054040560394</v>
      </c>
      <c r="Z835">
        <v>0.499999999999998</v>
      </c>
      <c r="AA835">
        <v>115.301378544977</v>
      </c>
      <c r="AB835" s="9">
        <f t="shared" si="116"/>
        <v>-0.34043826131732513</v>
      </c>
      <c r="AC835" s="9">
        <f t="shared" si="117"/>
        <v>-0.35597868954789014</v>
      </c>
      <c r="AD835" s="2">
        <f t="shared" si="118"/>
        <v>4.5648301017727322E-2</v>
      </c>
      <c r="AE835" s="8">
        <f t="shared" si="119"/>
        <v>2.3739315321889757E-3</v>
      </c>
      <c r="AF835" s="2">
        <f t="shared" si="120"/>
        <v>-5.2319330435423375E-3</v>
      </c>
      <c r="AG835" s="8">
        <f t="shared" si="121"/>
        <v>7.6058645757313128E-3</v>
      </c>
      <c r="AH835" s="7">
        <f t="shared" si="122"/>
        <v>-0.6878814356274916</v>
      </c>
      <c r="AI835">
        <f t="shared" si="123"/>
        <v>8</v>
      </c>
      <c r="AJ835" s="10">
        <f t="shared" si="124"/>
        <v>0.48677533284680402</v>
      </c>
    </row>
    <row r="836" spans="1:36" hidden="1" x14ac:dyDescent="0.25">
      <c r="A836" t="b">
        <v>0</v>
      </c>
      <c r="B836">
        <v>1000</v>
      </c>
      <c r="C836">
        <v>0.48677533284680402</v>
      </c>
      <c r="D836" t="s">
        <v>52</v>
      </c>
      <c r="E836" t="b">
        <v>1</v>
      </c>
      <c r="F836" t="s">
        <v>53</v>
      </c>
      <c r="G836">
        <v>7.4999999999999997E-2</v>
      </c>
      <c r="H836">
        <v>0.5</v>
      </c>
      <c r="I836">
        <v>1E-4</v>
      </c>
      <c r="J836" t="b">
        <v>1</v>
      </c>
      <c r="K836">
        <v>8</v>
      </c>
      <c r="L836">
        <v>1500</v>
      </c>
      <c r="M836">
        <v>0.5</v>
      </c>
      <c r="N836">
        <v>0.154</v>
      </c>
      <c r="O836" t="s">
        <v>380</v>
      </c>
      <c r="P836" t="s">
        <v>381</v>
      </c>
      <c r="Q836">
        <v>-3.5696913750651101E-4</v>
      </c>
      <c r="R836">
        <v>7.3009454004483096E-3</v>
      </c>
      <c r="S836">
        <v>1.8594860112878899E-3</v>
      </c>
      <c r="T836">
        <v>-4.0523580962333397E-2</v>
      </c>
      <c r="U836">
        <v>7.9730907894971796</v>
      </c>
      <c r="V836" s="1">
        <v>9.9999999999999905E-15</v>
      </c>
      <c r="W836">
        <v>1.3500246363319801</v>
      </c>
      <c r="X836">
        <v>2.4999999999999898</v>
      </c>
      <c r="Y836">
        <v>63.161842164227501</v>
      </c>
      <c r="Z836">
        <v>0.499999999999999</v>
      </c>
      <c r="AA836">
        <v>113.13829471974</v>
      </c>
      <c r="AB836" s="9">
        <f t="shared" si="116"/>
        <v>-0.34051396390872274</v>
      </c>
      <c r="AC836" s="9">
        <f t="shared" si="117"/>
        <v>-0.35597868954789014</v>
      </c>
      <c r="AD836" s="2">
        <f t="shared" si="118"/>
        <v>4.5415833940110728E-2</v>
      </c>
      <c r="AE836" s="8">
        <f t="shared" si="119"/>
        <v>2.3992863213692537E-3</v>
      </c>
      <c r="AF836" s="2">
        <f t="shared" si="120"/>
        <v>-5.2065782543620591E-3</v>
      </c>
      <c r="AG836" s="8">
        <f t="shared" si="121"/>
        <v>7.6058645757313128E-3</v>
      </c>
      <c r="AH836" s="7">
        <f t="shared" si="122"/>
        <v>-0.68454785153224218</v>
      </c>
      <c r="AI836">
        <f t="shared" si="123"/>
        <v>8</v>
      </c>
      <c r="AJ836" s="10">
        <f t="shared" si="124"/>
        <v>0.48677533284680402</v>
      </c>
    </row>
    <row r="837" spans="1:36" hidden="1" x14ac:dyDescent="0.25">
      <c r="A837" t="b">
        <v>0</v>
      </c>
      <c r="B837">
        <v>1000</v>
      </c>
      <c r="C837">
        <v>0.48677533284680402</v>
      </c>
      <c r="D837" t="s">
        <v>52</v>
      </c>
      <c r="E837" t="b">
        <v>1</v>
      </c>
      <c r="F837" t="s">
        <v>53</v>
      </c>
      <c r="G837">
        <v>7.4999999999999997E-2</v>
      </c>
      <c r="H837">
        <v>0.5</v>
      </c>
      <c r="I837">
        <v>1E-4</v>
      </c>
      <c r="J837" t="b">
        <v>1</v>
      </c>
      <c r="K837">
        <v>8</v>
      </c>
      <c r="L837">
        <v>1500</v>
      </c>
      <c r="M837">
        <v>0.5</v>
      </c>
      <c r="N837">
        <v>0.154</v>
      </c>
      <c r="O837" t="s">
        <v>380</v>
      </c>
      <c r="P837" t="s">
        <v>382</v>
      </c>
      <c r="Q837">
        <v>-3.05893766442991E-4</v>
      </c>
      <c r="R837">
        <v>6.8663733236129397E-3</v>
      </c>
      <c r="S837">
        <v>1.5932280564781101E-3</v>
      </c>
      <c r="T837">
        <v>-3.4714758911738697E-2</v>
      </c>
      <c r="U837">
        <v>7.9736374284002602</v>
      </c>
      <c r="V837" s="1">
        <v>9.9999999999999905E-15</v>
      </c>
      <c r="W837">
        <v>1.5067188628108099</v>
      </c>
      <c r="X837">
        <v>2.4999999999999898</v>
      </c>
      <c r="Y837">
        <v>68.476658881705703</v>
      </c>
      <c r="Z837">
        <v>0.499999999999999</v>
      </c>
      <c r="AA837">
        <v>124.455655550872</v>
      </c>
      <c r="AB837" s="9">
        <f t="shared" si="116"/>
        <v>-0.34045226971143888</v>
      </c>
      <c r="AC837" s="9">
        <f t="shared" si="117"/>
        <v>-0.35597868954789014</v>
      </c>
      <c r="AD837" s="2">
        <f t="shared" si="118"/>
        <v>4.5605276327313593E-2</v>
      </c>
      <c r="AE837" s="8">
        <f t="shared" si="119"/>
        <v>2.3786232151472159E-3</v>
      </c>
      <c r="AF837" s="2">
        <f t="shared" si="120"/>
        <v>-5.227241360584097E-3</v>
      </c>
      <c r="AG837" s="8">
        <f t="shared" si="121"/>
        <v>7.6058645757313128E-3</v>
      </c>
      <c r="AH837" s="7">
        <f t="shared" si="122"/>
        <v>-0.68726458491820985</v>
      </c>
      <c r="AI837">
        <f t="shared" si="123"/>
        <v>8</v>
      </c>
      <c r="AJ837" s="10">
        <f t="shared" si="124"/>
        <v>0.48677533284680402</v>
      </c>
    </row>
    <row r="838" spans="1:36" hidden="1" x14ac:dyDescent="0.25">
      <c r="A838" t="b">
        <v>0</v>
      </c>
      <c r="B838">
        <v>1000</v>
      </c>
      <c r="C838">
        <v>0.48677533284680402</v>
      </c>
      <c r="D838" t="s">
        <v>52</v>
      </c>
      <c r="E838" t="b">
        <v>1</v>
      </c>
      <c r="F838" t="s">
        <v>53</v>
      </c>
      <c r="G838">
        <v>7.4999999999999997E-2</v>
      </c>
      <c r="H838">
        <v>0.5</v>
      </c>
      <c r="I838">
        <v>1E-4</v>
      </c>
      <c r="J838" t="b">
        <v>1</v>
      </c>
      <c r="K838">
        <v>8</v>
      </c>
      <c r="L838">
        <v>1500</v>
      </c>
      <c r="M838">
        <v>0.5</v>
      </c>
      <c r="N838">
        <v>0.154</v>
      </c>
      <c r="O838" t="s">
        <v>380</v>
      </c>
      <c r="P838" t="s">
        <v>383</v>
      </c>
      <c r="Q838">
        <v>-3.5696913750650201E-4</v>
      </c>
      <c r="R838">
        <v>7.2987350148242701E-3</v>
      </c>
      <c r="S838">
        <v>1.8594860112878899E-3</v>
      </c>
      <c r="T838">
        <v>-4.0523580962333203E-2</v>
      </c>
      <c r="U838">
        <v>7.9730907895228</v>
      </c>
      <c r="V838" s="1">
        <v>9.9999999999999905E-15</v>
      </c>
      <c r="W838">
        <v>1.35373226577217</v>
      </c>
      <c r="X838">
        <v>2.4999999999999898</v>
      </c>
      <c r="Y838">
        <v>63.080970749499102</v>
      </c>
      <c r="Z838">
        <v>0.499999999999999</v>
      </c>
      <c r="AA838">
        <v>113.13062001047901</v>
      </c>
      <c r="AB838" s="9">
        <f t="shared" si="116"/>
        <v>-0.34051396390872107</v>
      </c>
      <c r="AC838" s="9">
        <f t="shared" si="117"/>
        <v>-0.35597868954789014</v>
      </c>
      <c r="AD838" s="2">
        <f t="shared" si="118"/>
        <v>4.5415833940115835E-2</v>
      </c>
      <c r="AE838" s="8">
        <f t="shared" si="119"/>
        <v>2.3992863213686834E-3</v>
      </c>
      <c r="AF838" s="2">
        <f t="shared" si="120"/>
        <v>-5.2065782543626298E-3</v>
      </c>
      <c r="AG838" s="8">
        <f t="shared" si="121"/>
        <v>7.6058645757313128E-3</v>
      </c>
      <c r="AH838" s="7">
        <f t="shared" si="122"/>
        <v>-0.68454785153231723</v>
      </c>
      <c r="AI838">
        <f t="shared" si="123"/>
        <v>8</v>
      </c>
      <c r="AJ838" s="10">
        <f t="shared" si="124"/>
        <v>0.48677533284680402</v>
      </c>
    </row>
    <row r="839" spans="1:36" hidden="1" x14ac:dyDescent="0.25">
      <c r="A839" t="b">
        <v>0</v>
      </c>
      <c r="B839">
        <v>1000</v>
      </c>
      <c r="C839">
        <v>0.48677533284680402</v>
      </c>
      <c r="D839" t="s">
        <v>52</v>
      </c>
      <c r="E839" t="b">
        <v>1</v>
      </c>
      <c r="F839" t="s">
        <v>53</v>
      </c>
      <c r="G839">
        <v>7.4999999999999997E-2</v>
      </c>
      <c r="H839">
        <v>0.5</v>
      </c>
      <c r="I839">
        <v>1E-4</v>
      </c>
      <c r="J839" t="b">
        <v>1</v>
      </c>
      <c r="K839">
        <v>8</v>
      </c>
      <c r="L839">
        <v>1500</v>
      </c>
      <c r="M839">
        <v>0.5</v>
      </c>
      <c r="N839">
        <v>0.154</v>
      </c>
      <c r="O839" t="s">
        <v>380</v>
      </c>
      <c r="P839" t="s">
        <v>384</v>
      </c>
      <c r="Q839">
        <v>-7.1407106004556405E-4</v>
      </c>
      <c r="R839">
        <v>1.4552592871177701E-2</v>
      </c>
      <c r="S839">
        <v>3.7187062353771002E-3</v>
      </c>
      <c r="T839">
        <v>-8.1011481483655501E-2</v>
      </c>
      <c r="U839">
        <v>7.9692785928383998</v>
      </c>
      <c r="V839" s="1">
        <v>9.9999999999999795E-15</v>
      </c>
      <c r="W839">
        <v>1.35530986114793</v>
      </c>
      <c r="X839">
        <v>2.4999999999999898</v>
      </c>
      <c r="Y839">
        <v>62.785554816729203</v>
      </c>
      <c r="Z839">
        <v>0.499999999999998</v>
      </c>
      <c r="AA839">
        <v>112.80438902697701</v>
      </c>
      <c r="AB839" s="9">
        <f t="shared" si="116"/>
        <v>-0.34038838188942255</v>
      </c>
      <c r="AC839" s="9">
        <f t="shared" si="117"/>
        <v>-0.35597868954789014</v>
      </c>
      <c r="AD839" s="2">
        <f t="shared" si="118"/>
        <v>4.5801526984937446E-2</v>
      </c>
      <c r="AE839" s="8">
        <f t="shared" si="119"/>
        <v>2.3572263006994359E-3</v>
      </c>
      <c r="AF839" s="2">
        <f t="shared" si="120"/>
        <v>-5.2486382750318774E-3</v>
      </c>
      <c r="AG839" s="8">
        <f t="shared" si="121"/>
        <v>7.6058645757313128E-3</v>
      </c>
      <c r="AH839" s="7">
        <f t="shared" si="122"/>
        <v>-0.69007779756941234</v>
      </c>
      <c r="AI839">
        <f t="shared" si="123"/>
        <v>8</v>
      </c>
      <c r="AJ839" s="10">
        <f t="shared" si="124"/>
        <v>0.48677533284680402</v>
      </c>
    </row>
    <row r="840" spans="1:36" hidden="1" x14ac:dyDescent="0.25">
      <c r="A840" t="b">
        <v>0</v>
      </c>
      <c r="B840">
        <v>1000</v>
      </c>
      <c r="C840">
        <v>0.48677533284680402</v>
      </c>
      <c r="D840" t="s">
        <v>52</v>
      </c>
      <c r="E840" t="b">
        <v>1</v>
      </c>
      <c r="F840" t="s">
        <v>53</v>
      </c>
      <c r="G840">
        <v>7.4999999999999997E-2</v>
      </c>
      <c r="H840">
        <v>0.5</v>
      </c>
      <c r="I840">
        <v>1E-4</v>
      </c>
      <c r="J840" t="b">
        <v>1</v>
      </c>
      <c r="K840">
        <v>8</v>
      </c>
      <c r="L840">
        <v>1500</v>
      </c>
      <c r="M840">
        <v>0.5</v>
      </c>
      <c r="N840">
        <v>0.154</v>
      </c>
      <c r="O840" t="s">
        <v>381</v>
      </c>
      <c r="P840" t="s">
        <v>383</v>
      </c>
      <c r="Q840" s="1">
        <v>-1E-10</v>
      </c>
      <c r="R840" s="1">
        <v>3.5857858700486902E-12</v>
      </c>
      <c r="S840" s="1">
        <v>9.8066225297948192E-18</v>
      </c>
      <c r="T840" s="1">
        <v>1.10703083366792E-16</v>
      </c>
      <c r="U840">
        <v>7.9692788818893501</v>
      </c>
      <c r="V840">
        <v>0</v>
      </c>
      <c r="W840">
        <v>6.8474547076490103E-2</v>
      </c>
      <c r="X840">
        <v>2</v>
      </c>
      <c r="Y840">
        <v>4.0005663448795603E-3</v>
      </c>
      <c r="Z840">
        <v>2.5000000000000001E-4</v>
      </c>
      <c r="AA840">
        <v>4.79335289848063E-3</v>
      </c>
      <c r="AB840" s="9">
        <f t="shared" si="116"/>
        <v>0.17638444554695384</v>
      </c>
      <c r="AC840" s="9">
        <f t="shared" si="117"/>
        <v>-0.35597868954789014</v>
      </c>
      <c r="AD840" s="2">
        <f t="shared" si="118"/>
        <v>-3.0181977409857716</v>
      </c>
      <c r="AE840" s="8">
        <f t="shared" si="119"/>
        <v>-0.14523041765566219</v>
      </c>
      <c r="AF840" s="2">
        <f t="shared" si="120"/>
        <v>-0.15283628223139351</v>
      </c>
      <c r="AG840" s="8">
        <f t="shared" si="121"/>
        <v>7.6058645757313128E-3</v>
      </c>
      <c r="AH840" s="7">
        <f t="shared" si="122"/>
        <v>-20.094531096314991</v>
      </c>
      <c r="AI840">
        <f t="shared" si="123"/>
        <v>8</v>
      </c>
      <c r="AJ840" s="10">
        <f t="shared" si="124"/>
        <v>0.48677533284680402</v>
      </c>
    </row>
    <row r="841" spans="1:36" hidden="1" x14ac:dyDescent="0.25">
      <c r="A841" t="b">
        <v>0</v>
      </c>
      <c r="B841">
        <v>1000</v>
      </c>
      <c r="C841">
        <v>0.48677533284680402</v>
      </c>
      <c r="D841" t="s">
        <v>52</v>
      </c>
      <c r="E841" t="b">
        <v>1</v>
      </c>
      <c r="F841" t="s">
        <v>53</v>
      </c>
      <c r="G841">
        <v>7.4999999999999997E-2</v>
      </c>
      <c r="H841">
        <v>0.5</v>
      </c>
      <c r="I841">
        <v>1E-4</v>
      </c>
      <c r="J841" t="b">
        <v>1</v>
      </c>
      <c r="K841">
        <v>8</v>
      </c>
      <c r="L841">
        <v>1500</v>
      </c>
      <c r="M841">
        <v>0.5</v>
      </c>
      <c r="N841">
        <v>0.154</v>
      </c>
      <c r="O841" t="s">
        <v>381</v>
      </c>
      <c r="P841" t="s">
        <v>384</v>
      </c>
      <c r="Q841">
        <v>-3.5710192254081899E-4</v>
      </c>
      <c r="R841">
        <v>7.2304342199089999E-3</v>
      </c>
      <c r="S841">
        <v>1.8592202240892001E-3</v>
      </c>
      <c r="T841">
        <v>-4.0487900521321799E-2</v>
      </c>
      <c r="U841">
        <v>7.9654666852049498</v>
      </c>
      <c r="V841" s="1">
        <v>9.9999999999999905E-15</v>
      </c>
      <c r="W841">
        <v>1.35064050079854</v>
      </c>
      <c r="X841">
        <v>2.4999999999999898</v>
      </c>
      <c r="Y841">
        <v>62.363416023495397</v>
      </c>
      <c r="Z841">
        <v>0.499999999999999</v>
      </c>
      <c r="AA841">
        <v>112.080682740809</v>
      </c>
      <c r="AB841" s="9">
        <f t="shared" si="116"/>
        <v>-0.34026278191738391</v>
      </c>
      <c r="AC841" s="9">
        <f t="shared" si="117"/>
        <v>-0.35597868954789014</v>
      </c>
      <c r="AD841" s="2">
        <f t="shared" si="118"/>
        <v>4.6187559926322175E-2</v>
      </c>
      <c r="AE841" s="8">
        <f t="shared" si="119"/>
        <v>2.3151637975163848E-3</v>
      </c>
      <c r="AF841" s="2">
        <f t="shared" si="120"/>
        <v>-5.290700778214928E-3</v>
      </c>
      <c r="AG841" s="8">
        <f t="shared" si="121"/>
        <v>7.6058645757313128E-3</v>
      </c>
      <c r="AH841" s="7">
        <f t="shared" si="122"/>
        <v>-0.69560807000119651</v>
      </c>
      <c r="AI841">
        <f t="shared" si="123"/>
        <v>8</v>
      </c>
      <c r="AJ841" s="10">
        <f t="shared" si="124"/>
        <v>0.48677533284680402</v>
      </c>
    </row>
    <row r="842" spans="1:36" hidden="1" x14ac:dyDescent="0.25">
      <c r="A842" t="b">
        <v>0</v>
      </c>
      <c r="B842">
        <v>1000</v>
      </c>
      <c r="C842">
        <v>0.48677533284680402</v>
      </c>
      <c r="D842" t="s">
        <v>52</v>
      </c>
      <c r="E842" t="b">
        <v>1</v>
      </c>
      <c r="F842" t="s">
        <v>53</v>
      </c>
      <c r="G842">
        <v>7.4999999999999997E-2</v>
      </c>
      <c r="H842">
        <v>0.5</v>
      </c>
      <c r="I842">
        <v>1E-4</v>
      </c>
      <c r="J842" t="b">
        <v>1</v>
      </c>
      <c r="K842">
        <v>8</v>
      </c>
      <c r="L842">
        <v>1500</v>
      </c>
      <c r="M842">
        <v>0.5</v>
      </c>
      <c r="N842">
        <v>0.154</v>
      </c>
      <c r="O842" t="s">
        <v>382</v>
      </c>
      <c r="P842" t="s">
        <v>383</v>
      </c>
      <c r="Q842" s="1">
        <v>-5.10753710638279E-5</v>
      </c>
      <c r="R842">
        <v>1.1009785051465399E-3</v>
      </c>
      <c r="S842">
        <v>2.6625795480977502E-4</v>
      </c>
      <c r="T842">
        <v>-5.8088220505944001E-3</v>
      </c>
      <c r="U842">
        <v>7.9698255207924298</v>
      </c>
      <c r="V842" s="1">
        <v>9.9999999999999905E-15</v>
      </c>
      <c r="W842">
        <v>1.4326859988246099</v>
      </c>
      <c r="X842">
        <v>2.4999999999999898</v>
      </c>
      <c r="Y842">
        <v>66.165590797745807</v>
      </c>
      <c r="Z842">
        <v>0.499999999999999</v>
      </c>
      <c r="AA842">
        <v>119.37495453426</v>
      </c>
      <c r="AB842" s="9">
        <f t="shared" si="116"/>
        <v>-0.34088312818815869</v>
      </c>
      <c r="AC842" s="9">
        <f t="shared" si="117"/>
        <v>-0.35597868954789014</v>
      </c>
      <c r="AD842" s="2">
        <f t="shared" si="118"/>
        <v>4.4283685848479637E-2</v>
      </c>
      <c r="AE842" s="8">
        <f t="shared" si="119"/>
        <v>2.5229475303697245E-3</v>
      </c>
      <c r="AF842" s="2">
        <f t="shared" si="120"/>
        <v>-5.0829170453615888E-3</v>
      </c>
      <c r="AG842" s="8">
        <f t="shared" si="121"/>
        <v>7.6058645757313128E-3</v>
      </c>
      <c r="AH842" s="7">
        <f t="shared" si="122"/>
        <v>-0.66828918589743103</v>
      </c>
      <c r="AI842">
        <f t="shared" si="123"/>
        <v>8</v>
      </c>
      <c r="AJ842" s="10">
        <f t="shared" si="124"/>
        <v>0.48677533284680402</v>
      </c>
    </row>
    <row r="843" spans="1:36" hidden="1" x14ac:dyDescent="0.25">
      <c r="A843" t="b">
        <v>0</v>
      </c>
      <c r="B843">
        <v>1000</v>
      </c>
      <c r="C843">
        <v>0.48677533284680402</v>
      </c>
      <c r="D843" t="s">
        <v>52</v>
      </c>
      <c r="E843" t="b">
        <v>1</v>
      </c>
      <c r="F843" t="s">
        <v>53</v>
      </c>
      <c r="G843">
        <v>7.4999999999999997E-2</v>
      </c>
      <c r="H843">
        <v>0.5</v>
      </c>
      <c r="I843">
        <v>1E-4</v>
      </c>
      <c r="J843" t="b">
        <v>1</v>
      </c>
      <c r="K843">
        <v>8</v>
      </c>
      <c r="L843">
        <v>1500</v>
      </c>
      <c r="M843">
        <v>0.5</v>
      </c>
      <c r="N843">
        <v>0.154</v>
      </c>
      <c r="O843" t="s">
        <v>382</v>
      </c>
      <c r="P843" t="s">
        <v>384</v>
      </c>
      <c r="Q843">
        <v>-4.0817729360424201E-4</v>
      </c>
      <c r="R843">
        <v>8.7388083131353395E-3</v>
      </c>
      <c r="S843">
        <v>2.1254781788989899E-3</v>
      </c>
      <c r="T843">
        <v>-4.6296722571916797E-2</v>
      </c>
      <c r="U843">
        <v>7.9660133241080304</v>
      </c>
      <c r="V843" s="1">
        <v>9.9999999999999905E-15</v>
      </c>
      <c r="W843">
        <v>1.4222153619265301</v>
      </c>
      <c r="X843">
        <v>2.4999999999999898</v>
      </c>
      <c r="Y843">
        <v>65.734740470462896</v>
      </c>
      <c r="Z843">
        <v>0.499999999999999</v>
      </c>
      <c r="AA843">
        <v>118.558100594785</v>
      </c>
      <c r="AB843" s="9">
        <f t="shared" si="116"/>
        <v>-0.34034049249139703</v>
      </c>
      <c r="AC843" s="9">
        <f t="shared" si="117"/>
        <v>-0.35597868954789014</v>
      </c>
      <c r="AD843" s="2">
        <f t="shared" si="118"/>
        <v>4.5948681986138995E-2</v>
      </c>
      <c r="AE843" s="8">
        <f t="shared" si="119"/>
        <v>2.3411880785162674E-3</v>
      </c>
      <c r="AF843" s="2">
        <f t="shared" si="120"/>
        <v>-5.2646764972150454E-3</v>
      </c>
      <c r="AG843" s="8">
        <f t="shared" si="121"/>
        <v>7.6058645757313128E-3</v>
      </c>
      <c r="AH843" s="7">
        <f t="shared" si="122"/>
        <v>-0.69218646280049501</v>
      </c>
      <c r="AI843">
        <f t="shared" si="123"/>
        <v>8</v>
      </c>
      <c r="AJ843" s="10">
        <f t="shared" si="124"/>
        <v>0.48677533284680402</v>
      </c>
    </row>
    <row r="844" spans="1:36" hidden="1" x14ac:dyDescent="0.25">
      <c r="A844" t="b">
        <v>0</v>
      </c>
      <c r="B844">
        <v>1000</v>
      </c>
      <c r="C844">
        <v>0.48677533284680402</v>
      </c>
      <c r="D844" t="s">
        <v>52</v>
      </c>
      <c r="E844" t="b">
        <v>1</v>
      </c>
      <c r="F844" t="s">
        <v>53</v>
      </c>
      <c r="G844">
        <v>7.4999999999999997E-2</v>
      </c>
      <c r="H844">
        <v>0.5</v>
      </c>
      <c r="I844">
        <v>1E-4</v>
      </c>
      <c r="J844" t="b">
        <v>1</v>
      </c>
      <c r="K844">
        <v>8</v>
      </c>
      <c r="L844">
        <v>1500</v>
      </c>
      <c r="M844">
        <v>0.5</v>
      </c>
      <c r="N844">
        <v>0.154</v>
      </c>
      <c r="O844" t="s">
        <v>383</v>
      </c>
      <c r="P844" t="s">
        <v>384</v>
      </c>
      <c r="Q844">
        <v>-3.5710192254081498E-4</v>
      </c>
      <c r="R844">
        <v>7.3853749080725999E-3</v>
      </c>
      <c r="S844">
        <v>1.8592202240892001E-3</v>
      </c>
      <c r="T844">
        <v>-4.0487900521322097E-2</v>
      </c>
      <c r="U844">
        <v>7.9654666852305702</v>
      </c>
      <c r="V844" s="1">
        <v>9.9999999999999905E-15</v>
      </c>
      <c r="W844">
        <v>1.3472891261783</v>
      </c>
      <c r="X844">
        <v>2.4999999999999898</v>
      </c>
      <c r="Y844">
        <v>64.070344555680094</v>
      </c>
      <c r="Z844">
        <v>0.499999999999999</v>
      </c>
      <c r="AA844">
        <v>114.309113108861</v>
      </c>
      <c r="AB844" s="9">
        <f t="shared" si="116"/>
        <v>-0.3402627819173864</v>
      </c>
      <c r="AC844" s="9">
        <f t="shared" si="117"/>
        <v>-0.35597868954789014</v>
      </c>
      <c r="AD844" s="2">
        <f t="shared" si="118"/>
        <v>4.6187559926314403E-2</v>
      </c>
      <c r="AE844" s="8">
        <f t="shared" si="119"/>
        <v>2.3151637975172027E-3</v>
      </c>
      <c r="AF844" s="2">
        <f t="shared" si="120"/>
        <v>-5.2907007782141101E-3</v>
      </c>
      <c r="AG844" s="8">
        <f t="shared" si="121"/>
        <v>7.6058645757313128E-3</v>
      </c>
      <c r="AH844" s="7">
        <f t="shared" si="122"/>
        <v>-0.69560807000108904</v>
      </c>
      <c r="AI844">
        <f t="shared" si="123"/>
        <v>8</v>
      </c>
      <c r="AJ844" s="10">
        <f t="shared" si="124"/>
        <v>0.48677533284680402</v>
      </c>
    </row>
    <row r="845" spans="1:36" hidden="1" x14ac:dyDescent="0.25">
      <c r="A845" t="b">
        <v>0</v>
      </c>
      <c r="B845">
        <v>1000</v>
      </c>
      <c r="C845">
        <v>0.48677533284681102</v>
      </c>
      <c r="D845" t="s">
        <v>52</v>
      </c>
      <c r="E845" t="b">
        <v>1</v>
      </c>
      <c r="F845" t="s">
        <v>53</v>
      </c>
      <c r="G845">
        <v>7.4999999999999997E-2</v>
      </c>
      <c r="H845">
        <v>0.5</v>
      </c>
      <c r="I845">
        <v>1E-4</v>
      </c>
      <c r="J845" t="b">
        <v>1</v>
      </c>
      <c r="K845">
        <v>4</v>
      </c>
      <c r="L845">
        <v>1500</v>
      </c>
      <c r="M845">
        <v>0.5</v>
      </c>
      <c r="N845">
        <v>0.154</v>
      </c>
      <c r="O845" t="s">
        <v>385</v>
      </c>
      <c r="P845" t="s">
        <v>386</v>
      </c>
      <c r="Q845" s="1">
        <v>-1.9585343759962901E-5</v>
      </c>
      <c r="R845" s="1">
        <v>5.5763260955296801E-5</v>
      </c>
      <c r="S845" s="1">
        <v>6.8453563263896195E-5</v>
      </c>
      <c r="T845">
        <v>-4.4392188862690498E-4</v>
      </c>
      <c r="U845">
        <v>4.0349414846591998</v>
      </c>
      <c r="V845" s="1">
        <v>9.9999999999999905E-15</v>
      </c>
      <c r="W845">
        <v>0.18973507649768101</v>
      </c>
      <c r="X845">
        <v>2.4999999999999898</v>
      </c>
      <c r="Y845">
        <v>8.7221133283592298</v>
      </c>
      <c r="Z845">
        <v>0.49999999999545902</v>
      </c>
      <c r="AA845">
        <v>15.772425182494899</v>
      </c>
      <c r="AB845" s="9">
        <f t="shared" si="116"/>
        <v>-0.40531298469038063</v>
      </c>
      <c r="AC845" s="9">
        <f t="shared" si="117"/>
        <v>-0.42190893220323528</v>
      </c>
      <c r="AD845" s="2">
        <f t="shared" si="118"/>
        <v>4.0946005037396871E-2</v>
      </c>
      <c r="AE845" s="8">
        <f t="shared" si="119"/>
        <v>2.4583043417170113E-2</v>
      </c>
      <c r="AF845" s="2">
        <f t="shared" si="120"/>
        <v>-5.8404148857555752E-3</v>
      </c>
      <c r="AG845" s="8">
        <f t="shared" si="121"/>
        <v>3.0423458302925688E-2</v>
      </c>
      <c r="AH845" s="7">
        <f t="shared" si="122"/>
        <v>-0.1919707755641287</v>
      </c>
      <c r="AI845">
        <f t="shared" si="123"/>
        <v>4</v>
      </c>
      <c r="AJ845" s="10">
        <f t="shared" si="124"/>
        <v>0.48677533284681102</v>
      </c>
    </row>
    <row r="846" spans="1:36" hidden="1" x14ac:dyDescent="0.25">
      <c r="A846" t="b">
        <v>0</v>
      </c>
      <c r="B846">
        <v>1000</v>
      </c>
      <c r="C846">
        <v>0.48677533284681102</v>
      </c>
      <c r="D846" t="s">
        <v>52</v>
      </c>
      <c r="E846" t="b">
        <v>1</v>
      </c>
      <c r="F846" t="s">
        <v>53</v>
      </c>
      <c r="G846">
        <v>7.4999999999999997E-2</v>
      </c>
      <c r="H846">
        <v>0.5</v>
      </c>
      <c r="I846">
        <v>1E-4</v>
      </c>
      <c r="J846" t="b">
        <v>1</v>
      </c>
      <c r="K846">
        <v>4</v>
      </c>
      <c r="L846">
        <v>1500</v>
      </c>
      <c r="M846">
        <v>0.5</v>
      </c>
      <c r="N846">
        <v>0.154</v>
      </c>
      <c r="O846" t="s">
        <v>385</v>
      </c>
      <c r="P846" t="s">
        <v>387</v>
      </c>
      <c r="Q846">
        <v>-1.56561567645457E-4</v>
      </c>
      <c r="R846">
        <v>4.4867200516248801E-4</v>
      </c>
      <c r="S846">
        <v>5.4715795668343402E-4</v>
      </c>
      <c r="T846">
        <v>-3.5461369615144801E-3</v>
      </c>
      <c r="U846">
        <v>4.0343647621580399</v>
      </c>
      <c r="V846" s="1">
        <v>9.9999999999999795E-15</v>
      </c>
      <c r="W846">
        <v>0.19110865008858899</v>
      </c>
      <c r="X846">
        <v>2.4999999999999898</v>
      </c>
      <c r="Y846">
        <v>8.7705017543638597</v>
      </c>
      <c r="Z846">
        <v>0.49999999997425598</v>
      </c>
      <c r="AA846">
        <v>15.878851031297801</v>
      </c>
      <c r="AB846" s="9">
        <f t="shared" si="116"/>
        <v>-0.40506321325942857</v>
      </c>
      <c r="AC846" s="9">
        <f t="shared" si="117"/>
        <v>-0.42190893220323528</v>
      </c>
      <c r="AD846" s="2">
        <f t="shared" si="118"/>
        <v>4.158787663844854E-2</v>
      </c>
      <c r="AE846" s="8">
        <f t="shared" si="119"/>
        <v>2.4495649986103367E-2</v>
      </c>
      <c r="AF846" s="2">
        <f t="shared" si="120"/>
        <v>-5.9278083168223215E-3</v>
      </c>
      <c r="AG846" s="8">
        <f t="shared" si="121"/>
        <v>3.0423458302925688E-2</v>
      </c>
      <c r="AH846" s="7">
        <f t="shared" si="122"/>
        <v>-0.19484334285074589</v>
      </c>
      <c r="AI846">
        <f t="shared" si="123"/>
        <v>4</v>
      </c>
      <c r="AJ846" s="10">
        <f t="shared" si="124"/>
        <v>0.48677533284681102</v>
      </c>
    </row>
    <row r="847" spans="1:36" hidden="1" x14ac:dyDescent="0.25">
      <c r="A847" t="b">
        <v>0</v>
      </c>
      <c r="B847">
        <v>1000</v>
      </c>
      <c r="C847">
        <v>0.48677533284681102</v>
      </c>
      <c r="D847" t="s">
        <v>52</v>
      </c>
      <c r="E847" t="b">
        <v>1</v>
      </c>
      <c r="F847" t="s">
        <v>53</v>
      </c>
      <c r="G847">
        <v>7.4999999999999997E-2</v>
      </c>
      <c r="H847">
        <v>0.5</v>
      </c>
      <c r="I847">
        <v>1E-4</v>
      </c>
      <c r="J847" t="b">
        <v>1</v>
      </c>
      <c r="K847">
        <v>4</v>
      </c>
      <c r="L847">
        <v>1500</v>
      </c>
      <c r="M847">
        <v>0.5</v>
      </c>
      <c r="N847">
        <v>0.154</v>
      </c>
      <c r="O847" t="s">
        <v>385</v>
      </c>
      <c r="P847" t="s">
        <v>388</v>
      </c>
      <c r="Q847" s="1">
        <v>-1.9585343759962901E-5</v>
      </c>
      <c r="R847" s="1">
        <v>5.6292930929709902E-5</v>
      </c>
      <c r="S847" s="1">
        <v>6.8453563263887304E-5</v>
      </c>
      <c r="T847">
        <v>-4.4392188862645899E-4</v>
      </c>
      <c r="U847">
        <v>4.0349414846335403</v>
      </c>
      <c r="V847" s="1">
        <v>9.9999999999999905E-15</v>
      </c>
      <c r="W847">
        <v>0.19011982254586501</v>
      </c>
      <c r="X847">
        <v>2.4999999999999898</v>
      </c>
      <c r="Y847">
        <v>8.8183693339171096</v>
      </c>
      <c r="Z847">
        <v>0.49999999999545902</v>
      </c>
      <c r="AA847">
        <v>15.9161693187131</v>
      </c>
      <c r="AB847" s="9">
        <f t="shared" si="116"/>
        <v>-0.40531298469002608</v>
      </c>
      <c r="AC847" s="9">
        <f t="shared" si="117"/>
        <v>-0.42190893220323528</v>
      </c>
      <c r="AD847" s="2">
        <f t="shared" si="118"/>
        <v>4.0946005038307254E-2</v>
      </c>
      <c r="AE847" s="8">
        <f t="shared" si="119"/>
        <v>2.4583043417046053E-2</v>
      </c>
      <c r="AF847" s="2">
        <f t="shared" si="120"/>
        <v>-5.8404148858796356E-3</v>
      </c>
      <c r="AG847" s="8">
        <f t="shared" si="121"/>
        <v>3.0423458302925688E-2</v>
      </c>
      <c r="AH847" s="7">
        <f t="shared" si="122"/>
        <v>-0.19197077556820649</v>
      </c>
      <c r="AI847">
        <f t="shared" si="123"/>
        <v>4</v>
      </c>
      <c r="AJ847" s="10">
        <f t="shared" si="124"/>
        <v>0.48677533284681102</v>
      </c>
    </row>
    <row r="848" spans="1:36" hidden="1" x14ac:dyDescent="0.25">
      <c r="A848" t="b">
        <v>0</v>
      </c>
      <c r="B848">
        <v>1000</v>
      </c>
      <c r="C848">
        <v>0.48677533284681102</v>
      </c>
      <c r="D848" t="s">
        <v>52</v>
      </c>
      <c r="E848" t="b">
        <v>1</v>
      </c>
      <c r="F848" t="s">
        <v>53</v>
      </c>
      <c r="G848">
        <v>7.4999999999999997E-2</v>
      </c>
      <c r="H848">
        <v>0.5</v>
      </c>
      <c r="I848">
        <v>1E-4</v>
      </c>
      <c r="J848" t="b">
        <v>1</v>
      </c>
      <c r="K848">
        <v>4</v>
      </c>
      <c r="L848">
        <v>1500</v>
      </c>
      <c r="M848">
        <v>0.5</v>
      </c>
      <c r="N848">
        <v>0.154</v>
      </c>
      <c r="O848" t="s">
        <v>385</v>
      </c>
      <c r="P848" t="s">
        <v>389</v>
      </c>
      <c r="Q848" s="1">
        <v>-3.9170596233412197E-5</v>
      </c>
      <c r="R848">
        <v>1.09358647209034E-4</v>
      </c>
      <c r="S848">
        <v>1.3690657366416601E-4</v>
      </c>
      <c r="T848">
        <v>-8.8782931441191298E-4</v>
      </c>
      <c r="U848">
        <v>4.0348589693833201</v>
      </c>
      <c r="V848" s="1">
        <v>9.9999999999999905E-15</v>
      </c>
      <c r="W848">
        <v>0.186362675922226</v>
      </c>
      <c r="X848">
        <v>2.4999999999999898</v>
      </c>
      <c r="Y848">
        <v>8.5579539122987391</v>
      </c>
      <c r="Z848">
        <v>0.499999999995422</v>
      </c>
      <c r="AA848">
        <v>15.465793645958</v>
      </c>
      <c r="AB848" s="9">
        <f t="shared" si="116"/>
        <v>-0.40530801893312129</v>
      </c>
      <c r="AC848" s="9">
        <f t="shared" si="117"/>
        <v>-0.42190893220323528</v>
      </c>
      <c r="AD848" s="2">
        <f t="shared" si="118"/>
        <v>4.0958758511149052E-2</v>
      </c>
      <c r="AE848" s="8">
        <f t="shared" si="119"/>
        <v>2.4581305785100951E-2</v>
      </c>
      <c r="AF848" s="2">
        <f t="shared" si="120"/>
        <v>-5.8421525178247377E-3</v>
      </c>
      <c r="AG848" s="8">
        <f t="shared" si="121"/>
        <v>3.0423458302925688E-2</v>
      </c>
      <c r="AH848" s="7">
        <f t="shared" si="122"/>
        <v>-0.19202789044080909</v>
      </c>
      <c r="AI848">
        <f t="shared" si="123"/>
        <v>4</v>
      </c>
      <c r="AJ848" s="10">
        <f t="shared" si="124"/>
        <v>0.48677533284681102</v>
      </c>
    </row>
    <row r="849" spans="1:36" hidden="1" x14ac:dyDescent="0.25">
      <c r="A849" t="b">
        <v>0</v>
      </c>
      <c r="B849">
        <v>1000</v>
      </c>
      <c r="C849">
        <v>0.48677533284681102</v>
      </c>
      <c r="D849" t="s">
        <v>52</v>
      </c>
      <c r="E849" t="b">
        <v>1</v>
      </c>
      <c r="F849" t="s">
        <v>53</v>
      </c>
      <c r="G849">
        <v>7.4999999999999997E-2</v>
      </c>
      <c r="H849">
        <v>0.5</v>
      </c>
      <c r="I849">
        <v>1E-4</v>
      </c>
      <c r="J849" t="b">
        <v>1</v>
      </c>
      <c r="K849">
        <v>4</v>
      </c>
      <c r="L849">
        <v>1500</v>
      </c>
      <c r="M849">
        <v>0.5</v>
      </c>
      <c r="N849">
        <v>0.154</v>
      </c>
      <c r="O849" t="s">
        <v>385</v>
      </c>
      <c r="P849" t="s">
        <v>390</v>
      </c>
      <c r="Q849">
        <v>-1.7614618188958899E-4</v>
      </c>
      <c r="R849">
        <v>4.6755808945567499E-4</v>
      </c>
      <c r="S849">
        <v>6.15607103020169E-4</v>
      </c>
      <c r="T849">
        <v>-3.9899433374109396E-3</v>
      </c>
      <c r="U849">
        <v>4.0342822421238003</v>
      </c>
      <c r="V849" s="1">
        <v>9.9999999999999795E-15</v>
      </c>
      <c r="W849">
        <v>0.17485221664394901</v>
      </c>
      <c r="X849">
        <v>2.4999999999999898</v>
      </c>
      <c r="Y849">
        <v>8.2023510925147001</v>
      </c>
      <c r="Z849">
        <v>0.49999999997377698</v>
      </c>
      <c r="AA849">
        <v>14.6810638974338</v>
      </c>
      <c r="AB849" s="9">
        <f t="shared" si="116"/>
        <v>-0.40508216582421991</v>
      </c>
      <c r="AC849" s="9">
        <f t="shared" si="117"/>
        <v>-0.42190893220323528</v>
      </c>
      <c r="AD849" s="2">
        <f t="shared" si="118"/>
        <v>4.1539143903750908E-2</v>
      </c>
      <c r="AE849" s="8">
        <f t="shared" si="119"/>
        <v>2.4502280844958729E-2</v>
      </c>
      <c r="AF849" s="2">
        <f t="shared" si="120"/>
        <v>-5.9211774579669592E-3</v>
      </c>
      <c r="AG849" s="8">
        <f t="shared" si="121"/>
        <v>3.0423458302925688E-2</v>
      </c>
      <c r="AH849" s="7">
        <f t="shared" si="122"/>
        <v>-0.1946253906774808</v>
      </c>
      <c r="AI849">
        <f t="shared" si="123"/>
        <v>4</v>
      </c>
      <c r="AJ849" s="10">
        <f t="shared" si="124"/>
        <v>0.48677533284681102</v>
      </c>
    </row>
    <row r="850" spans="1:36" hidden="1" x14ac:dyDescent="0.25">
      <c r="A850" t="b">
        <v>0</v>
      </c>
      <c r="B850">
        <v>1000</v>
      </c>
      <c r="C850">
        <v>0.48677533284681102</v>
      </c>
      <c r="D850" t="s">
        <v>52</v>
      </c>
      <c r="E850" t="b">
        <v>1</v>
      </c>
      <c r="F850" t="s">
        <v>53</v>
      </c>
      <c r="G850">
        <v>7.4999999999999997E-2</v>
      </c>
      <c r="H850">
        <v>0.5</v>
      </c>
      <c r="I850">
        <v>1E-4</v>
      </c>
      <c r="J850" t="b">
        <v>1</v>
      </c>
      <c r="K850">
        <v>4</v>
      </c>
      <c r="L850">
        <v>1500</v>
      </c>
      <c r="M850">
        <v>0.5</v>
      </c>
      <c r="N850">
        <v>0.154</v>
      </c>
      <c r="O850" t="s">
        <v>385</v>
      </c>
      <c r="P850" t="s">
        <v>391</v>
      </c>
      <c r="Q850">
        <v>-1.56561567645456E-4</v>
      </c>
      <c r="R850">
        <v>4.4750761472994803E-4</v>
      </c>
      <c r="S850">
        <v>5.4715795668342296E-4</v>
      </c>
      <c r="T850">
        <v>-3.5461369615139302E-3</v>
      </c>
      <c r="U850">
        <v>4.0343647622259704</v>
      </c>
      <c r="V850" s="1">
        <v>9.9999999999999795E-15</v>
      </c>
      <c r="W850">
        <v>0.189775239066026</v>
      </c>
      <c r="X850">
        <v>2.4999999999999898</v>
      </c>
      <c r="Y850">
        <v>8.7614243096750304</v>
      </c>
      <c r="Z850">
        <v>0.49999999997425598</v>
      </c>
      <c r="AA850">
        <v>15.832245738945</v>
      </c>
      <c r="AB850" s="9">
        <f t="shared" si="116"/>
        <v>-0.40506321325937394</v>
      </c>
      <c r="AC850" s="9">
        <f t="shared" si="117"/>
        <v>-0.42190893220323528</v>
      </c>
      <c r="AD850" s="2">
        <f t="shared" si="118"/>
        <v>4.1587876638589094E-2</v>
      </c>
      <c r="AE850" s="8">
        <f t="shared" si="119"/>
        <v>2.4495649986084261E-2</v>
      </c>
      <c r="AF850" s="2">
        <f t="shared" si="120"/>
        <v>-5.9278083168414278E-3</v>
      </c>
      <c r="AG850" s="8">
        <f t="shared" si="121"/>
        <v>3.0423458302925688E-2</v>
      </c>
      <c r="AH850" s="7">
        <f t="shared" si="122"/>
        <v>-0.19484334285137389</v>
      </c>
      <c r="AI850">
        <f t="shared" si="123"/>
        <v>4</v>
      </c>
      <c r="AJ850" s="10">
        <f t="shared" si="124"/>
        <v>0.48677533284681102</v>
      </c>
    </row>
    <row r="851" spans="1:36" hidden="1" x14ac:dyDescent="0.25">
      <c r="A851" t="b">
        <v>0</v>
      </c>
      <c r="B851">
        <v>1000</v>
      </c>
      <c r="C851">
        <v>0.48677533284681102</v>
      </c>
      <c r="D851" t="s">
        <v>52</v>
      </c>
      <c r="E851" t="b">
        <v>1</v>
      </c>
      <c r="F851" t="s">
        <v>53</v>
      </c>
      <c r="G851">
        <v>7.4999999999999997E-2</v>
      </c>
      <c r="H851">
        <v>0.5</v>
      </c>
      <c r="I851">
        <v>1E-4</v>
      </c>
      <c r="J851" t="b">
        <v>1</v>
      </c>
      <c r="K851">
        <v>4</v>
      </c>
      <c r="L851">
        <v>1500</v>
      </c>
      <c r="M851">
        <v>0.5</v>
      </c>
      <c r="N851">
        <v>0.154</v>
      </c>
      <c r="O851" t="s">
        <v>385</v>
      </c>
      <c r="P851" t="s">
        <v>392</v>
      </c>
      <c r="Q851">
        <v>-1.7614618188958699E-4</v>
      </c>
      <c r="R851">
        <v>4.6696128896367097E-4</v>
      </c>
      <c r="S851">
        <v>6.1560710302016998E-4</v>
      </c>
      <c r="T851">
        <v>-3.9899433374110697E-3</v>
      </c>
      <c r="U851">
        <v>4.0342822420806197</v>
      </c>
      <c r="V851" s="1">
        <v>9.9999999999999795E-15</v>
      </c>
      <c r="W851">
        <v>0.174339811249446</v>
      </c>
      <c r="X851">
        <v>2.4999999999999898</v>
      </c>
      <c r="Y851">
        <v>8.1952610361400602</v>
      </c>
      <c r="Z851">
        <v>0.49999999997377698</v>
      </c>
      <c r="AA851">
        <v>14.661249291486101</v>
      </c>
      <c r="AB851" s="9">
        <f t="shared" si="116"/>
        <v>-0.40508216582423245</v>
      </c>
      <c r="AC851" s="9">
        <f t="shared" si="117"/>
        <v>-0.42190893220323528</v>
      </c>
      <c r="AD851" s="2">
        <f t="shared" si="118"/>
        <v>4.1539143903718712E-2</v>
      </c>
      <c r="AE851" s="8">
        <f t="shared" si="119"/>
        <v>2.4502280844963111E-2</v>
      </c>
      <c r="AF851" s="2">
        <f t="shared" si="120"/>
        <v>-5.9211774579625773E-3</v>
      </c>
      <c r="AG851" s="8">
        <f t="shared" si="121"/>
        <v>3.0423458302925688E-2</v>
      </c>
      <c r="AH851" s="7">
        <f t="shared" si="122"/>
        <v>-0.19462539067733678</v>
      </c>
      <c r="AI851">
        <f t="shared" si="123"/>
        <v>4</v>
      </c>
      <c r="AJ851" s="10">
        <f t="shared" si="124"/>
        <v>0.48677533284681102</v>
      </c>
    </row>
    <row r="852" spans="1:36" hidden="1" x14ac:dyDescent="0.25">
      <c r="A852" t="b">
        <v>0</v>
      </c>
      <c r="B852">
        <v>1000</v>
      </c>
      <c r="C852">
        <v>0.48677533284681102</v>
      </c>
      <c r="D852" t="s">
        <v>52</v>
      </c>
      <c r="E852" t="b">
        <v>1</v>
      </c>
      <c r="F852" t="s">
        <v>53</v>
      </c>
      <c r="G852">
        <v>7.4999999999999997E-2</v>
      </c>
      <c r="H852">
        <v>0.5</v>
      </c>
      <c r="I852">
        <v>1E-4</v>
      </c>
      <c r="J852" t="b">
        <v>1</v>
      </c>
      <c r="K852">
        <v>4</v>
      </c>
      <c r="L852">
        <v>1500</v>
      </c>
      <c r="M852">
        <v>0.5</v>
      </c>
      <c r="N852">
        <v>0.154</v>
      </c>
      <c r="O852" t="s">
        <v>385</v>
      </c>
      <c r="P852" t="s">
        <v>393</v>
      </c>
      <c r="Q852">
        <v>-3.1311730544221001E-4</v>
      </c>
      <c r="R852">
        <v>8.9053179536354495E-4</v>
      </c>
      <c r="S852">
        <v>1.09428062573655E-3</v>
      </c>
      <c r="T852">
        <v>-7.0913513386969404E-3</v>
      </c>
      <c r="U852">
        <v>4.0337054811490702</v>
      </c>
      <c r="V852" s="1">
        <v>9.9999999999999795E-15</v>
      </c>
      <c r="W852">
        <v>0.188088537040139</v>
      </c>
      <c r="X852">
        <v>2.4999999999999898</v>
      </c>
      <c r="Y852">
        <v>8.73255385394007</v>
      </c>
      <c r="Z852">
        <v>0.499999999970132</v>
      </c>
      <c r="AA852">
        <v>15.7479024937078</v>
      </c>
      <c r="AB852" s="9">
        <f t="shared" si="116"/>
        <v>-0.40502358192647214</v>
      </c>
      <c r="AC852" s="9">
        <f t="shared" si="117"/>
        <v>-0.42190893220323528</v>
      </c>
      <c r="AD852" s="2">
        <f t="shared" si="118"/>
        <v>4.1689795434747046E-2</v>
      </c>
      <c r="AE852" s="8">
        <f t="shared" si="119"/>
        <v>2.4481784605845162E-2</v>
      </c>
      <c r="AF852" s="2">
        <f t="shared" si="120"/>
        <v>-5.9416736970805267E-3</v>
      </c>
      <c r="AG852" s="8">
        <f t="shared" si="121"/>
        <v>3.0423458302925688E-2</v>
      </c>
      <c r="AH852" s="7">
        <f t="shared" si="122"/>
        <v>-0.19529908920673697</v>
      </c>
      <c r="AI852">
        <f t="shared" si="123"/>
        <v>4</v>
      </c>
      <c r="AJ852" s="10">
        <f t="shared" si="124"/>
        <v>0.48677533284681102</v>
      </c>
    </row>
    <row r="853" spans="1:36" hidden="1" x14ac:dyDescent="0.25">
      <c r="A853" t="b">
        <v>0</v>
      </c>
      <c r="B853">
        <v>1000</v>
      </c>
      <c r="C853">
        <v>0.48677533284681102</v>
      </c>
      <c r="D853" t="s">
        <v>52</v>
      </c>
      <c r="E853" t="b">
        <v>1</v>
      </c>
      <c r="F853" t="s">
        <v>53</v>
      </c>
      <c r="G853">
        <v>7.4999999999999997E-2</v>
      </c>
      <c r="H853">
        <v>0.5</v>
      </c>
      <c r="I853">
        <v>1E-4</v>
      </c>
      <c r="J853" t="b">
        <v>1</v>
      </c>
      <c r="K853">
        <v>4</v>
      </c>
      <c r="L853">
        <v>1500</v>
      </c>
      <c r="M853">
        <v>0.5</v>
      </c>
      <c r="N853">
        <v>0.154</v>
      </c>
      <c r="O853" t="s">
        <v>386</v>
      </c>
      <c r="P853" t="s">
        <v>387</v>
      </c>
      <c r="Q853">
        <v>-1.3697622389091199E-4</v>
      </c>
      <c r="R853">
        <v>4.1355663846257202E-4</v>
      </c>
      <c r="S853">
        <v>4.7870439341953397E-4</v>
      </c>
      <c r="T853">
        <v>-3.10221507288734E-3</v>
      </c>
      <c r="U853">
        <v>4.0342822476495801</v>
      </c>
      <c r="V853" s="1">
        <v>9.9999999999999795E-15</v>
      </c>
      <c r="W853">
        <v>0.20399253922565699</v>
      </c>
      <c r="X853">
        <v>2.4999999999999898</v>
      </c>
      <c r="Y853">
        <v>9.1668615076650397</v>
      </c>
      <c r="Z853">
        <v>0.49999999997470901</v>
      </c>
      <c r="AA853">
        <v>16.754614414914101</v>
      </c>
      <c r="AB853" s="9">
        <f t="shared" si="116"/>
        <v>-0.40502749655262921</v>
      </c>
      <c r="AC853" s="9">
        <f t="shared" si="117"/>
        <v>-0.42190893220323528</v>
      </c>
      <c r="AD853" s="2">
        <f t="shared" si="118"/>
        <v>4.1679727411821466E-2</v>
      </c>
      <c r="AE853" s="8">
        <f t="shared" si="119"/>
        <v>2.4483154156505173E-2</v>
      </c>
      <c r="AF853" s="2">
        <f t="shared" si="120"/>
        <v>-5.940304146420515E-3</v>
      </c>
      <c r="AG853" s="8">
        <f t="shared" si="121"/>
        <v>3.0423458302925688E-2</v>
      </c>
      <c r="AH853" s="7">
        <f t="shared" si="122"/>
        <v>-0.19525407293520153</v>
      </c>
      <c r="AI853">
        <f t="shared" si="123"/>
        <v>4</v>
      </c>
      <c r="AJ853" s="10">
        <f t="shared" si="124"/>
        <v>0.48677533284681102</v>
      </c>
    </row>
    <row r="854" spans="1:36" hidden="1" x14ac:dyDescent="0.25">
      <c r="A854" t="b">
        <v>0</v>
      </c>
      <c r="B854">
        <v>1000</v>
      </c>
      <c r="C854">
        <v>0.48677533284681102</v>
      </c>
      <c r="D854" t="s">
        <v>52</v>
      </c>
      <c r="E854" t="b">
        <v>1</v>
      </c>
      <c r="F854" t="s">
        <v>53</v>
      </c>
      <c r="G854">
        <v>7.4999999999999997E-2</v>
      </c>
      <c r="H854">
        <v>0.5</v>
      </c>
      <c r="I854">
        <v>1E-4</v>
      </c>
      <c r="J854" t="b">
        <v>1</v>
      </c>
      <c r="K854">
        <v>4</v>
      </c>
      <c r="L854">
        <v>1500</v>
      </c>
      <c r="M854">
        <v>0.5</v>
      </c>
      <c r="N854">
        <v>0.154</v>
      </c>
      <c r="O854" t="s">
        <v>386</v>
      </c>
      <c r="P854" t="s">
        <v>388</v>
      </c>
      <c r="Q854" s="1">
        <v>-1E-10</v>
      </c>
      <c r="R854" s="1">
        <v>3.58578592711329E-12</v>
      </c>
      <c r="S854" s="1">
        <v>-1.21084728627775E-17</v>
      </c>
      <c r="T854" s="1">
        <v>1.0152259350799799E-15</v>
      </c>
      <c r="U854">
        <v>4.0348589701250699</v>
      </c>
      <c r="V854">
        <v>0</v>
      </c>
      <c r="W854">
        <v>6.8474548166201799E-2</v>
      </c>
      <c r="X854">
        <v>2</v>
      </c>
      <c r="Y854">
        <v>4.0005664085450204E-3</v>
      </c>
      <c r="Z854">
        <v>2.5000000000000001E-4</v>
      </c>
      <c r="AA854">
        <v>4.7933529747625899E-3</v>
      </c>
      <c r="AB854" s="9">
        <f t="shared" si="116"/>
        <v>-5.2402661889390325</v>
      </c>
      <c r="AC854" s="9">
        <f t="shared" si="117"/>
        <v>-0.42190893220323528</v>
      </c>
      <c r="AD854" s="2">
        <f t="shared" si="118"/>
        <v>-0.91948711821285234</v>
      </c>
      <c r="AE854" s="8">
        <f t="shared" si="119"/>
        <v>-2.5732069386612513</v>
      </c>
      <c r="AF854" s="2">
        <f t="shared" si="120"/>
        <v>-2.603630396964177</v>
      </c>
      <c r="AG854" s="8">
        <f t="shared" si="121"/>
        <v>3.0423458302925688E-2</v>
      </c>
      <c r="AH854" s="7">
        <f t="shared" si="122"/>
        <v>-85.579698765337184</v>
      </c>
      <c r="AI854">
        <f t="shared" si="123"/>
        <v>4</v>
      </c>
      <c r="AJ854" s="10">
        <f t="shared" si="124"/>
        <v>0.48677533284681102</v>
      </c>
    </row>
    <row r="855" spans="1:36" hidden="1" x14ac:dyDescent="0.25">
      <c r="A855" t="b">
        <v>0</v>
      </c>
      <c r="B855">
        <v>1000</v>
      </c>
      <c r="C855">
        <v>0.48677533284681102</v>
      </c>
      <c r="D855" t="s">
        <v>52</v>
      </c>
      <c r="E855" t="b">
        <v>1</v>
      </c>
      <c r="F855" t="s">
        <v>53</v>
      </c>
      <c r="G855">
        <v>7.4999999999999997E-2</v>
      </c>
      <c r="H855">
        <v>0.5</v>
      </c>
      <c r="I855">
        <v>1E-4</v>
      </c>
      <c r="J855" t="b">
        <v>1</v>
      </c>
      <c r="K855">
        <v>4</v>
      </c>
      <c r="L855">
        <v>1500</v>
      </c>
      <c r="M855">
        <v>0.5</v>
      </c>
      <c r="N855">
        <v>0.154</v>
      </c>
      <c r="O855" t="s">
        <v>386</v>
      </c>
      <c r="P855" t="s">
        <v>389</v>
      </c>
      <c r="Q855" s="1">
        <v>-1.95852524734935E-5</v>
      </c>
      <c r="R855" s="1">
        <v>5.6326447061834E-5</v>
      </c>
      <c r="S855" s="1">
        <v>6.8453010400262401E-5</v>
      </c>
      <c r="T855">
        <v>-4.4390742578467299E-4</v>
      </c>
      <c r="U855">
        <v>4.0347764548748604</v>
      </c>
      <c r="V855" s="1">
        <v>9.9999999999999905E-15</v>
      </c>
      <c r="W855">
        <v>0.19271990224149901</v>
      </c>
      <c r="X855">
        <v>2.4999999999999898</v>
      </c>
      <c r="Y855">
        <v>8.7861346956028505</v>
      </c>
      <c r="Z855">
        <v>0.49999999999545702</v>
      </c>
      <c r="AA855">
        <v>15.941274599286899</v>
      </c>
      <c r="AB855" s="9">
        <f t="shared" si="116"/>
        <v>-0.40530305313549381</v>
      </c>
      <c r="AC855" s="9">
        <f t="shared" si="117"/>
        <v>-0.42190893220323528</v>
      </c>
      <c r="AD855" s="2">
        <f t="shared" si="118"/>
        <v>4.0971512401092314E-2</v>
      </c>
      <c r="AE855" s="8">
        <f t="shared" si="119"/>
        <v>2.4579568144799949E-2</v>
      </c>
      <c r="AF855" s="2">
        <f t="shared" si="120"/>
        <v>-5.8438901581257391E-3</v>
      </c>
      <c r="AG855" s="8">
        <f t="shared" si="121"/>
        <v>3.0423458302925688E-2</v>
      </c>
      <c r="AH855" s="7">
        <f t="shared" si="122"/>
        <v>-0.19208500558806485</v>
      </c>
      <c r="AI855">
        <f t="shared" si="123"/>
        <v>4</v>
      </c>
      <c r="AJ855" s="10">
        <f t="shared" si="124"/>
        <v>0.48677533284681102</v>
      </c>
    </row>
    <row r="856" spans="1:36" hidden="1" x14ac:dyDescent="0.25">
      <c r="A856" t="b">
        <v>0</v>
      </c>
      <c r="B856">
        <v>1000</v>
      </c>
      <c r="C856">
        <v>0.48677533284681102</v>
      </c>
      <c r="D856" t="s">
        <v>52</v>
      </c>
      <c r="E856" t="b">
        <v>1</v>
      </c>
      <c r="F856" t="s">
        <v>53</v>
      </c>
      <c r="G856">
        <v>7.4999999999999997E-2</v>
      </c>
      <c r="H856">
        <v>0.5</v>
      </c>
      <c r="I856">
        <v>1E-4</v>
      </c>
      <c r="J856" t="b">
        <v>1</v>
      </c>
      <c r="K856">
        <v>4</v>
      </c>
      <c r="L856">
        <v>1500</v>
      </c>
      <c r="M856">
        <v>0.5</v>
      </c>
      <c r="N856">
        <v>0.154</v>
      </c>
      <c r="O856" t="s">
        <v>386</v>
      </c>
      <c r="P856" t="s">
        <v>390</v>
      </c>
      <c r="Q856">
        <v>-1.56560838135255E-4</v>
      </c>
      <c r="R856">
        <v>4.4862995486840698E-4</v>
      </c>
      <c r="S856">
        <v>5.4715353975627503E-4</v>
      </c>
      <c r="T856">
        <v>-3.54602144878411E-3</v>
      </c>
      <c r="U856">
        <v>4.0341997276153396</v>
      </c>
      <c r="V856" s="1">
        <v>9.9999999999999795E-15</v>
      </c>
      <c r="W856">
        <v>0.190313856776375</v>
      </c>
      <c r="X856">
        <v>2.4999999999999898</v>
      </c>
      <c r="Y856">
        <v>8.7810642579692502</v>
      </c>
      <c r="Z856">
        <v>0.49999999997424499</v>
      </c>
      <c r="AA856">
        <v>15.872715208568</v>
      </c>
      <c r="AB856" s="9">
        <f t="shared" si="116"/>
        <v>-0.40505328842015437</v>
      </c>
      <c r="AC856" s="9">
        <f t="shared" si="117"/>
        <v>-0.42190893220323528</v>
      </c>
      <c r="AD856" s="2">
        <f t="shared" si="118"/>
        <v>4.1613398199589202E-2</v>
      </c>
      <c r="AE856" s="8">
        <f t="shared" si="119"/>
        <v>2.4492177656098291E-2</v>
      </c>
      <c r="AF856" s="2">
        <f t="shared" si="120"/>
        <v>-5.9312806468273978E-3</v>
      </c>
      <c r="AG856" s="8">
        <f t="shared" si="121"/>
        <v>3.0423458302925688E-2</v>
      </c>
      <c r="AH856" s="7">
        <f t="shared" si="122"/>
        <v>-0.19495747616098638</v>
      </c>
      <c r="AI856">
        <f t="shared" si="123"/>
        <v>4</v>
      </c>
      <c r="AJ856" s="10">
        <f t="shared" si="124"/>
        <v>0.48677533284681102</v>
      </c>
    </row>
    <row r="857" spans="1:36" hidden="1" x14ac:dyDescent="0.25">
      <c r="A857" t="b">
        <v>0</v>
      </c>
      <c r="B857">
        <v>1000</v>
      </c>
      <c r="C857">
        <v>0.48677533284681102</v>
      </c>
      <c r="D857" t="s">
        <v>52</v>
      </c>
      <c r="E857" t="b">
        <v>1</v>
      </c>
      <c r="F857" t="s">
        <v>53</v>
      </c>
      <c r="G857">
        <v>7.4999999999999997E-2</v>
      </c>
      <c r="H857">
        <v>0.5</v>
      </c>
      <c r="I857">
        <v>1E-4</v>
      </c>
      <c r="J857" t="b">
        <v>1</v>
      </c>
      <c r="K857">
        <v>4</v>
      </c>
      <c r="L857">
        <v>1500</v>
      </c>
      <c r="M857">
        <v>0.5</v>
      </c>
      <c r="N857">
        <v>0.154</v>
      </c>
      <c r="O857" t="s">
        <v>386</v>
      </c>
      <c r="P857" t="s">
        <v>391</v>
      </c>
      <c r="Q857">
        <v>-1.3697622389090999E-4</v>
      </c>
      <c r="R857">
        <v>4.2941721523180099E-4</v>
      </c>
      <c r="S857">
        <v>4.7870439341952302E-4</v>
      </c>
      <c r="T857">
        <v>-3.1022150728868898E-3</v>
      </c>
      <c r="U857">
        <v>4.0342822477175098</v>
      </c>
      <c r="V857" s="1">
        <v>9.9999999999999795E-15</v>
      </c>
      <c r="W857">
        <v>0.211869954518938</v>
      </c>
      <c r="X857">
        <v>2.4999999999999898</v>
      </c>
      <c r="Y857">
        <v>9.4957315982170005</v>
      </c>
      <c r="Z857">
        <v>0.49999999997470901</v>
      </c>
      <c r="AA857">
        <v>17.403512233763198</v>
      </c>
      <c r="AB857" s="9">
        <f t="shared" si="116"/>
        <v>-0.40502749655257969</v>
      </c>
      <c r="AC857" s="9">
        <f t="shared" si="117"/>
        <v>-0.42190893220323528</v>
      </c>
      <c r="AD857" s="2">
        <f t="shared" si="118"/>
        <v>4.1679727411948919E-2</v>
      </c>
      <c r="AE857" s="8">
        <f t="shared" si="119"/>
        <v>2.448315415648785E-2</v>
      </c>
      <c r="AF857" s="2">
        <f t="shared" si="120"/>
        <v>-5.940304146437838E-3</v>
      </c>
      <c r="AG857" s="8">
        <f t="shared" si="121"/>
        <v>3.0423458302925688E-2</v>
      </c>
      <c r="AH857" s="7">
        <f t="shared" si="122"/>
        <v>-0.19525407293577093</v>
      </c>
      <c r="AI857">
        <f t="shared" si="123"/>
        <v>4</v>
      </c>
      <c r="AJ857" s="10">
        <f t="shared" si="124"/>
        <v>0.48677533284681102</v>
      </c>
    </row>
    <row r="858" spans="1:36" hidden="1" x14ac:dyDescent="0.25">
      <c r="A858" t="b">
        <v>0</v>
      </c>
      <c r="B858">
        <v>1000</v>
      </c>
      <c r="C858">
        <v>0.48677533284681102</v>
      </c>
      <c r="D858" t="s">
        <v>52</v>
      </c>
      <c r="E858" t="b">
        <v>1</v>
      </c>
      <c r="F858" t="s">
        <v>53</v>
      </c>
      <c r="G858">
        <v>7.4999999999999997E-2</v>
      </c>
      <c r="H858">
        <v>0.5</v>
      </c>
      <c r="I858">
        <v>1E-4</v>
      </c>
      <c r="J858" t="b">
        <v>1</v>
      </c>
      <c r="K858">
        <v>4</v>
      </c>
      <c r="L858">
        <v>1500</v>
      </c>
      <c r="M858">
        <v>0.5</v>
      </c>
      <c r="N858">
        <v>0.154</v>
      </c>
      <c r="O858" t="s">
        <v>386</v>
      </c>
      <c r="P858" t="s">
        <v>392</v>
      </c>
      <c r="Q858">
        <v>-1.56560838135255E-4</v>
      </c>
      <c r="R858">
        <v>4.4862994035422198E-4</v>
      </c>
      <c r="S858">
        <v>5.4715353975627698E-4</v>
      </c>
      <c r="T858">
        <v>-3.54602144878428E-3</v>
      </c>
      <c r="U858">
        <v>4.0341997275721502</v>
      </c>
      <c r="V858" s="1">
        <v>9.9999999999999795E-15</v>
      </c>
      <c r="W858">
        <v>0.190313861904125</v>
      </c>
      <c r="X858">
        <v>2.4999999999999898</v>
      </c>
      <c r="Y858">
        <v>8.7810637316494002</v>
      </c>
      <c r="Z858">
        <v>0.49999999997424399</v>
      </c>
      <c r="AA858">
        <v>15.8727147933912</v>
      </c>
      <c r="AB858" s="9">
        <f t="shared" si="116"/>
        <v>-0.40505328842017235</v>
      </c>
      <c r="AC858" s="9">
        <f t="shared" si="117"/>
        <v>-0.42190893220323528</v>
      </c>
      <c r="AD858" s="2">
        <f t="shared" si="118"/>
        <v>4.1613398199542795E-2</v>
      </c>
      <c r="AE858" s="8">
        <f t="shared" si="119"/>
        <v>2.4492177656104581E-2</v>
      </c>
      <c r="AF858" s="2">
        <f t="shared" si="120"/>
        <v>-5.9312806468211077E-3</v>
      </c>
      <c r="AG858" s="8">
        <f t="shared" si="121"/>
        <v>3.0423458302925688E-2</v>
      </c>
      <c r="AH858" s="7">
        <f t="shared" si="122"/>
        <v>-0.19495747616077963</v>
      </c>
      <c r="AI858">
        <f t="shared" si="123"/>
        <v>4</v>
      </c>
      <c r="AJ858" s="10">
        <f t="shared" si="124"/>
        <v>0.48677533284681102</v>
      </c>
    </row>
    <row r="859" spans="1:36" hidden="1" x14ac:dyDescent="0.25">
      <c r="A859" t="b">
        <v>0</v>
      </c>
      <c r="B859">
        <v>1000</v>
      </c>
      <c r="C859">
        <v>0.48677533284681102</v>
      </c>
      <c r="D859" t="s">
        <v>52</v>
      </c>
      <c r="E859" t="b">
        <v>1</v>
      </c>
      <c r="F859" t="s">
        <v>53</v>
      </c>
      <c r="G859">
        <v>7.4999999999999997E-2</v>
      </c>
      <c r="H859">
        <v>0.5</v>
      </c>
      <c r="I859">
        <v>1E-4</v>
      </c>
      <c r="J859" t="b">
        <v>1</v>
      </c>
      <c r="K859">
        <v>4</v>
      </c>
      <c r="L859">
        <v>1500</v>
      </c>
      <c r="M859">
        <v>0.5</v>
      </c>
      <c r="N859">
        <v>0.154</v>
      </c>
      <c r="O859" t="s">
        <v>386</v>
      </c>
      <c r="P859" t="s">
        <v>393</v>
      </c>
      <c r="Q859">
        <v>-2.9353196168887001E-4</v>
      </c>
      <c r="R859">
        <v>9.3945036116824905E-4</v>
      </c>
      <c r="S859">
        <v>1.0258270624726399E-3</v>
      </c>
      <c r="T859">
        <v>-6.6474294500697998E-3</v>
      </c>
      <c r="U859">
        <v>4.0336229666406096</v>
      </c>
      <c r="V859" s="1">
        <v>9.9999999999999795E-15</v>
      </c>
      <c r="W859">
        <v>0.21747788392436901</v>
      </c>
      <c r="X859">
        <v>2.4999999999999898</v>
      </c>
      <c r="Y859">
        <v>9.6655121316504395</v>
      </c>
      <c r="Z859">
        <v>0.49999999997050198</v>
      </c>
      <c r="AA859">
        <v>17.776846781023199</v>
      </c>
      <c r="AB859" s="9">
        <f t="shared" si="116"/>
        <v>-0.40500427004521872</v>
      </c>
      <c r="AC859" s="9">
        <f t="shared" si="117"/>
        <v>-0.42190893220323528</v>
      </c>
      <c r="AD859" s="2">
        <f t="shared" si="118"/>
        <v>4.1739466490388288E-2</v>
      </c>
      <c r="AE859" s="8">
        <f t="shared" si="119"/>
        <v>2.4475028305530892E-2</v>
      </c>
      <c r="AF859" s="2">
        <f t="shared" si="120"/>
        <v>-5.9484299973947968E-3</v>
      </c>
      <c r="AG859" s="8">
        <f t="shared" si="121"/>
        <v>3.0423458302925688E-2</v>
      </c>
      <c r="AH859" s="7">
        <f t="shared" si="122"/>
        <v>-0.19552116456210905</v>
      </c>
      <c r="AI859">
        <f t="shared" si="123"/>
        <v>4</v>
      </c>
      <c r="AJ859" s="10">
        <f t="shared" si="124"/>
        <v>0.48677533284681102</v>
      </c>
    </row>
    <row r="860" spans="1:36" hidden="1" x14ac:dyDescent="0.25">
      <c r="A860" t="b">
        <v>0</v>
      </c>
      <c r="B860">
        <v>1000</v>
      </c>
      <c r="C860">
        <v>0.48677533284681102</v>
      </c>
      <c r="D860" t="s">
        <v>52</v>
      </c>
      <c r="E860" t="b">
        <v>1</v>
      </c>
      <c r="F860" t="s">
        <v>53</v>
      </c>
      <c r="G860">
        <v>7.4999999999999997E-2</v>
      </c>
      <c r="H860">
        <v>0.5</v>
      </c>
      <c r="I860">
        <v>1E-4</v>
      </c>
      <c r="J860" t="b">
        <v>1</v>
      </c>
      <c r="K860">
        <v>4</v>
      </c>
      <c r="L860">
        <v>1500</v>
      </c>
      <c r="M860">
        <v>0.5</v>
      </c>
      <c r="N860">
        <v>0.154</v>
      </c>
      <c r="O860" t="s">
        <v>387</v>
      </c>
      <c r="P860" t="s">
        <v>390</v>
      </c>
      <c r="Q860" s="1">
        <v>-1.9584614249767899E-5</v>
      </c>
      <c r="R860" s="1">
        <v>5.6389344010217602E-5</v>
      </c>
      <c r="S860" s="1">
        <v>6.8449146336743201E-5</v>
      </c>
      <c r="T860">
        <v>-4.4380637589697401E-4</v>
      </c>
      <c r="U860">
        <v>4.0336230051141797</v>
      </c>
      <c r="V860" s="1">
        <v>9.9999999999999905E-15</v>
      </c>
      <c r="W860">
        <v>0.19195560634009401</v>
      </c>
      <c r="X860">
        <v>2.4999999999999898</v>
      </c>
      <c r="Y860">
        <v>8.8096086419431305</v>
      </c>
      <c r="Z860">
        <v>0.49999999999544098</v>
      </c>
      <c r="AA860">
        <v>15.9541804724208</v>
      </c>
      <c r="AB860" s="9">
        <f t="shared" si="116"/>
        <v>-0.40523366583859488</v>
      </c>
      <c r="AC860" s="9">
        <f t="shared" si="117"/>
        <v>-0.42190893220323528</v>
      </c>
      <c r="AD860" s="2">
        <f t="shared" si="118"/>
        <v>4.1149755734465998E-2</v>
      </c>
      <c r="AE860" s="8">
        <f t="shared" si="119"/>
        <v>2.4555288641106596E-2</v>
      </c>
      <c r="AF860" s="2">
        <f t="shared" si="120"/>
        <v>-5.8681696618190921E-3</v>
      </c>
      <c r="AG860" s="8">
        <f t="shared" si="121"/>
        <v>3.0423458302925688E-2</v>
      </c>
      <c r="AH860" s="7">
        <f t="shared" si="122"/>
        <v>-0.19288305765208738</v>
      </c>
      <c r="AI860">
        <f t="shared" si="123"/>
        <v>4</v>
      </c>
      <c r="AJ860" s="10">
        <f t="shared" si="124"/>
        <v>0.48677533284681102</v>
      </c>
    </row>
    <row r="861" spans="1:36" hidden="1" x14ac:dyDescent="0.25">
      <c r="A861" t="b">
        <v>0</v>
      </c>
      <c r="B861">
        <v>1000</v>
      </c>
      <c r="C861">
        <v>0.48677533284681102</v>
      </c>
      <c r="D861" t="s">
        <v>52</v>
      </c>
      <c r="E861" t="b">
        <v>1</v>
      </c>
      <c r="F861" t="s">
        <v>53</v>
      </c>
      <c r="G861">
        <v>7.4999999999999997E-2</v>
      </c>
      <c r="H861">
        <v>0.5</v>
      </c>
      <c r="I861">
        <v>1E-4</v>
      </c>
      <c r="J861" t="b">
        <v>1</v>
      </c>
      <c r="K861">
        <v>4</v>
      </c>
      <c r="L861">
        <v>1500</v>
      </c>
      <c r="M861">
        <v>0.5</v>
      </c>
      <c r="N861">
        <v>0.154</v>
      </c>
      <c r="O861" t="s">
        <v>387</v>
      </c>
      <c r="P861" t="s">
        <v>391</v>
      </c>
      <c r="Q861" s="1">
        <v>-1E-10</v>
      </c>
      <c r="R861" s="1">
        <v>3.5857859215209E-12</v>
      </c>
      <c r="S861" s="1">
        <v>-1.21438934831859E-17</v>
      </c>
      <c r="T861" s="1">
        <v>1.04097614935244E-15</v>
      </c>
      <c r="U861">
        <v>4.0337055252163498</v>
      </c>
      <c r="V861">
        <v>0</v>
      </c>
      <c r="W861">
        <v>6.8474548059408905E-2</v>
      </c>
      <c r="X861">
        <v>2</v>
      </c>
      <c r="Y861">
        <v>4.0005664023057396E-3</v>
      </c>
      <c r="Z861">
        <v>2.5000000000000001E-4</v>
      </c>
      <c r="AA861">
        <v>4.7933529672868798E-3</v>
      </c>
      <c r="AB861" s="9">
        <f t="shared" si="116"/>
        <v>-5.3575082344562048</v>
      </c>
      <c r="AC861" s="9">
        <f t="shared" si="117"/>
        <v>-0.42190893220323528</v>
      </c>
      <c r="AD861" s="2">
        <f t="shared" si="118"/>
        <v>-0.921249037100909</v>
      </c>
      <c r="AE861" s="8">
        <f t="shared" si="119"/>
        <v>-2.4820853664057432</v>
      </c>
      <c r="AF861" s="2">
        <f t="shared" si="120"/>
        <v>-2.5125088247086689</v>
      </c>
      <c r="AG861" s="8">
        <f t="shared" si="121"/>
        <v>3.0423458302925688E-2</v>
      </c>
      <c r="AH861" s="7">
        <f t="shared" si="122"/>
        <v>-82.584589815256209</v>
      </c>
      <c r="AI861">
        <f t="shared" si="123"/>
        <v>4</v>
      </c>
      <c r="AJ861" s="10">
        <f t="shared" si="124"/>
        <v>0.48677533284681102</v>
      </c>
    </row>
    <row r="862" spans="1:36" hidden="1" x14ac:dyDescent="0.25">
      <c r="A862" t="b">
        <v>0</v>
      </c>
      <c r="B862">
        <v>1000</v>
      </c>
      <c r="C862">
        <v>0.48677533284681102</v>
      </c>
      <c r="D862" t="s">
        <v>52</v>
      </c>
      <c r="E862" t="b">
        <v>1</v>
      </c>
      <c r="F862" t="s">
        <v>53</v>
      </c>
      <c r="G862">
        <v>7.4999999999999997E-2</v>
      </c>
      <c r="H862">
        <v>0.5</v>
      </c>
      <c r="I862">
        <v>1E-4</v>
      </c>
      <c r="J862" t="b">
        <v>1</v>
      </c>
      <c r="K862">
        <v>4</v>
      </c>
      <c r="L862">
        <v>1500</v>
      </c>
      <c r="M862">
        <v>0.5</v>
      </c>
      <c r="N862">
        <v>0.154</v>
      </c>
      <c r="O862" t="s">
        <v>387</v>
      </c>
      <c r="P862" t="s">
        <v>392</v>
      </c>
      <c r="Q862" s="1">
        <v>-1.9584614249767699E-5</v>
      </c>
      <c r="R862" s="1">
        <v>5.6641371899033503E-5</v>
      </c>
      <c r="S862" s="1">
        <v>6.8449146336742103E-5</v>
      </c>
      <c r="T862">
        <v>-4.4380637589693103E-4</v>
      </c>
      <c r="U862">
        <v>4.033623005071</v>
      </c>
      <c r="V862" s="1">
        <v>9.9999999999999905E-15</v>
      </c>
      <c r="W862">
        <v>0.19113870544096101</v>
      </c>
      <c r="X862">
        <v>2.4999999999999898</v>
      </c>
      <c r="Y862">
        <v>8.8728142117310398</v>
      </c>
      <c r="Z862">
        <v>0.49999999999544098</v>
      </c>
      <c r="AA862">
        <v>16.015376980250299</v>
      </c>
      <c r="AB862" s="9">
        <f t="shared" si="116"/>
        <v>-0.40523366583856213</v>
      </c>
      <c r="AC862" s="9">
        <f t="shared" si="117"/>
        <v>-0.42190893220323528</v>
      </c>
      <c r="AD862" s="2">
        <f t="shared" si="118"/>
        <v>4.1149755734550153E-2</v>
      </c>
      <c r="AE862" s="8">
        <f t="shared" si="119"/>
        <v>2.4555288641095147E-2</v>
      </c>
      <c r="AF862" s="2">
        <f t="shared" si="120"/>
        <v>-5.8681696618305412E-3</v>
      </c>
      <c r="AG862" s="8">
        <f t="shared" si="121"/>
        <v>3.0423458302925688E-2</v>
      </c>
      <c r="AH862" s="7">
        <f t="shared" si="122"/>
        <v>-0.19288305765246372</v>
      </c>
      <c r="AI862">
        <f t="shared" si="123"/>
        <v>4</v>
      </c>
      <c r="AJ862" s="10">
        <f t="shared" si="124"/>
        <v>0.48677533284681102</v>
      </c>
    </row>
    <row r="863" spans="1:36" hidden="1" x14ac:dyDescent="0.25">
      <c r="A863" t="b">
        <v>0</v>
      </c>
      <c r="B863">
        <v>1000</v>
      </c>
      <c r="C863">
        <v>0.48677533284681102</v>
      </c>
      <c r="D863" t="s">
        <v>52</v>
      </c>
      <c r="E863" t="b">
        <v>1</v>
      </c>
      <c r="F863" t="s">
        <v>53</v>
      </c>
      <c r="G863">
        <v>7.4999999999999997E-2</v>
      </c>
      <c r="H863">
        <v>0.5</v>
      </c>
      <c r="I863">
        <v>1E-4</v>
      </c>
      <c r="J863" t="b">
        <v>1</v>
      </c>
      <c r="K863">
        <v>4</v>
      </c>
      <c r="L863">
        <v>1500</v>
      </c>
      <c r="M863">
        <v>0.5</v>
      </c>
      <c r="N863">
        <v>0.154</v>
      </c>
      <c r="O863" t="s">
        <v>387</v>
      </c>
      <c r="P863" t="s">
        <v>393</v>
      </c>
      <c r="Q863">
        <v>-1.5655573780973001E-4</v>
      </c>
      <c r="R863">
        <v>4.4543493334833198E-4</v>
      </c>
      <c r="S863">
        <v>5.4712266905311395E-4</v>
      </c>
      <c r="T863">
        <v>-3.5452143771825201E-3</v>
      </c>
      <c r="U863">
        <v>4.0330462441394497</v>
      </c>
      <c r="V863" s="1">
        <v>9.9999999999999795E-15</v>
      </c>
      <c r="W863">
        <v>0.19158713360631099</v>
      </c>
      <c r="X863">
        <v>2.4999999999999898</v>
      </c>
      <c r="Y863">
        <v>8.6836661961343093</v>
      </c>
      <c r="Z863">
        <v>0.499999999974163</v>
      </c>
      <c r="AA863">
        <v>15.7752675959089</v>
      </c>
      <c r="AB863" s="9">
        <f t="shared" si="116"/>
        <v>-0.40498394803743221</v>
      </c>
      <c r="AC863" s="9">
        <f t="shared" si="117"/>
        <v>-0.42190893220323528</v>
      </c>
      <c r="AD863" s="2">
        <f t="shared" si="118"/>
        <v>4.1791740753731599E-2</v>
      </c>
      <c r="AE863" s="8">
        <f t="shared" si="119"/>
        <v>2.4467918706653505E-2</v>
      </c>
      <c r="AF863" s="2">
        <f t="shared" si="120"/>
        <v>-5.9555395962721837E-3</v>
      </c>
      <c r="AG863" s="8">
        <f t="shared" si="121"/>
        <v>3.0423458302925688E-2</v>
      </c>
      <c r="AH863" s="7">
        <f t="shared" si="122"/>
        <v>-0.19575485261974526</v>
      </c>
      <c r="AI863">
        <f t="shared" si="123"/>
        <v>4</v>
      </c>
      <c r="AJ863" s="10">
        <f t="shared" si="124"/>
        <v>0.48677533284681102</v>
      </c>
    </row>
    <row r="864" spans="1:36" hidden="1" x14ac:dyDescent="0.25">
      <c r="A864" t="b">
        <v>0</v>
      </c>
      <c r="B864">
        <v>1000</v>
      </c>
      <c r="C864">
        <v>0.48677533284681102</v>
      </c>
      <c r="D864" t="s">
        <v>52</v>
      </c>
      <c r="E864" t="b">
        <v>1</v>
      </c>
      <c r="F864" t="s">
        <v>53</v>
      </c>
      <c r="G864">
        <v>7.4999999999999997E-2</v>
      </c>
      <c r="H864">
        <v>0.5</v>
      </c>
      <c r="I864">
        <v>1E-4</v>
      </c>
      <c r="J864" t="b">
        <v>1</v>
      </c>
      <c r="K864">
        <v>4</v>
      </c>
      <c r="L864">
        <v>1500</v>
      </c>
      <c r="M864">
        <v>0.5</v>
      </c>
      <c r="N864">
        <v>0.154</v>
      </c>
      <c r="O864" t="s">
        <v>388</v>
      </c>
      <c r="P864" t="s">
        <v>389</v>
      </c>
      <c r="Q864" s="1">
        <v>-1.95852524734941E-5</v>
      </c>
      <c r="R864" s="1">
        <v>5.5842493519784797E-5</v>
      </c>
      <c r="S864" s="1">
        <v>6.8453010400271807E-5</v>
      </c>
      <c r="T864">
        <v>-4.4390742578508699E-4</v>
      </c>
      <c r="U864">
        <v>4.0347764548491902</v>
      </c>
      <c r="V864" s="1">
        <v>9.9999999999999905E-15</v>
      </c>
      <c r="W864">
        <v>0.189760807274135</v>
      </c>
      <c r="X864">
        <v>2.4999999999999898</v>
      </c>
      <c r="Y864">
        <v>8.7350645630924095</v>
      </c>
      <c r="Z864">
        <v>0.49999999999545702</v>
      </c>
      <c r="AA864">
        <v>15.7950780820461</v>
      </c>
      <c r="AB864" s="9">
        <f t="shared" si="116"/>
        <v>-0.4053030531358161</v>
      </c>
      <c r="AC864" s="9">
        <f t="shared" si="117"/>
        <v>-0.42190893220323528</v>
      </c>
      <c r="AD864" s="2">
        <f t="shared" si="118"/>
        <v>4.0971512400264531E-2</v>
      </c>
      <c r="AE864" s="8">
        <f t="shared" si="119"/>
        <v>2.457956814491272E-2</v>
      </c>
      <c r="AF864" s="2">
        <f t="shared" si="120"/>
        <v>-5.8438901580129682E-3</v>
      </c>
      <c r="AG864" s="8">
        <f t="shared" si="121"/>
        <v>3.0423458302925688E-2</v>
      </c>
      <c r="AH864" s="7">
        <f t="shared" si="122"/>
        <v>-0.19208500558435815</v>
      </c>
      <c r="AI864">
        <f t="shared" si="123"/>
        <v>4</v>
      </c>
      <c r="AJ864" s="10">
        <f t="shared" si="124"/>
        <v>0.48677533284681102</v>
      </c>
    </row>
    <row r="865" spans="1:36" hidden="1" x14ac:dyDescent="0.25">
      <c r="A865" t="b">
        <v>0</v>
      </c>
      <c r="B865">
        <v>1000</v>
      </c>
      <c r="C865">
        <v>0.48677533284681102</v>
      </c>
      <c r="D865" t="s">
        <v>52</v>
      </c>
      <c r="E865" t="b">
        <v>1</v>
      </c>
      <c r="F865" t="s">
        <v>53</v>
      </c>
      <c r="G865">
        <v>7.4999999999999997E-2</v>
      </c>
      <c r="H865">
        <v>0.5</v>
      </c>
      <c r="I865">
        <v>1E-4</v>
      </c>
      <c r="J865" t="b">
        <v>1</v>
      </c>
      <c r="K865">
        <v>4</v>
      </c>
      <c r="L865">
        <v>1500</v>
      </c>
      <c r="M865">
        <v>0.5</v>
      </c>
      <c r="N865">
        <v>0.154</v>
      </c>
      <c r="O865" t="s">
        <v>388</v>
      </c>
      <c r="P865" t="s">
        <v>390</v>
      </c>
      <c r="Q865">
        <v>-1.56560838135255E-4</v>
      </c>
      <c r="R865">
        <v>4.47437388630687E-4</v>
      </c>
      <c r="S865">
        <v>5.4715353975628501E-4</v>
      </c>
      <c r="T865">
        <v>-3.5460214487845901E-3</v>
      </c>
      <c r="U865">
        <v>4.0341997275896704</v>
      </c>
      <c r="V865" s="1">
        <v>9.9999999999999795E-15</v>
      </c>
      <c r="W865">
        <v>0.191199926591792</v>
      </c>
      <c r="X865">
        <v>2.4999999999999898</v>
      </c>
      <c r="Y865">
        <v>8.7384339101550008</v>
      </c>
      <c r="Z865">
        <v>0.49999999997424399</v>
      </c>
      <c r="AA865">
        <v>15.8390130812904</v>
      </c>
      <c r="AB865" s="9">
        <f t="shared" si="116"/>
        <v>-0.40505328842020183</v>
      </c>
      <c r="AC865" s="9">
        <f t="shared" si="117"/>
        <v>-0.42190893220323528</v>
      </c>
      <c r="AD865" s="2">
        <f t="shared" si="118"/>
        <v>4.1613398199467078E-2</v>
      </c>
      <c r="AE865" s="8">
        <f t="shared" si="119"/>
        <v>2.4492177656114889E-2</v>
      </c>
      <c r="AF865" s="2">
        <f t="shared" si="120"/>
        <v>-5.9312806468107999E-3</v>
      </c>
      <c r="AG865" s="8">
        <f t="shared" si="121"/>
        <v>3.0423458302925688E-2</v>
      </c>
      <c r="AH865" s="7">
        <f t="shared" si="122"/>
        <v>-0.19495747616044082</v>
      </c>
      <c r="AI865">
        <f t="shared" si="123"/>
        <v>4</v>
      </c>
      <c r="AJ865" s="10">
        <f t="shared" si="124"/>
        <v>0.48677533284681102</v>
      </c>
    </row>
    <row r="866" spans="1:36" hidden="1" x14ac:dyDescent="0.25">
      <c r="A866" t="b">
        <v>0</v>
      </c>
      <c r="B866">
        <v>1000</v>
      </c>
      <c r="C866">
        <v>0.48677533284681102</v>
      </c>
      <c r="D866" t="s">
        <v>52</v>
      </c>
      <c r="E866" t="b">
        <v>1</v>
      </c>
      <c r="F866" t="s">
        <v>53</v>
      </c>
      <c r="G866">
        <v>7.4999999999999997E-2</v>
      </c>
      <c r="H866">
        <v>0.5</v>
      </c>
      <c r="I866">
        <v>1E-4</v>
      </c>
      <c r="J866" t="b">
        <v>1</v>
      </c>
      <c r="K866">
        <v>4</v>
      </c>
      <c r="L866">
        <v>1500</v>
      </c>
      <c r="M866">
        <v>0.5</v>
      </c>
      <c r="N866">
        <v>0.154</v>
      </c>
      <c r="O866" t="s">
        <v>388</v>
      </c>
      <c r="P866" t="s">
        <v>391</v>
      </c>
      <c r="Q866">
        <v>-1.3697622389090901E-4</v>
      </c>
      <c r="R866">
        <v>4.0655292484869499E-4</v>
      </c>
      <c r="S866">
        <v>4.7870439341953397E-4</v>
      </c>
      <c r="T866">
        <v>-3.1022150728873899E-3</v>
      </c>
      <c r="U866">
        <v>4.0342822476918503</v>
      </c>
      <c r="V866" s="1">
        <v>9.9999999999999795E-15</v>
      </c>
      <c r="W866">
        <v>0.20246519786615799</v>
      </c>
      <c r="X866">
        <v>2.4999999999999898</v>
      </c>
      <c r="Y866">
        <v>8.9941885392005094</v>
      </c>
      <c r="Z866">
        <v>0.49999999997470801</v>
      </c>
      <c r="AA866">
        <v>16.479805170752901</v>
      </c>
      <c r="AB866" s="9">
        <f t="shared" si="116"/>
        <v>-0.4050274965526357</v>
      </c>
      <c r="AC866" s="9">
        <f t="shared" si="117"/>
        <v>-0.42190893220323528</v>
      </c>
      <c r="AD866" s="2">
        <f t="shared" si="118"/>
        <v>4.1679727411804812E-2</v>
      </c>
      <c r="AE866" s="8">
        <f t="shared" si="119"/>
        <v>2.4483154156507453E-2</v>
      </c>
      <c r="AF866" s="2">
        <f t="shared" si="120"/>
        <v>-5.9403041464182356E-3</v>
      </c>
      <c r="AG866" s="8">
        <f t="shared" si="121"/>
        <v>3.0423458302925688E-2</v>
      </c>
      <c r="AH866" s="7">
        <f t="shared" si="122"/>
        <v>-0.19525407293512662</v>
      </c>
      <c r="AI866">
        <f t="shared" si="123"/>
        <v>4</v>
      </c>
      <c r="AJ866" s="10">
        <f t="shared" si="124"/>
        <v>0.48677533284681102</v>
      </c>
    </row>
    <row r="867" spans="1:36" hidden="1" x14ac:dyDescent="0.25">
      <c r="A867" t="b">
        <v>0</v>
      </c>
      <c r="B867">
        <v>1000</v>
      </c>
      <c r="C867">
        <v>0.48677533284681102</v>
      </c>
      <c r="D867" t="s">
        <v>52</v>
      </c>
      <c r="E867" t="b">
        <v>1</v>
      </c>
      <c r="F867" t="s">
        <v>53</v>
      </c>
      <c r="G867">
        <v>7.4999999999999997E-2</v>
      </c>
      <c r="H867">
        <v>0.5</v>
      </c>
      <c r="I867">
        <v>1E-4</v>
      </c>
      <c r="J867" t="b">
        <v>1</v>
      </c>
      <c r="K867">
        <v>4</v>
      </c>
      <c r="L867">
        <v>1500</v>
      </c>
      <c r="M867">
        <v>0.5</v>
      </c>
      <c r="N867">
        <v>0.154</v>
      </c>
      <c r="O867" t="s">
        <v>388</v>
      </c>
      <c r="P867" t="s">
        <v>392</v>
      </c>
      <c r="Q867">
        <v>-1.56560838135255E-4</v>
      </c>
      <c r="R867">
        <v>4.3773491191770298E-4</v>
      </c>
      <c r="S867">
        <v>5.4715353975628804E-4</v>
      </c>
      <c r="T867">
        <v>-3.54602144878481E-3</v>
      </c>
      <c r="U867">
        <v>4.0341997275464898</v>
      </c>
      <c r="V867" s="1">
        <v>9.9999999999999795E-15</v>
      </c>
      <c r="W867">
        <v>0.18732906135946301</v>
      </c>
      <c r="X867">
        <v>2.4999999999999898</v>
      </c>
      <c r="Y867">
        <v>8.5599238700457807</v>
      </c>
      <c r="Z867">
        <v>0.49999999997424499</v>
      </c>
      <c r="AA867">
        <v>15.492799071448101</v>
      </c>
      <c r="AB867" s="9">
        <f t="shared" si="116"/>
        <v>-0.4050532884202247</v>
      </c>
      <c r="AC867" s="9">
        <f t="shared" si="117"/>
        <v>-0.42190893220323528</v>
      </c>
      <c r="AD867" s="2">
        <f t="shared" si="118"/>
        <v>4.1613398199408236E-2</v>
      </c>
      <c r="AE867" s="8">
        <f t="shared" si="119"/>
        <v>2.4492177656122886E-2</v>
      </c>
      <c r="AF867" s="2">
        <f t="shared" si="120"/>
        <v>-5.9312806468028029E-3</v>
      </c>
      <c r="AG867" s="8">
        <f t="shared" si="121"/>
        <v>3.0423458302925688E-2</v>
      </c>
      <c r="AH867" s="7">
        <f t="shared" si="122"/>
        <v>-0.19495747616017794</v>
      </c>
      <c r="AI867">
        <f t="shared" si="123"/>
        <v>4</v>
      </c>
      <c r="AJ867" s="10">
        <f t="shared" si="124"/>
        <v>0.48677533284681102</v>
      </c>
    </row>
    <row r="868" spans="1:36" hidden="1" x14ac:dyDescent="0.25">
      <c r="A868" t="b">
        <v>0</v>
      </c>
      <c r="B868">
        <v>1000</v>
      </c>
      <c r="C868">
        <v>0.48677533284681102</v>
      </c>
      <c r="D868" t="s">
        <v>52</v>
      </c>
      <c r="E868" t="b">
        <v>1</v>
      </c>
      <c r="F868" t="s">
        <v>53</v>
      </c>
      <c r="G868">
        <v>7.4999999999999997E-2</v>
      </c>
      <c r="H868">
        <v>0.5</v>
      </c>
      <c r="I868">
        <v>1E-4</v>
      </c>
      <c r="J868" t="b">
        <v>1</v>
      </c>
      <c r="K868">
        <v>4</v>
      </c>
      <c r="L868">
        <v>1500</v>
      </c>
      <c r="M868">
        <v>0.5</v>
      </c>
      <c r="N868">
        <v>0.154</v>
      </c>
      <c r="O868" t="s">
        <v>388</v>
      </c>
      <c r="P868" t="s">
        <v>393</v>
      </c>
      <c r="Q868">
        <v>-2.9353196168886697E-4</v>
      </c>
      <c r="R868">
        <v>9.3423119240612304E-4</v>
      </c>
      <c r="S868">
        <v>1.0258270624726601E-3</v>
      </c>
      <c r="T868">
        <v>-6.64742945007042E-3</v>
      </c>
      <c r="U868">
        <v>4.0336229666149501</v>
      </c>
      <c r="V868" s="1">
        <v>9.9999999999999795E-15</v>
      </c>
      <c r="W868">
        <v>0.21561048515453901</v>
      </c>
      <c r="X868">
        <v>2.4999999999999898</v>
      </c>
      <c r="Y868">
        <v>9.6260865105399294</v>
      </c>
      <c r="Z868">
        <v>0.49999999997050198</v>
      </c>
      <c r="AA868">
        <v>17.672900115869599</v>
      </c>
      <c r="AB868" s="9">
        <f t="shared" ref="AB868:AB931" si="125">T868/S868/K868^2</f>
        <v>-0.40500427004524853</v>
      </c>
      <c r="AC868" s="9">
        <f t="shared" ref="AC868:AC931" si="126">(1+10*C868/K868^2)/(-3-3*C868/K868^2)</f>
        <v>-0.42190893220323528</v>
      </c>
      <c r="AD868" s="2">
        <f t="shared" ref="AD868:AD931" si="127">(AC868/AB868-1)</f>
        <v>4.1739466490311461E-2</v>
      </c>
      <c r="AE868" s="8">
        <f t="shared" ref="AE868:AE931" si="128">-(1+3*AB868)/(10+3*AB868)</f>
        <v>2.4475028305541324E-2</v>
      </c>
      <c r="AF868" s="2">
        <f t="shared" ref="AF868:AF931" si="129">(AE868-C868/K868^2)</f>
        <v>-5.9484299973843642E-3</v>
      </c>
      <c r="AG868" s="8">
        <f t="shared" ref="AG868:AG931" si="130">C868/K868^2</f>
        <v>3.0423458302925688E-2</v>
      </c>
      <c r="AH868" s="7">
        <f t="shared" ref="AH868:AH931" si="131">AF868/AG868</f>
        <v>-0.19552116456176616</v>
      </c>
      <c r="AI868">
        <f t="shared" ref="AI868:AI931" si="132">K868</f>
        <v>4</v>
      </c>
      <c r="AJ868" s="10">
        <f t="shared" ref="AJ868:AJ931" si="133">C868</f>
        <v>0.48677533284681102</v>
      </c>
    </row>
    <row r="869" spans="1:36" hidden="1" x14ac:dyDescent="0.25">
      <c r="A869" t="b">
        <v>0</v>
      </c>
      <c r="B869">
        <v>1000</v>
      </c>
      <c r="C869">
        <v>0.48677533284681102</v>
      </c>
      <c r="D869" t="s">
        <v>52</v>
      </c>
      <c r="E869" t="b">
        <v>1</v>
      </c>
      <c r="F869" t="s">
        <v>53</v>
      </c>
      <c r="G869">
        <v>7.4999999999999997E-2</v>
      </c>
      <c r="H869">
        <v>0.5</v>
      </c>
      <c r="I869">
        <v>1E-4</v>
      </c>
      <c r="J869" t="b">
        <v>1</v>
      </c>
      <c r="K869">
        <v>4</v>
      </c>
      <c r="L869">
        <v>1500</v>
      </c>
      <c r="M869">
        <v>0.5</v>
      </c>
      <c r="N869">
        <v>0.154</v>
      </c>
      <c r="O869" t="s">
        <v>389</v>
      </c>
      <c r="P869" t="s">
        <v>390</v>
      </c>
      <c r="Q869">
        <v>-1.3697558566717601E-4</v>
      </c>
      <c r="R869">
        <v>4.2316052748162599E-4</v>
      </c>
      <c r="S869">
        <v>4.7870052935600698E-4</v>
      </c>
      <c r="T869">
        <v>-3.1021140229993398E-3</v>
      </c>
      <c r="U869">
        <v>4.03411721233946</v>
      </c>
      <c r="V869" s="1">
        <v>9.9999999999999795E-15</v>
      </c>
      <c r="W869">
        <v>0.208559748681277</v>
      </c>
      <c r="X869">
        <v>2.4999999999999898</v>
      </c>
      <c r="Y869">
        <v>9.3697510685513503</v>
      </c>
      <c r="Z869">
        <v>0.49999999997469702</v>
      </c>
      <c r="AA869">
        <v>17.146051711657499</v>
      </c>
      <c r="AB869" s="9">
        <f t="shared" si="125"/>
        <v>-0.40501757267385358</v>
      </c>
      <c r="AC869" s="9">
        <f t="shared" si="126"/>
        <v>-0.42190893220323528</v>
      </c>
      <c r="AD869" s="2">
        <f t="shared" si="127"/>
        <v>4.1705251003969934E-2</v>
      </c>
      <c r="AE869" s="8">
        <f t="shared" si="128"/>
        <v>2.4479682247237015E-2</v>
      </c>
      <c r="AF869" s="2">
        <f t="shared" si="129"/>
        <v>-5.9437760556886737E-3</v>
      </c>
      <c r="AG869" s="8">
        <f t="shared" si="130"/>
        <v>3.0423458302925688E-2</v>
      </c>
      <c r="AH869" s="7">
        <f t="shared" si="131"/>
        <v>-0.19536819241608333</v>
      </c>
      <c r="AI869">
        <f t="shared" si="132"/>
        <v>4</v>
      </c>
      <c r="AJ869" s="10">
        <f t="shared" si="133"/>
        <v>0.48677533284681102</v>
      </c>
    </row>
    <row r="870" spans="1:36" hidden="1" x14ac:dyDescent="0.25">
      <c r="A870" t="b">
        <v>0</v>
      </c>
      <c r="B870">
        <v>1000</v>
      </c>
      <c r="C870">
        <v>0.48677533284681102</v>
      </c>
      <c r="D870" t="s">
        <v>52</v>
      </c>
      <c r="E870" t="b">
        <v>1</v>
      </c>
      <c r="F870" t="s">
        <v>53</v>
      </c>
      <c r="G870">
        <v>7.4999999999999997E-2</v>
      </c>
      <c r="H870">
        <v>0.5</v>
      </c>
      <c r="I870">
        <v>1E-4</v>
      </c>
      <c r="J870" t="b">
        <v>1</v>
      </c>
      <c r="K870">
        <v>4</v>
      </c>
      <c r="L870">
        <v>1500</v>
      </c>
      <c r="M870">
        <v>0.5</v>
      </c>
      <c r="N870">
        <v>0.154</v>
      </c>
      <c r="O870" t="s">
        <v>389</v>
      </c>
      <c r="P870" t="s">
        <v>391</v>
      </c>
      <c r="Q870">
        <v>-1.1739097142262301E-4</v>
      </c>
      <c r="R870">
        <v>3.4308800530894899E-4</v>
      </c>
      <c r="S870">
        <v>4.1025138301925698E-4</v>
      </c>
      <c r="T870">
        <v>-2.6583076471021101E-3</v>
      </c>
      <c r="U870">
        <v>4.0341997324416301</v>
      </c>
      <c r="V870" s="1">
        <v>9.9999999999999795E-15</v>
      </c>
      <c r="W870">
        <v>0.19520178394863</v>
      </c>
      <c r="X870">
        <v>2.4999999999999898</v>
      </c>
      <c r="Y870">
        <v>8.9278848215396192</v>
      </c>
      <c r="Z870">
        <v>0.49999999997514399</v>
      </c>
      <c r="AA870">
        <v>16.198796668024698</v>
      </c>
      <c r="AB870" s="9">
        <f t="shared" si="125"/>
        <v>-0.40498151821241551</v>
      </c>
      <c r="AC870" s="9">
        <f t="shared" si="126"/>
        <v>-0.42190893220323528</v>
      </c>
      <c r="AD870" s="2">
        <f t="shared" si="127"/>
        <v>4.1797991339301621E-2</v>
      </c>
      <c r="AE870" s="8">
        <f t="shared" si="128"/>
        <v>2.4467068645617537E-2</v>
      </c>
      <c r="AF870" s="2">
        <f t="shared" si="129"/>
        <v>-5.9563896573081518E-3</v>
      </c>
      <c r="AG870" s="8">
        <f t="shared" si="130"/>
        <v>3.0423458302925688E-2</v>
      </c>
      <c r="AH870" s="7">
        <f t="shared" si="131"/>
        <v>-0.19578279359303977</v>
      </c>
      <c r="AI870">
        <f t="shared" si="132"/>
        <v>4</v>
      </c>
      <c r="AJ870" s="10">
        <f t="shared" si="133"/>
        <v>0.48677533284681102</v>
      </c>
    </row>
    <row r="871" spans="1:36" hidden="1" x14ac:dyDescent="0.25">
      <c r="A871" t="b">
        <v>0</v>
      </c>
      <c r="B871">
        <v>1000</v>
      </c>
      <c r="C871">
        <v>0.48677533284681102</v>
      </c>
      <c r="D871" t="s">
        <v>52</v>
      </c>
      <c r="E871" t="b">
        <v>1</v>
      </c>
      <c r="F871" t="s">
        <v>53</v>
      </c>
      <c r="G871">
        <v>7.4999999999999997E-2</v>
      </c>
      <c r="H871">
        <v>0.5</v>
      </c>
      <c r="I871">
        <v>1E-4</v>
      </c>
      <c r="J871" t="b">
        <v>1</v>
      </c>
      <c r="K871">
        <v>4</v>
      </c>
      <c r="L871">
        <v>1500</v>
      </c>
      <c r="M871">
        <v>0.5</v>
      </c>
      <c r="N871">
        <v>0.154</v>
      </c>
      <c r="O871" t="s">
        <v>389</v>
      </c>
      <c r="P871" t="s">
        <v>392</v>
      </c>
      <c r="Q871">
        <v>-1.3697558566717801E-4</v>
      </c>
      <c r="R871">
        <v>4.2565884009040001E-4</v>
      </c>
      <c r="S871">
        <v>4.7870052935600698E-4</v>
      </c>
      <c r="T871">
        <v>-3.1021140229994001E-3</v>
      </c>
      <c r="U871">
        <v>4.0341172122962803</v>
      </c>
      <c r="V871" s="1">
        <v>9.9999999999999795E-15</v>
      </c>
      <c r="W871">
        <v>0.20922274830823101</v>
      </c>
      <c r="X871">
        <v>2.4999999999999898</v>
      </c>
      <c r="Y871">
        <v>9.4325435910240092</v>
      </c>
      <c r="Z871">
        <v>0.49999999997469802</v>
      </c>
      <c r="AA871">
        <v>17.243725130417499</v>
      </c>
      <c r="AB871" s="9">
        <f t="shared" si="125"/>
        <v>-0.40501757267386146</v>
      </c>
      <c r="AC871" s="9">
        <f t="shared" si="126"/>
        <v>-0.42190893220323528</v>
      </c>
      <c r="AD871" s="2">
        <f t="shared" si="127"/>
        <v>4.1705251003949728E-2</v>
      </c>
      <c r="AE871" s="8">
        <f t="shared" si="128"/>
        <v>2.447968224723979E-2</v>
      </c>
      <c r="AF871" s="2">
        <f t="shared" si="129"/>
        <v>-5.9437760556858982E-3</v>
      </c>
      <c r="AG871" s="8">
        <f t="shared" si="130"/>
        <v>3.0423458302925688E-2</v>
      </c>
      <c r="AH871" s="7">
        <f t="shared" si="131"/>
        <v>-0.1953681924159921</v>
      </c>
      <c r="AI871">
        <f t="shared" si="132"/>
        <v>4</v>
      </c>
      <c r="AJ871" s="10">
        <f t="shared" si="133"/>
        <v>0.48677533284681102</v>
      </c>
    </row>
    <row r="872" spans="1:36" hidden="1" x14ac:dyDescent="0.25">
      <c r="A872" t="b">
        <v>0</v>
      </c>
      <c r="B872">
        <v>1000</v>
      </c>
      <c r="C872">
        <v>0.48677533284681102</v>
      </c>
      <c r="D872" t="s">
        <v>52</v>
      </c>
      <c r="E872" t="b">
        <v>1</v>
      </c>
      <c r="F872" t="s">
        <v>53</v>
      </c>
      <c r="G872">
        <v>7.4999999999999997E-2</v>
      </c>
      <c r="H872">
        <v>0.5</v>
      </c>
      <c r="I872">
        <v>1E-4</v>
      </c>
      <c r="J872" t="b">
        <v>1</v>
      </c>
      <c r="K872">
        <v>4</v>
      </c>
      <c r="L872">
        <v>1500</v>
      </c>
      <c r="M872">
        <v>0.5</v>
      </c>
      <c r="N872">
        <v>0.154</v>
      </c>
      <c r="O872" t="s">
        <v>389</v>
      </c>
      <c r="P872" t="s">
        <v>393</v>
      </c>
      <c r="Q872">
        <v>-2.7394670922232899E-4</v>
      </c>
      <c r="R872">
        <v>8.2084041497049599E-4</v>
      </c>
      <c r="S872">
        <v>9.5737405207238599E-4</v>
      </c>
      <c r="T872">
        <v>-6.2035220242850804E-3</v>
      </c>
      <c r="U872">
        <v>4.0335404513647299</v>
      </c>
      <c r="V872" s="1">
        <v>9.9999999999999795E-15</v>
      </c>
      <c r="W872">
        <v>0.201787653951398</v>
      </c>
      <c r="X872">
        <v>2.4999999999999898</v>
      </c>
      <c r="Y872">
        <v>9.1124818512876899</v>
      </c>
      <c r="Z872">
        <v>0.49999999997103001</v>
      </c>
      <c r="AA872">
        <v>16.622292675243099</v>
      </c>
      <c r="AB872" s="9">
        <f t="shared" si="125"/>
        <v>-0.40498290681530025</v>
      </c>
      <c r="AC872" s="9">
        <f t="shared" si="126"/>
        <v>-0.42190893220323528</v>
      </c>
      <c r="AD872" s="2">
        <f t="shared" si="127"/>
        <v>4.1794419228795787E-2</v>
      </c>
      <c r="AE872" s="8">
        <f t="shared" si="128"/>
        <v>2.4467554440594105E-2</v>
      </c>
      <c r="AF872" s="2">
        <f t="shared" si="129"/>
        <v>-5.9559038623315831E-3</v>
      </c>
      <c r="AG872" s="8">
        <f t="shared" si="130"/>
        <v>3.0423458302925688E-2</v>
      </c>
      <c r="AH872" s="7">
        <f t="shared" si="131"/>
        <v>-0.19576682581673596</v>
      </c>
      <c r="AI872">
        <f t="shared" si="132"/>
        <v>4</v>
      </c>
      <c r="AJ872" s="10">
        <f t="shared" si="133"/>
        <v>0.48677533284681102</v>
      </c>
    </row>
    <row r="873" spans="1:36" hidden="1" x14ac:dyDescent="0.25">
      <c r="A873" t="b">
        <v>0</v>
      </c>
      <c r="B873">
        <v>1000</v>
      </c>
      <c r="C873">
        <v>0.48677533284681102</v>
      </c>
      <c r="D873" t="s">
        <v>52</v>
      </c>
      <c r="E873" t="b">
        <v>1</v>
      </c>
      <c r="F873" t="s">
        <v>53</v>
      </c>
      <c r="G873">
        <v>7.4999999999999997E-2</v>
      </c>
      <c r="H873">
        <v>0.5</v>
      </c>
      <c r="I873">
        <v>1E-4</v>
      </c>
      <c r="J873" t="b">
        <v>1</v>
      </c>
      <c r="K873">
        <v>4</v>
      </c>
      <c r="L873">
        <v>1500</v>
      </c>
      <c r="M873">
        <v>0.5</v>
      </c>
      <c r="N873">
        <v>0.154</v>
      </c>
      <c r="O873" t="s">
        <v>390</v>
      </c>
      <c r="P873" t="s">
        <v>392</v>
      </c>
      <c r="Q873" s="1">
        <v>-1E-10</v>
      </c>
      <c r="R873" s="1">
        <v>3.5857859017783501E-12</v>
      </c>
      <c r="S873" s="1">
        <v>-2.3420560392211898E-19</v>
      </c>
      <c r="T873" s="1">
        <v>5.0126800781560996E-16</v>
      </c>
      <c r="U873">
        <v>4.0335404850367498</v>
      </c>
      <c r="V873">
        <v>0</v>
      </c>
      <c r="W873">
        <v>6.8474547682402895E-2</v>
      </c>
      <c r="X873">
        <v>2</v>
      </c>
      <c r="Y873">
        <v>4.0005663802794899E-3</v>
      </c>
      <c r="Z873">
        <v>2.5000000000000001E-4</v>
      </c>
      <c r="AA873">
        <v>4.7933529408957197E-3</v>
      </c>
      <c r="AB873" s="9">
        <f t="shared" si="125"/>
        <v>-133.76815056438028</v>
      </c>
      <c r="AC873" s="9">
        <f t="shared" si="126"/>
        <v>-0.42190893220323528</v>
      </c>
      <c r="AD873" s="2">
        <f t="shared" si="127"/>
        <v>-0.99684596871210995</v>
      </c>
      <c r="AE873" s="8">
        <f t="shared" si="128"/>
        <v>-1.022999993894927</v>
      </c>
      <c r="AF873" s="2">
        <f t="shared" si="129"/>
        <v>-1.0534234521978527</v>
      </c>
      <c r="AG873" s="8">
        <f t="shared" si="130"/>
        <v>3.0423458302925688E-2</v>
      </c>
      <c r="AH873" s="7">
        <f t="shared" si="131"/>
        <v>-34.625368415021697</v>
      </c>
      <c r="AI873">
        <f t="shared" si="132"/>
        <v>4</v>
      </c>
      <c r="AJ873" s="10">
        <f t="shared" si="133"/>
        <v>0.48677533284681102</v>
      </c>
    </row>
    <row r="874" spans="1:36" hidden="1" x14ac:dyDescent="0.25">
      <c r="A874" t="b">
        <v>0</v>
      </c>
      <c r="B874">
        <v>1000</v>
      </c>
      <c r="C874">
        <v>0.48677533284681102</v>
      </c>
      <c r="D874" t="s">
        <v>52</v>
      </c>
      <c r="E874" t="b">
        <v>1</v>
      </c>
      <c r="F874" t="s">
        <v>53</v>
      </c>
      <c r="G874">
        <v>7.4999999999999997E-2</v>
      </c>
      <c r="H874">
        <v>0.5</v>
      </c>
      <c r="I874">
        <v>1E-4</v>
      </c>
      <c r="J874" t="b">
        <v>1</v>
      </c>
      <c r="K874">
        <v>4</v>
      </c>
      <c r="L874">
        <v>1500</v>
      </c>
      <c r="M874">
        <v>0.5</v>
      </c>
      <c r="N874">
        <v>0.154</v>
      </c>
      <c r="O874" t="s">
        <v>390</v>
      </c>
      <c r="P874" t="s">
        <v>393</v>
      </c>
      <c r="Q874">
        <v>-1.36971123565385E-4</v>
      </c>
      <c r="R874">
        <v>4.1750075372490601E-4</v>
      </c>
      <c r="S874">
        <v>4.7867352271637403E-4</v>
      </c>
      <c r="T874">
        <v>-3.1014080012857202E-3</v>
      </c>
      <c r="U874">
        <v>4.0329637241052101</v>
      </c>
      <c r="V874" s="1">
        <v>9.9999999999999795E-15</v>
      </c>
      <c r="W874">
        <v>0.20361639236107101</v>
      </c>
      <c r="X874">
        <v>2.4999999999999898</v>
      </c>
      <c r="Y874">
        <v>9.2862875403627392</v>
      </c>
      <c r="Z874">
        <v>0.49999999997461703</v>
      </c>
      <c r="AA874">
        <v>16.901321425219798</v>
      </c>
      <c r="AB874" s="9">
        <f t="shared" si="125"/>
        <v>-0.40494823900090948</v>
      </c>
      <c r="AC874" s="9">
        <f t="shared" si="126"/>
        <v>-0.42190893220323528</v>
      </c>
      <c r="AD874" s="2">
        <f t="shared" si="127"/>
        <v>4.1883607752366769E-2</v>
      </c>
      <c r="AE874" s="8">
        <f t="shared" si="128"/>
        <v>2.445542623686317E-2</v>
      </c>
      <c r="AF874" s="2">
        <f t="shared" si="129"/>
        <v>-5.9680320660625182E-3</v>
      </c>
      <c r="AG874" s="8">
        <f t="shared" si="130"/>
        <v>3.0423458302925688E-2</v>
      </c>
      <c r="AH874" s="7">
        <f t="shared" si="131"/>
        <v>-0.19616547226942307</v>
      </c>
      <c r="AI874">
        <f t="shared" si="132"/>
        <v>4</v>
      </c>
      <c r="AJ874" s="10">
        <f t="shared" si="133"/>
        <v>0.48677533284681102</v>
      </c>
    </row>
    <row r="875" spans="1:36" hidden="1" x14ac:dyDescent="0.25">
      <c r="A875" t="b">
        <v>0</v>
      </c>
      <c r="B875">
        <v>1000</v>
      </c>
      <c r="C875">
        <v>0.48677533284681102</v>
      </c>
      <c r="D875" t="s">
        <v>52</v>
      </c>
      <c r="E875" t="b">
        <v>1</v>
      </c>
      <c r="F875" t="s">
        <v>53</v>
      </c>
      <c r="G875">
        <v>7.4999999999999997E-2</v>
      </c>
      <c r="H875">
        <v>0.5</v>
      </c>
      <c r="I875">
        <v>1E-4</v>
      </c>
      <c r="J875" t="b">
        <v>1</v>
      </c>
      <c r="K875">
        <v>4</v>
      </c>
      <c r="L875">
        <v>1500</v>
      </c>
      <c r="M875">
        <v>0.5</v>
      </c>
      <c r="N875">
        <v>0.154</v>
      </c>
      <c r="O875" t="s">
        <v>391</v>
      </c>
      <c r="P875" t="s">
        <v>392</v>
      </c>
      <c r="Q875" s="1">
        <v>-1.95846142497686E-5</v>
      </c>
      <c r="R875" s="1">
        <v>5.6180221493843802E-5</v>
      </c>
      <c r="S875" s="1">
        <v>6.8449146336752105E-5</v>
      </c>
      <c r="T875">
        <v>-4.4380637589732698E-4</v>
      </c>
      <c r="U875">
        <v>4.0336230051389297</v>
      </c>
      <c r="V875" s="1">
        <v>9.9999999999999905E-15</v>
      </c>
      <c r="W875">
        <v>0.19198467125054999</v>
      </c>
      <c r="X875">
        <v>2.4999999999999898</v>
      </c>
      <c r="Y875">
        <v>8.7699210993626107</v>
      </c>
      <c r="Z875">
        <v>0.49999999999544098</v>
      </c>
      <c r="AA875">
        <v>15.897921762481401</v>
      </c>
      <c r="AB875" s="9">
        <f t="shared" si="125"/>
        <v>-0.40523366583886444</v>
      </c>
      <c r="AC875" s="9">
        <f t="shared" si="126"/>
        <v>-0.42190893220323528</v>
      </c>
      <c r="AD875" s="2">
        <f t="shared" si="127"/>
        <v>4.1149755733773441E-2</v>
      </c>
      <c r="AE875" s="8">
        <f t="shared" si="128"/>
        <v>2.4555288641200917E-2</v>
      </c>
      <c r="AF875" s="2">
        <f t="shared" si="129"/>
        <v>-5.8681696617247717E-3</v>
      </c>
      <c r="AG875" s="8">
        <f t="shared" si="130"/>
        <v>3.0423458302925688E-2</v>
      </c>
      <c r="AH875" s="7">
        <f t="shared" si="131"/>
        <v>-0.19288305764898714</v>
      </c>
      <c r="AI875">
        <f t="shared" si="132"/>
        <v>4</v>
      </c>
      <c r="AJ875" s="10">
        <f t="shared" si="133"/>
        <v>0.48677533284681102</v>
      </c>
    </row>
    <row r="876" spans="1:36" hidden="1" x14ac:dyDescent="0.25">
      <c r="A876" t="b">
        <v>0</v>
      </c>
      <c r="B876">
        <v>1000</v>
      </c>
      <c r="C876">
        <v>0.48677533284681102</v>
      </c>
      <c r="D876" t="s">
        <v>52</v>
      </c>
      <c r="E876" t="b">
        <v>1</v>
      </c>
      <c r="F876" t="s">
        <v>53</v>
      </c>
      <c r="G876">
        <v>7.4999999999999997E-2</v>
      </c>
      <c r="H876">
        <v>0.5</v>
      </c>
      <c r="I876">
        <v>1E-4</v>
      </c>
      <c r="J876" t="b">
        <v>1</v>
      </c>
      <c r="K876">
        <v>4</v>
      </c>
      <c r="L876">
        <v>1500</v>
      </c>
      <c r="M876">
        <v>0.5</v>
      </c>
      <c r="N876">
        <v>0.154</v>
      </c>
      <c r="O876" t="s">
        <v>391</v>
      </c>
      <c r="P876" t="s">
        <v>393</v>
      </c>
      <c r="Q876">
        <v>-1.5655573780972901E-4</v>
      </c>
      <c r="R876">
        <v>4.4803112011075798E-4</v>
      </c>
      <c r="S876">
        <v>5.4712266905312295E-4</v>
      </c>
      <c r="T876">
        <v>-3.5452143771829798E-3</v>
      </c>
      <c r="U876">
        <v>4.0330462442073802</v>
      </c>
      <c r="V876" s="1">
        <v>9.9999999999999795E-15</v>
      </c>
      <c r="W876">
        <v>0.19425241774100899</v>
      </c>
      <c r="X876">
        <v>2.4999999999999898</v>
      </c>
      <c r="Y876">
        <v>8.7093677196254102</v>
      </c>
      <c r="Z876">
        <v>0.499999999974162</v>
      </c>
      <c r="AA876">
        <v>15.877034879249299</v>
      </c>
      <c r="AB876" s="9">
        <f t="shared" si="125"/>
        <v>-0.40498394803747806</v>
      </c>
      <c r="AC876" s="9">
        <f t="shared" si="126"/>
        <v>-0.42190893220323528</v>
      </c>
      <c r="AD876" s="2">
        <f t="shared" si="127"/>
        <v>4.1791740753613693E-2</v>
      </c>
      <c r="AE876" s="8">
        <f t="shared" si="128"/>
        <v>2.4467918706669561E-2</v>
      </c>
      <c r="AF876" s="2">
        <f t="shared" si="129"/>
        <v>-5.9555395962561271E-3</v>
      </c>
      <c r="AG876" s="8">
        <f t="shared" si="130"/>
        <v>3.0423458302925688E-2</v>
      </c>
      <c r="AH876" s="7">
        <f t="shared" si="131"/>
        <v>-0.19575485261921749</v>
      </c>
      <c r="AI876">
        <f t="shared" si="132"/>
        <v>4</v>
      </c>
      <c r="AJ876" s="10">
        <f t="shared" si="133"/>
        <v>0.48677533284681102</v>
      </c>
    </row>
    <row r="877" spans="1:36" hidden="1" x14ac:dyDescent="0.25">
      <c r="A877" t="b">
        <v>0</v>
      </c>
      <c r="B877">
        <v>1000</v>
      </c>
      <c r="C877">
        <v>0.48677533284681102</v>
      </c>
      <c r="D877" t="s">
        <v>52</v>
      </c>
      <c r="E877" t="b">
        <v>1</v>
      </c>
      <c r="F877" t="s">
        <v>53</v>
      </c>
      <c r="G877">
        <v>7.4999999999999997E-2</v>
      </c>
      <c r="H877">
        <v>0.5</v>
      </c>
      <c r="I877">
        <v>1E-4</v>
      </c>
      <c r="J877" t="b">
        <v>1</v>
      </c>
      <c r="K877">
        <v>4</v>
      </c>
      <c r="L877">
        <v>1500</v>
      </c>
      <c r="M877">
        <v>0.5</v>
      </c>
      <c r="N877">
        <v>0.154</v>
      </c>
      <c r="O877" t="s">
        <v>392</v>
      </c>
      <c r="P877" t="s">
        <v>393</v>
      </c>
      <c r="Q877">
        <v>-1.36971123565385E-4</v>
      </c>
      <c r="R877">
        <v>4.22206549630004E-4</v>
      </c>
      <c r="S877">
        <v>4.7867352271637202E-4</v>
      </c>
      <c r="T877">
        <v>-3.1014080012856E-3</v>
      </c>
      <c r="U877">
        <v>4.0329637240620304</v>
      </c>
      <c r="V877" s="1">
        <v>9.9999999999999795E-15</v>
      </c>
      <c r="W877">
        <v>0.205910498971349</v>
      </c>
      <c r="X877">
        <v>2.4999999999999898</v>
      </c>
      <c r="Y877">
        <v>9.3847305409957098</v>
      </c>
      <c r="Z877">
        <v>0.49999999997461603</v>
      </c>
      <c r="AA877">
        <v>17.093442035706499</v>
      </c>
      <c r="AB877" s="9">
        <f t="shared" si="125"/>
        <v>-0.40494823900089549</v>
      </c>
      <c r="AC877" s="9">
        <f t="shared" si="126"/>
        <v>-0.42190893220323528</v>
      </c>
      <c r="AD877" s="2">
        <f t="shared" si="127"/>
        <v>4.1883607752402741E-2</v>
      </c>
      <c r="AE877" s="8">
        <f t="shared" si="128"/>
        <v>2.4455426236858251E-2</v>
      </c>
      <c r="AF877" s="2">
        <f t="shared" si="129"/>
        <v>-5.9680320660674378E-3</v>
      </c>
      <c r="AG877" s="8">
        <f t="shared" si="130"/>
        <v>3.0423458302925688E-2</v>
      </c>
      <c r="AH877" s="7">
        <f t="shared" si="131"/>
        <v>-0.19616547226958478</v>
      </c>
      <c r="AI877">
        <f t="shared" si="132"/>
        <v>4</v>
      </c>
      <c r="AJ877" s="10">
        <f t="shared" si="133"/>
        <v>0.48677533284681102</v>
      </c>
    </row>
    <row r="878" spans="1:36" hidden="1" x14ac:dyDescent="0.25">
      <c r="A878" t="b">
        <v>0</v>
      </c>
      <c r="B878">
        <v>1000</v>
      </c>
      <c r="C878">
        <v>0.48677533284681102</v>
      </c>
      <c r="D878" t="s">
        <v>52</v>
      </c>
      <c r="E878" t="b">
        <v>1</v>
      </c>
      <c r="F878" t="s">
        <v>53</v>
      </c>
      <c r="G878">
        <v>7.4999999999999997E-2</v>
      </c>
      <c r="H878">
        <v>0.5</v>
      </c>
      <c r="I878">
        <v>1E-4</v>
      </c>
      <c r="J878" t="b">
        <v>1</v>
      </c>
      <c r="K878">
        <v>6</v>
      </c>
      <c r="L878">
        <v>1500</v>
      </c>
      <c r="M878">
        <v>0.5</v>
      </c>
      <c r="N878">
        <v>0.154</v>
      </c>
      <c r="O878" t="s">
        <v>394</v>
      </c>
      <c r="P878" t="s">
        <v>395</v>
      </c>
      <c r="Q878" s="1">
        <v>-3.7311584816118501E-5</v>
      </c>
      <c r="R878">
        <v>3.7824275669634701E-4</v>
      </c>
      <c r="S878">
        <v>1.51145708776748E-4</v>
      </c>
      <c r="T878">
        <v>-1.94492561726796E-3</v>
      </c>
      <c r="U878">
        <v>6.0019554494039298</v>
      </c>
      <c r="V878" s="1">
        <v>9.9999999999995803E-15</v>
      </c>
      <c r="W878">
        <v>0.68703201518924795</v>
      </c>
      <c r="X878">
        <v>2.4999999999999898</v>
      </c>
      <c r="Y878">
        <v>30.651052715877</v>
      </c>
      <c r="Z878">
        <v>0.49999999999475803</v>
      </c>
      <c r="AA878">
        <v>56.294630334471698</v>
      </c>
      <c r="AB878" s="9">
        <f t="shared" si="125"/>
        <v>-0.35744125339725086</v>
      </c>
      <c r="AC878" s="9">
        <f t="shared" si="126"/>
        <v>-0.37335676607625895</v>
      </c>
      <c r="AD878" s="2">
        <f t="shared" si="127"/>
        <v>4.4526233409661886E-2</v>
      </c>
      <c r="AE878" s="8">
        <f t="shared" si="128"/>
        <v>8.1010733643389794E-3</v>
      </c>
      <c r="AF878" s="2">
        <f t="shared" si="129"/>
        <v>-5.4204636591835484E-3</v>
      </c>
      <c r="AG878" s="8">
        <f t="shared" si="130"/>
        <v>1.3521537023522528E-2</v>
      </c>
      <c r="AH878" s="7">
        <f t="shared" si="131"/>
        <v>-0.40087629459239171</v>
      </c>
      <c r="AI878">
        <f t="shared" si="132"/>
        <v>6</v>
      </c>
      <c r="AJ878" s="10">
        <f t="shared" si="133"/>
        <v>0.48677533284681102</v>
      </c>
    </row>
    <row r="879" spans="1:36" hidden="1" x14ac:dyDescent="0.25">
      <c r="A879" t="b">
        <v>0</v>
      </c>
      <c r="B879">
        <v>1000</v>
      </c>
      <c r="C879">
        <v>0.48677533284681102</v>
      </c>
      <c r="D879" t="s">
        <v>52</v>
      </c>
      <c r="E879" t="b">
        <v>1</v>
      </c>
      <c r="F879" t="s">
        <v>53</v>
      </c>
      <c r="G879">
        <v>7.4999999999999997E-2</v>
      </c>
      <c r="H879">
        <v>0.5</v>
      </c>
      <c r="I879">
        <v>1E-4</v>
      </c>
      <c r="J879" t="b">
        <v>1</v>
      </c>
      <c r="K879">
        <v>6</v>
      </c>
      <c r="L879">
        <v>1500</v>
      </c>
      <c r="M879">
        <v>0.5</v>
      </c>
      <c r="N879">
        <v>0.154</v>
      </c>
      <c r="O879" t="s">
        <v>394</v>
      </c>
      <c r="P879" t="s">
        <v>396</v>
      </c>
      <c r="Q879">
        <v>-2.9817133717728502E-4</v>
      </c>
      <c r="R879">
        <v>2.9257859946408499E-3</v>
      </c>
      <c r="S879">
        <v>1.2074524837409799E-3</v>
      </c>
      <c r="T879">
        <v>-1.5520843070996901E-2</v>
      </c>
      <c r="U879">
        <v>6.0002584641218304</v>
      </c>
      <c r="V879" s="1">
        <v>9.99999999999867E-15</v>
      </c>
      <c r="W879">
        <v>0.66447643321257999</v>
      </c>
      <c r="X879">
        <v>2.49999999999998</v>
      </c>
      <c r="Y879">
        <v>29.725097356535599</v>
      </c>
      <c r="Z879">
        <v>0.49999999998911199</v>
      </c>
      <c r="AA879">
        <v>54.473666596014802</v>
      </c>
      <c r="AB879" s="9">
        <f t="shared" si="125"/>
        <v>-0.35706128030326695</v>
      </c>
      <c r="AC879" s="9">
        <f t="shared" si="126"/>
        <v>-0.37335676607625895</v>
      </c>
      <c r="AD879" s="2">
        <f t="shared" si="127"/>
        <v>4.5637784525814684E-2</v>
      </c>
      <c r="AE879" s="8">
        <f t="shared" si="128"/>
        <v>7.9723716606406383E-3</v>
      </c>
      <c r="AF879" s="2">
        <f t="shared" si="129"/>
        <v>-5.5491653628818895E-3</v>
      </c>
      <c r="AG879" s="8">
        <f t="shared" si="130"/>
        <v>1.3521537023522528E-2</v>
      </c>
      <c r="AH879" s="7">
        <f t="shared" si="131"/>
        <v>-0.41039456928811952</v>
      </c>
      <c r="AI879">
        <f t="shared" si="132"/>
        <v>6</v>
      </c>
      <c r="AJ879" s="10">
        <f t="shared" si="133"/>
        <v>0.48677533284681102</v>
      </c>
    </row>
    <row r="880" spans="1:36" hidden="1" x14ac:dyDescent="0.25">
      <c r="A880" t="b">
        <v>0</v>
      </c>
      <c r="B880">
        <v>1000</v>
      </c>
      <c r="C880">
        <v>0.48677533284681102</v>
      </c>
      <c r="D880" t="s">
        <v>52</v>
      </c>
      <c r="E880" t="b">
        <v>1</v>
      </c>
      <c r="F880" t="s">
        <v>53</v>
      </c>
      <c r="G880">
        <v>7.4999999999999997E-2</v>
      </c>
      <c r="H880">
        <v>0.5</v>
      </c>
      <c r="I880">
        <v>1E-4</v>
      </c>
      <c r="J880" t="b">
        <v>1</v>
      </c>
      <c r="K880">
        <v>6</v>
      </c>
      <c r="L880">
        <v>1500</v>
      </c>
      <c r="M880">
        <v>0.5</v>
      </c>
      <c r="N880">
        <v>0.154</v>
      </c>
      <c r="O880" t="s">
        <v>394</v>
      </c>
      <c r="P880" t="s">
        <v>397</v>
      </c>
      <c r="Q880" s="1">
        <v>-3.73115848161164E-5</v>
      </c>
      <c r="R880">
        <v>3.7722428074135302E-4</v>
      </c>
      <c r="S880">
        <v>1.51145708776736E-4</v>
      </c>
      <c r="T880">
        <v>-1.9449256172676399E-3</v>
      </c>
      <c r="U880">
        <v>6.0019554494022396</v>
      </c>
      <c r="V880" s="1">
        <v>9.9999999999995803E-15</v>
      </c>
      <c r="W880">
        <v>0.686047405576933</v>
      </c>
      <c r="X880">
        <v>2.4999999999999898</v>
      </c>
      <c r="Y880">
        <v>30.5602627975763</v>
      </c>
      <c r="Z880">
        <v>0.49999999999475803</v>
      </c>
      <c r="AA880">
        <v>56.146724017399301</v>
      </c>
      <c r="AB880" s="9">
        <f t="shared" si="125"/>
        <v>-0.35744125339722044</v>
      </c>
      <c r="AC880" s="9">
        <f t="shared" si="126"/>
        <v>-0.37335676607625895</v>
      </c>
      <c r="AD880" s="2">
        <f t="shared" si="127"/>
        <v>4.4526233409750704E-2</v>
      </c>
      <c r="AE880" s="8">
        <f t="shared" si="128"/>
        <v>8.1010733643286752E-3</v>
      </c>
      <c r="AF880" s="2">
        <f t="shared" si="129"/>
        <v>-5.4204636591938526E-3</v>
      </c>
      <c r="AG880" s="8">
        <f t="shared" si="130"/>
        <v>1.3521537023522528E-2</v>
      </c>
      <c r="AH880" s="7">
        <f t="shared" si="131"/>
        <v>-0.40087629459315377</v>
      </c>
      <c r="AI880">
        <f t="shared" si="132"/>
        <v>6</v>
      </c>
      <c r="AJ880" s="10">
        <f t="shared" si="133"/>
        <v>0.48677533284681102</v>
      </c>
    </row>
    <row r="881" spans="1:36" hidden="1" x14ac:dyDescent="0.25">
      <c r="A881" t="b">
        <v>0</v>
      </c>
      <c r="B881">
        <v>1000</v>
      </c>
      <c r="C881">
        <v>0.48677533284681102</v>
      </c>
      <c r="D881" t="s">
        <v>52</v>
      </c>
      <c r="E881" t="b">
        <v>1</v>
      </c>
      <c r="F881" t="s">
        <v>53</v>
      </c>
      <c r="G881">
        <v>7.4999999999999997E-2</v>
      </c>
      <c r="H881">
        <v>0.5</v>
      </c>
      <c r="I881">
        <v>1E-4</v>
      </c>
      <c r="J881" t="b">
        <v>1</v>
      </c>
      <c r="K881">
        <v>6</v>
      </c>
      <c r="L881">
        <v>1500</v>
      </c>
      <c r="M881">
        <v>0.5</v>
      </c>
      <c r="N881">
        <v>0.154</v>
      </c>
      <c r="O881" t="s">
        <v>394</v>
      </c>
      <c r="P881" t="s">
        <v>398</v>
      </c>
      <c r="Q881" s="1">
        <v>-7.4623364292110401E-5</v>
      </c>
      <c r="R881">
        <v>7.3221439256595296E-4</v>
      </c>
      <c r="S881">
        <v>3.0228989453250999E-4</v>
      </c>
      <c r="T881">
        <v>-3.8897388478948899E-3</v>
      </c>
      <c r="U881">
        <v>6.00171240728515</v>
      </c>
      <c r="V881" s="1">
        <v>9.9999999999994604E-15</v>
      </c>
      <c r="W881">
        <v>0.66472740012923204</v>
      </c>
      <c r="X881">
        <v>2.4999999999999898</v>
      </c>
      <c r="Y881">
        <v>29.730320465475899</v>
      </c>
      <c r="Z881">
        <v>0.49999999999398798</v>
      </c>
      <c r="AA881">
        <v>54.469404640275002</v>
      </c>
      <c r="AB881" s="9">
        <f t="shared" si="125"/>
        <v>-0.35743272694414691</v>
      </c>
      <c r="AC881" s="9">
        <f t="shared" si="126"/>
        <v>-0.37335676607625895</v>
      </c>
      <c r="AD881" s="2">
        <f t="shared" si="127"/>
        <v>4.455115027729506E-2</v>
      </c>
      <c r="AE881" s="8">
        <f t="shared" si="128"/>
        <v>8.0981849861090048E-3</v>
      </c>
      <c r="AF881" s="2">
        <f t="shared" si="129"/>
        <v>-5.423352037413523E-3</v>
      </c>
      <c r="AG881" s="8">
        <f t="shared" si="130"/>
        <v>1.3521537023522528E-2</v>
      </c>
      <c r="AH881" s="7">
        <f t="shared" si="131"/>
        <v>-0.40108990775078857</v>
      </c>
      <c r="AI881">
        <f t="shared" si="132"/>
        <v>6</v>
      </c>
      <c r="AJ881" s="10">
        <f t="shared" si="133"/>
        <v>0.48677533284681102</v>
      </c>
    </row>
    <row r="882" spans="1:36" hidden="1" x14ac:dyDescent="0.25">
      <c r="A882" t="b">
        <v>0</v>
      </c>
      <c r="B882">
        <v>1000</v>
      </c>
      <c r="C882">
        <v>0.48677533284681102</v>
      </c>
      <c r="D882" t="s">
        <v>52</v>
      </c>
      <c r="E882" t="b">
        <v>1</v>
      </c>
      <c r="F882" t="s">
        <v>53</v>
      </c>
      <c r="G882">
        <v>7.4999999999999997E-2</v>
      </c>
      <c r="H882">
        <v>0.5</v>
      </c>
      <c r="I882">
        <v>1E-4</v>
      </c>
      <c r="J882" t="b">
        <v>1</v>
      </c>
      <c r="K882">
        <v>6</v>
      </c>
      <c r="L882">
        <v>1500</v>
      </c>
      <c r="M882">
        <v>0.5</v>
      </c>
      <c r="N882">
        <v>0.154</v>
      </c>
      <c r="O882" t="s">
        <v>394</v>
      </c>
      <c r="P882" t="s">
        <v>399</v>
      </c>
      <c r="Q882">
        <v>-3.35484473894485E-4</v>
      </c>
      <c r="R882">
        <v>2.7865184870386199E-3</v>
      </c>
      <c r="S882">
        <v>1.3585860378143701E-3</v>
      </c>
      <c r="T882">
        <v>-1.7464872033740898E-2</v>
      </c>
      <c r="U882">
        <v>6.0000153825151799</v>
      </c>
      <c r="V882" s="1">
        <v>9.9999999999985501E-15</v>
      </c>
      <c r="W882">
        <v>0.54614790959675896</v>
      </c>
      <c r="X882">
        <v>2.49999999999998</v>
      </c>
      <c r="Y882">
        <v>25.701470658132301</v>
      </c>
      <c r="Z882">
        <v>0.49999999998890898</v>
      </c>
      <c r="AA882">
        <v>45.928505415858901</v>
      </c>
      <c r="AB882" s="9">
        <f t="shared" si="125"/>
        <v>-0.35708841454829288</v>
      </c>
      <c r="AC882" s="9">
        <f t="shared" si="126"/>
        <v>-0.37335676607625895</v>
      </c>
      <c r="AD882" s="2">
        <f t="shared" si="127"/>
        <v>4.5558329156506261E-2</v>
      </c>
      <c r="AE882" s="8">
        <f t="shared" si="128"/>
        <v>7.981561283826339E-3</v>
      </c>
      <c r="AF882" s="2">
        <f t="shared" si="129"/>
        <v>-5.5399757396961888E-3</v>
      </c>
      <c r="AG882" s="8">
        <f t="shared" si="130"/>
        <v>1.3521537023522528E-2</v>
      </c>
      <c r="AH882" s="7">
        <f t="shared" si="131"/>
        <v>-0.40971494069488235</v>
      </c>
      <c r="AI882">
        <f t="shared" si="132"/>
        <v>6</v>
      </c>
      <c r="AJ882" s="10">
        <f t="shared" si="133"/>
        <v>0.48677533284681102</v>
      </c>
    </row>
    <row r="883" spans="1:36" hidden="1" x14ac:dyDescent="0.25">
      <c r="A883" t="b">
        <v>0</v>
      </c>
      <c r="B883">
        <v>1000</v>
      </c>
      <c r="C883">
        <v>0.48677533284681102</v>
      </c>
      <c r="D883" t="s">
        <v>52</v>
      </c>
      <c r="E883" t="b">
        <v>1</v>
      </c>
      <c r="F883" t="s">
        <v>53</v>
      </c>
      <c r="G883">
        <v>7.4999999999999997E-2</v>
      </c>
      <c r="H883">
        <v>0.5</v>
      </c>
      <c r="I883">
        <v>1E-4</v>
      </c>
      <c r="J883" t="b">
        <v>1</v>
      </c>
      <c r="K883">
        <v>6</v>
      </c>
      <c r="L883">
        <v>1500</v>
      </c>
      <c r="M883">
        <v>0.5</v>
      </c>
      <c r="N883">
        <v>0.154</v>
      </c>
      <c r="O883" t="s">
        <v>394</v>
      </c>
      <c r="P883" t="s">
        <v>400</v>
      </c>
      <c r="Q883">
        <v>-2.98171337177286E-4</v>
      </c>
      <c r="R883">
        <v>3.0101352794354502E-3</v>
      </c>
      <c r="S883">
        <v>1.2074524837409799E-3</v>
      </c>
      <c r="T883">
        <v>-1.55208430709968E-2</v>
      </c>
      <c r="U883">
        <v>6.0002584641242303</v>
      </c>
      <c r="V883" s="1">
        <v>9.99999999999867E-15</v>
      </c>
      <c r="W883">
        <v>0.67995955894011195</v>
      </c>
      <c r="X883">
        <v>2.49999999999998</v>
      </c>
      <c r="Y883">
        <v>30.587719427470201</v>
      </c>
      <c r="Z883">
        <v>0.49999999998911199</v>
      </c>
      <c r="AA883">
        <v>56.033999009093499</v>
      </c>
      <c r="AB883" s="9">
        <f t="shared" si="125"/>
        <v>-0.35706128030326467</v>
      </c>
      <c r="AC883" s="9">
        <f t="shared" si="126"/>
        <v>-0.37335676607625895</v>
      </c>
      <c r="AD883" s="2">
        <f t="shared" si="127"/>
        <v>4.5637784525821345E-2</v>
      </c>
      <c r="AE883" s="8">
        <f t="shared" si="128"/>
        <v>7.9723716606398629E-3</v>
      </c>
      <c r="AF883" s="2">
        <f t="shared" si="129"/>
        <v>-5.5491653628826649E-3</v>
      </c>
      <c r="AG883" s="8">
        <f t="shared" si="130"/>
        <v>1.3521537023522528E-2</v>
      </c>
      <c r="AH883" s="7">
        <f t="shared" si="131"/>
        <v>-0.41039456928817686</v>
      </c>
      <c r="AI883">
        <f t="shared" si="132"/>
        <v>6</v>
      </c>
      <c r="AJ883" s="10">
        <f t="shared" si="133"/>
        <v>0.48677533284681102</v>
      </c>
    </row>
    <row r="884" spans="1:36" hidden="1" x14ac:dyDescent="0.25">
      <c r="A884" t="b">
        <v>0</v>
      </c>
      <c r="B884">
        <v>1000</v>
      </c>
      <c r="C884">
        <v>0.48677533284681102</v>
      </c>
      <c r="D884" t="s">
        <v>52</v>
      </c>
      <c r="E884" t="b">
        <v>1</v>
      </c>
      <c r="F884" t="s">
        <v>53</v>
      </c>
      <c r="G884">
        <v>7.4999999999999997E-2</v>
      </c>
      <c r="H884">
        <v>0.5</v>
      </c>
      <c r="I884">
        <v>1E-4</v>
      </c>
      <c r="J884" t="b">
        <v>1</v>
      </c>
      <c r="K884">
        <v>6</v>
      </c>
      <c r="L884">
        <v>1500</v>
      </c>
      <c r="M884">
        <v>0.5</v>
      </c>
      <c r="N884">
        <v>0.154</v>
      </c>
      <c r="O884" t="s">
        <v>394</v>
      </c>
      <c r="P884" t="s">
        <v>401</v>
      </c>
      <c r="Q884">
        <v>-3.3548447389449303E-4</v>
      </c>
      <c r="R884">
        <v>2.7682558533575399E-3</v>
      </c>
      <c r="S884">
        <v>1.3585860378143601E-3</v>
      </c>
      <c r="T884">
        <v>-1.74648720337412E-2</v>
      </c>
      <c r="U884">
        <v>6.0000153825008802</v>
      </c>
      <c r="V884" s="1">
        <v>9.9999999999985501E-15</v>
      </c>
      <c r="W884">
        <v>0.54982753450046495</v>
      </c>
      <c r="X884">
        <v>2.49999999999998</v>
      </c>
      <c r="Y884">
        <v>25.445513740519999</v>
      </c>
      <c r="Z884">
        <v>0.49999999998890898</v>
      </c>
      <c r="AA884">
        <v>45.667219285903101</v>
      </c>
      <c r="AB884" s="9">
        <f t="shared" si="125"/>
        <v>-0.3570884145483017</v>
      </c>
      <c r="AC884" s="9">
        <f t="shared" si="126"/>
        <v>-0.37335676607625895</v>
      </c>
      <c r="AD884" s="2">
        <f t="shared" si="127"/>
        <v>4.5558329156480282E-2</v>
      </c>
      <c r="AE884" s="8">
        <f t="shared" si="128"/>
        <v>7.981561283829321E-3</v>
      </c>
      <c r="AF884" s="2">
        <f t="shared" si="129"/>
        <v>-5.5399757396932068E-3</v>
      </c>
      <c r="AG884" s="8">
        <f t="shared" si="130"/>
        <v>1.3521537023522528E-2</v>
      </c>
      <c r="AH884" s="7">
        <f t="shared" si="131"/>
        <v>-0.40971494069466186</v>
      </c>
      <c r="AI884">
        <f t="shared" si="132"/>
        <v>6</v>
      </c>
      <c r="AJ884" s="10">
        <f t="shared" si="133"/>
        <v>0.48677533284681102</v>
      </c>
    </row>
    <row r="885" spans="1:36" hidden="1" x14ac:dyDescent="0.25">
      <c r="A885" t="b">
        <v>0</v>
      </c>
      <c r="B885">
        <v>1000</v>
      </c>
      <c r="C885">
        <v>0.48677533284681102</v>
      </c>
      <c r="D885" t="s">
        <v>52</v>
      </c>
      <c r="E885" t="b">
        <v>1</v>
      </c>
      <c r="F885" t="s">
        <v>53</v>
      </c>
      <c r="G885">
        <v>7.4999999999999997E-2</v>
      </c>
      <c r="H885">
        <v>0.5</v>
      </c>
      <c r="I885">
        <v>1E-4</v>
      </c>
      <c r="J885" t="b">
        <v>1</v>
      </c>
      <c r="K885">
        <v>6</v>
      </c>
      <c r="L885">
        <v>1500</v>
      </c>
      <c r="M885">
        <v>0.5</v>
      </c>
      <c r="N885">
        <v>0.154</v>
      </c>
      <c r="O885" t="s">
        <v>394</v>
      </c>
      <c r="P885" t="s">
        <v>402</v>
      </c>
      <c r="Q885">
        <v>-5.9635504732654602E-4</v>
      </c>
      <c r="R885">
        <v>5.9390737948608902E-3</v>
      </c>
      <c r="S885">
        <v>2.4148079649906301E-3</v>
      </c>
      <c r="T885">
        <v>-3.1034532361409298E-2</v>
      </c>
      <c r="U885">
        <v>5.9983180816332098</v>
      </c>
      <c r="V885" s="1">
        <v>9.9999999999999905E-15</v>
      </c>
      <c r="W885">
        <v>0.677800343045042</v>
      </c>
      <c r="X885">
        <v>2.4999999999999898</v>
      </c>
      <c r="Y885">
        <v>30.0949843366311</v>
      </c>
      <c r="Z885">
        <v>0.499999999999999</v>
      </c>
      <c r="AA885">
        <v>55.314178489730303</v>
      </c>
      <c r="AB885" s="9">
        <f t="shared" si="125"/>
        <v>-0.3569933327496812</v>
      </c>
      <c r="AC885" s="9">
        <f t="shared" si="126"/>
        <v>-0.37335676607625895</v>
      </c>
      <c r="AD885" s="2">
        <f t="shared" si="127"/>
        <v>4.5836803731154063E-2</v>
      </c>
      <c r="AE885" s="8">
        <f t="shared" si="128"/>
        <v>7.9493604264661254E-3</v>
      </c>
      <c r="AF885" s="2">
        <f t="shared" si="129"/>
        <v>-5.5721765970564024E-3</v>
      </c>
      <c r="AG885" s="8">
        <f t="shared" si="130"/>
        <v>1.3521537023522528E-2</v>
      </c>
      <c r="AH885" s="7">
        <f t="shared" si="131"/>
        <v>-0.41209639017833949</v>
      </c>
      <c r="AI885">
        <f t="shared" si="132"/>
        <v>6</v>
      </c>
      <c r="AJ885" s="10">
        <f t="shared" si="133"/>
        <v>0.48677533284681102</v>
      </c>
    </row>
    <row r="886" spans="1:36" hidden="1" x14ac:dyDescent="0.25">
      <c r="A886" t="b">
        <v>0</v>
      </c>
      <c r="B886">
        <v>1000</v>
      </c>
      <c r="C886">
        <v>0.48677533284681102</v>
      </c>
      <c r="D886" t="s">
        <v>52</v>
      </c>
      <c r="E886" t="b">
        <v>1</v>
      </c>
      <c r="F886" t="s">
        <v>53</v>
      </c>
      <c r="G886">
        <v>7.4999999999999997E-2</v>
      </c>
      <c r="H886">
        <v>0.5</v>
      </c>
      <c r="I886">
        <v>1E-4</v>
      </c>
      <c r="J886" t="b">
        <v>1</v>
      </c>
      <c r="K886">
        <v>6</v>
      </c>
      <c r="L886">
        <v>1500</v>
      </c>
      <c r="M886">
        <v>0.5</v>
      </c>
      <c r="N886">
        <v>0.154</v>
      </c>
      <c r="O886" t="s">
        <v>395</v>
      </c>
      <c r="P886" t="s">
        <v>396</v>
      </c>
      <c r="Q886">
        <v>-2.6085975237253402E-4</v>
      </c>
      <c r="R886">
        <v>2.4428926410701699E-3</v>
      </c>
      <c r="S886">
        <v>1.0563067749642301E-3</v>
      </c>
      <c r="T886">
        <v>-1.35759174537289E-2</v>
      </c>
      <c r="U886">
        <v>6.0000154276065301</v>
      </c>
      <c r="V886" s="1">
        <v>9.9999999999987694E-15</v>
      </c>
      <c r="W886">
        <v>0.63444796732117803</v>
      </c>
      <c r="X886">
        <v>2.4999999999999898</v>
      </c>
      <c r="Y886">
        <v>28.4501991603242</v>
      </c>
      <c r="Z886">
        <v>0.49999999998918498</v>
      </c>
      <c r="AA886">
        <v>51.967407508618301</v>
      </c>
      <c r="AB886" s="9">
        <f t="shared" si="125"/>
        <v>-0.35700691039485777</v>
      </c>
      <c r="AC886" s="9">
        <f t="shared" si="126"/>
        <v>-0.37335676607625895</v>
      </c>
      <c r="AD886" s="2">
        <f t="shared" si="127"/>
        <v>4.579702858781598E-2</v>
      </c>
      <c r="AE886" s="8">
        <f t="shared" si="128"/>
        <v>7.9539585708989155E-3</v>
      </c>
      <c r="AF886" s="2">
        <f t="shared" si="129"/>
        <v>-5.5675784526236123E-3</v>
      </c>
      <c r="AG886" s="8">
        <f t="shared" si="130"/>
        <v>1.3521537023522528E-2</v>
      </c>
      <c r="AH886" s="7">
        <f t="shared" si="131"/>
        <v>-0.41175632939791257</v>
      </c>
      <c r="AI886">
        <f t="shared" si="132"/>
        <v>6</v>
      </c>
      <c r="AJ886" s="10">
        <f t="shared" si="133"/>
        <v>0.48677533284681102</v>
      </c>
    </row>
    <row r="887" spans="1:36" hidden="1" x14ac:dyDescent="0.25">
      <c r="A887" t="b">
        <v>0</v>
      </c>
      <c r="B887">
        <v>1000</v>
      </c>
      <c r="C887">
        <v>0.48677533284681102</v>
      </c>
      <c r="D887" t="s">
        <v>52</v>
      </c>
      <c r="E887" t="b">
        <v>1</v>
      </c>
      <c r="F887" t="s">
        <v>53</v>
      </c>
      <c r="G887">
        <v>7.4999999999999997E-2</v>
      </c>
      <c r="H887">
        <v>0.5</v>
      </c>
      <c r="I887">
        <v>1E-4</v>
      </c>
      <c r="J887" t="b">
        <v>1</v>
      </c>
      <c r="K887">
        <v>6</v>
      </c>
      <c r="L887">
        <v>1500</v>
      </c>
      <c r="M887">
        <v>0.5</v>
      </c>
      <c r="N887">
        <v>0.154</v>
      </c>
      <c r="O887" t="s">
        <v>395</v>
      </c>
      <c r="P887" t="s">
        <v>398</v>
      </c>
      <c r="Q887" s="1">
        <v>-3.7311779479297503E-5</v>
      </c>
      <c r="R887">
        <v>3.7049620111951497E-4</v>
      </c>
      <c r="S887">
        <v>1.51144185755766E-4</v>
      </c>
      <c r="T887">
        <v>-1.94481323062735E-3</v>
      </c>
      <c r="U887">
        <v>6.0014693707698497</v>
      </c>
      <c r="V887" s="1">
        <v>9.9999999999995803E-15</v>
      </c>
      <c r="W887">
        <v>0.66945853238631803</v>
      </c>
      <c r="X887">
        <v>2.4999999999999898</v>
      </c>
      <c r="Y887">
        <v>30.113857999308198</v>
      </c>
      <c r="Z887">
        <v>0.49999999999471401</v>
      </c>
      <c r="AA887">
        <v>55.108192524666897</v>
      </c>
      <c r="AB887" s="9">
        <f t="shared" si="125"/>
        <v>-0.35742420040519296</v>
      </c>
      <c r="AC887" s="9">
        <f t="shared" si="126"/>
        <v>-0.37335676607625895</v>
      </c>
      <c r="AD887" s="2">
        <f t="shared" si="127"/>
        <v>4.4576068584623263E-2</v>
      </c>
      <c r="AE887" s="8">
        <f t="shared" si="128"/>
        <v>8.0952965953484946E-3</v>
      </c>
      <c r="AF887" s="2">
        <f t="shared" si="129"/>
        <v>-5.4262404281740333E-3</v>
      </c>
      <c r="AG887" s="8">
        <f t="shared" si="130"/>
        <v>1.3521537023522528E-2</v>
      </c>
      <c r="AH887" s="7">
        <f t="shared" si="131"/>
        <v>-0.40130352183589485</v>
      </c>
      <c r="AI887">
        <f t="shared" si="132"/>
        <v>6</v>
      </c>
      <c r="AJ887" s="10">
        <f t="shared" si="133"/>
        <v>0.48677533284681102</v>
      </c>
    </row>
    <row r="888" spans="1:36" hidden="1" x14ac:dyDescent="0.25">
      <c r="A888" t="b">
        <v>0</v>
      </c>
      <c r="B888">
        <v>1000</v>
      </c>
      <c r="C888">
        <v>0.48677533284681102</v>
      </c>
      <c r="D888" t="s">
        <v>52</v>
      </c>
      <c r="E888" t="b">
        <v>1</v>
      </c>
      <c r="F888" t="s">
        <v>53</v>
      </c>
      <c r="G888">
        <v>7.4999999999999997E-2</v>
      </c>
      <c r="H888">
        <v>0.5</v>
      </c>
      <c r="I888">
        <v>1E-4</v>
      </c>
      <c r="J888" t="b">
        <v>1</v>
      </c>
      <c r="K888">
        <v>6</v>
      </c>
      <c r="L888">
        <v>1500</v>
      </c>
      <c r="M888">
        <v>0.5</v>
      </c>
      <c r="N888">
        <v>0.154</v>
      </c>
      <c r="O888" t="s">
        <v>395</v>
      </c>
      <c r="P888" t="s">
        <v>399</v>
      </c>
      <c r="Q888">
        <v>-2.98172889090779E-4</v>
      </c>
      <c r="R888">
        <v>2.9071615361227301E-3</v>
      </c>
      <c r="S888">
        <v>1.20744032903761E-3</v>
      </c>
      <c r="T888">
        <v>-1.5519946416472899E-2</v>
      </c>
      <c r="U888">
        <v>5.9997723459998902</v>
      </c>
      <c r="V888" s="1">
        <v>9.9999999999986605E-15</v>
      </c>
      <c r="W888">
        <v>0.65959007903373101</v>
      </c>
      <c r="X888">
        <v>2.49999999999998</v>
      </c>
      <c r="Y888">
        <v>29.556502313150698</v>
      </c>
      <c r="Z888">
        <v>0.49999999998903599</v>
      </c>
      <c r="AA888">
        <v>54.1196806033767</v>
      </c>
      <c r="AB888" s="9">
        <f t="shared" si="125"/>
        <v>-0.35704424666966239</v>
      </c>
      <c r="AC888" s="9">
        <f t="shared" si="126"/>
        <v>-0.37335676607625895</v>
      </c>
      <c r="AD888" s="2">
        <f t="shared" si="127"/>
        <v>4.5687669129952146E-2</v>
      </c>
      <c r="AE888" s="8">
        <f t="shared" si="128"/>
        <v>7.9666029226039565E-3</v>
      </c>
      <c r="AF888" s="2">
        <f t="shared" si="129"/>
        <v>-5.5549341009185713E-3</v>
      </c>
      <c r="AG888" s="8">
        <f t="shared" si="130"/>
        <v>1.3521537023522528E-2</v>
      </c>
      <c r="AH888" s="7">
        <f t="shared" si="131"/>
        <v>-0.41082120259368576</v>
      </c>
      <c r="AI888">
        <f t="shared" si="132"/>
        <v>6</v>
      </c>
      <c r="AJ888" s="10">
        <f t="shared" si="133"/>
        <v>0.48677533284681102</v>
      </c>
    </row>
    <row r="889" spans="1:36" hidden="1" x14ac:dyDescent="0.25">
      <c r="A889" t="b">
        <v>0</v>
      </c>
      <c r="B889">
        <v>1000</v>
      </c>
      <c r="C889">
        <v>0.48677533284681102</v>
      </c>
      <c r="D889" t="s">
        <v>52</v>
      </c>
      <c r="E889" t="b">
        <v>1</v>
      </c>
      <c r="F889" t="s">
        <v>53</v>
      </c>
      <c r="G889">
        <v>7.4999999999999997E-2</v>
      </c>
      <c r="H889">
        <v>0.5</v>
      </c>
      <c r="I889">
        <v>1E-4</v>
      </c>
      <c r="J889" t="b">
        <v>1</v>
      </c>
      <c r="K889">
        <v>6</v>
      </c>
      <c r="L889">
        <v>1500</v>
      </c>
      <c r="M889">
        <v>0.5</v>
      </c>
      <c r="N889">
        <v>0.154</v>
      </c>
      <c r="O889" t="s">
        <v>395</v>
      </c>
      <c r="P889" t="s">
        <v>400</v>
      </c>
      <c r="Q889">
        <v>-2.6085975237253098E-4</v>
      </c>
      <c r="R889">
        <v>2.4608757505015502E-3</v>
      </c>
      <c r="S889">
        <v>1.0563067749642301E-3</v>
      </c>
      <c r="T889">
        <v>-1.3575917453728799E-2</v>
      </c>
      <c r="U889">
        <v>6.0000154276089397</v>
      </c>
      <c r="V889" s="1">
        <v>9.9999999999987694E-15</v>
      </c>
      <c r="W889">
        <v>0.63978588124319402</v>
      </c>
      <c r="X889">
        <v>2.4999999999999898</v>
      </c>
      <c r="Y889">
        <v>28.634612099631401</v>
      </c>
      <c r="Z889">
        <v>0.49999999998918498</v>
      </c>
      <c r="AA889">
        <v>52.358445756524297</v>
      </c>
      <c r="AB889" s="9">
        <f t="shared" si="125"/>
        <v>-0.35700691039485516</v>
      </c>
      <c r="AC889" s="9">
        <f t="shared" si="126"/>
        <v>-0.37335676607625895</v>
      </c>
      <c r="AD889" s="2">
        <f t="shared" si="127"/>
        <v>4.5797028587823752E-2</v>
      </c>
      <c r="AE889" s="8">
        <f t="shared" si="128"/>
        <v>7.9539585708980377E-3</v>
      </c>
      <c r="AF889" s="2">
        <f t="shared" si="129"/>
        <v>-5.5675784526244901E-3</v>
      </c>
      <c r="AG889" s="8">
        <f t="shared" si="130"/>
        <v>1.3521537023522528E-2</v>
      </c>
      <c r="AH889" s="7">
        <f t="shared" si="131"/>
        <v>-0.41175632939797752</v>
      </c>
      <c r="AI889">
        <f t="shared" si="132"/>
        <v>6</v>
      </c>
      <c r="AJ889" s="10">
        <f t="shared" si="133"/>
        <v>0.48677533284681102</v>
      </c>
    </row>
    <row r="890" spans="1:36" hidden="1" x14ac:dyDescent="0.25">
      <c r="A890" t="b">
        <v>0</v>
      </c>
      <c r="B890">
        <v>1000</v>
      </c>
      <c r="C890">
        <v>0.48677533284681102</v>
      </c>
      <c r="D890" t="s">
        <v>52</v>
      </c>
      <c r="E890" t="b">
        <v>1</v>
      </c>
      <c r="F890" t="s">
        <v>53</v>
      </c>
      <c r="G890">
        <v>7.4999999999999997E-2</v>
      </c>
      <c r="H890">
        <v>0.5</v>
      </c>
      <c r="I890">
        <v>1E-4</v>
      </c>
      <c r="J890" t="b">
        <v>1</v>
      </c>
      <c r="K890">
        <v>6</v>
      </c>
      <c r="L890">
        <v>1500</v>
      </c>
      <c r="M890">
        <v>0.5</v>
      </c>
      <c r="N890">
        <v>0.154</v>
      </c>
      <c r="O890" t="s">
        <v>395</v>
      </c>
      <c r="P890" t="s">
        <v>401</v>
      </c>
      <c r="Q890">
        <v>-2.9817288909077602E-4</v>
      </c>
      <c r="R890">
        <v>2.93683460391114E-3</v>
      </c>
      <c r="S890">
        <v>1.20744032903761E-3</v>
      </c>
      <c r="T890">
        <v>-1.5519946416473E-2</v>
      </c>
      <c r="U890">
        <v>5.9997723459855896</v>
      </c>
      <c r="V890" s="1">
        <v>9.99999999999867E-15</v>
      </c>
      <c r="W890">
        <v>0.66743441306865403</v>
      </c>
      <c r="X890">
        <v>2.49999999999998</v>
      </c>
      <c r="Y890">
        <v>29.824078762748101</v>
      </c>
      <c r="Z890">
        <v>0.49999999998903599</v>
      </c>
      <c r="AA890">
        <v>54.683042820691099</v>
      </c>
      <c r="AB890" s="9">
        <f t="shared" si="125"/>
        <v>-0.35704424666966467</v>
      </c>
      <c r="AC890" s="9">
        <f t="shared" si="126"/>
        <v>-0.37335676607625895</v>
      </c>
      <c r="AD890" s="2">
        <f t="shared" si="127"/>
        <v>4.5687669129945485E-2</v>
      </c>
      <c r="AE890" s="8">
        <f t="shared" si="128"/>
        <v>7.9666029226047336E-3</v>
      </c>
      <c r="AF890" s="2">
        <f t="shared" si="129"/>
        <v>-5.5549341009177942E-3</v>
      </c>
      <c r="AG890" s="8">
        <f t="shared" si="130"/>
        <v>1.3521537023522528E-2</v>
      </c>
      <c r="AH890" s="7">
        <f t="shared" si="131"/>
        <v>-0.41082120259362831</v>
      </c>
      <c r="AI890">
        <f t="shared" si="132"/>
        <v>6</v>
      </c>
      <c r="AJ890" s="10">
        <f t="shared" si="133"/>
        <v>0.48677533284681102</v>
      </c>
    </row>
    <row r="891" spans="1:36" hidden="1" x14ac:dyDescent="0.25">
      <c r="A891" t="b">
        <v>0</v>
      </c>
      <c r="B891">
        <v>1000</v>
      </c>
      <c r="C891">
        <v>0.48677533284681102</v>
      </c>
      <c r="D891" t="s">
        <v>52</v>
      </c>
      <c r="E891" t="b">
        <v>1</v>
      </c>
      <c r="F891" t="s">
        <v>53</v>
      </c>
      <c r="G891">
        <v>7.4999999999999997E-2</v>
      </c>
      <c r="H891">
        <v>0.5</v>
      </c>
      <c r="I891">
        <v>1E-4</v>
      </c>
      <c r="J891" t="b">
        <v>1</v>
      </c>
      <c r="K891">
        <v>6</v>
      </c>
      <c r="L891">
        <v>1500</v>
      </c>
      <c r="M891">
        <v>0.5</v>
      </c>
      <c r="N891">
        <v>0.154</v>
      </c>
      <c r="O891" t="s">
        <v>395</v>
      </c>
      <c r="P891" t="s">
        <v>402</v>
      </c>
      <c r="Q891">
        <v>-5.5904346248193497E-4</v>
      </c>
      <c r="R891">
        <v>5.45998782581347E-3</v>
      </c>
      <c r="S891">
        <v>2.26366225621389E-3</v>
      </c>
      <c r="T891">
        <v>-2.9089606744141301E-2</v>
      </c>
      <c r="U891">
        <v>5.9980750451179201</v>
      </c>
      <c r="V891" s="1">
        <v>9.9999999999999905E-15</v>
      </c>
      <c r="W891">
        <v>0.66551029048377197</v>
      </c>
      <c r="X891">
        <v>2.4999999999999898</v>
      </c>
      <c r="Y891">
        <v>29.5363843293235</v>
      </c>
      <c r="Z891">
        <v>0.499999999999999</v>
      </c>
      <c r="AA891">
        <v>54.241981352906997</v>
      </c>
      <c r="AB891" s="9">
        <f t="shared" si="125"/>
        <v>-0.3569634248941384</v>
      </c>
      <c r="AC891" s="9">
        <f t="shared" si="126"/>
        <v>-0.37335676607625895</v>
      </c>
      <c r="AD891" s="2">
        <f t="shared" si="127"/>
        <v>4.5924428215529778E-2</v>
      </c>
      <c r="AE891" s="8">
        <f t="shared" si="128"/>
        <v>7.9392321141953243E-3</v>
      </c>
      <c r="AF891" s="2">
        <f t="shared" si="129"/>
        <v>-5.5823049093272036E-3</v>
      </c>
      <c r="AG891" s="8">
        <f t="shared" si="130"/>
        <v>1.3521537023522528E-2</v>
      </c>
      <c r="AH891" s="7">
        <f t="shared" si="131"/>
        <v>-0.41284544054540806</v>
      </c>
      <c r="AI891">
        <f t="shared" si="132"/>
        <v>6</v>
      </c>
      <c r="AJ891" s="10">
        <f t="shared" si="133"/>
        <v>0.48677533284681102</v>
      </c>
    </row>
    <row r="892" spans="1:36" hidden="1" x14ac:dyDescent="0.25">
      <c r="A892" t="b">
        <v>0</v>
      </c>
      <c r="B892">
        <v>1000</v>
      </c>
      <c r="C892">
        <v>0.48677533284681102</v>
      </c>
      <c r="D892" t="s">
        <v>52</v>
      </c>
      <c r="E892" t="b">
        <v>1</v>
      </c>
      <c r="F892" t="s">
        <v>53</v>
      </c>
      <c r="G892">
        <v>7.4999999999999997E-2</v>
      </c>
      <c r="H892">
        <v>0.5</v>
      </c>
      <c r="I892">
        <v>1E-4</v>
      </c>
      <c r="J892" t="b">
        <v>1</v>
      </c>
      <c r="K892">
        <v>6</v>
      </c>
      <c r="L892">
        <v>1500</v>
      </c>
      <c r="M892">
        <v>0.5</v>
      </c>
      <c r="N892">
        <v>0.154</v>
      </c>
      <c r="O892" t="s">
        <v>396</v>
      </c>
      <c r="P892" t="s">
        <v>399</v>
      </c>
      <c r="Q892" s="1">
        <v>-3.7313136729870102E-5</v>
      </c>
      <c r="R892">
        <v>3.6713069577224599E-4</v>
      </c>
      <c r="S892">
        <v>1.5113355407337699E-4</v>
      </c>
      <c r="T892">
        <v>-1.9440289627437801E-3</v>
      </c>
      <c r="U892">
        <v>5.9980753607177899</v>
      </c>
      <c r="V892" s="1">
        <v>9.9999999999995693E-15</v>
      </c>
      <c r="W892">
        <v>0.66782848840277798</v>
      </c>
      <c r="X892">
        <v>2.4999999999999898</v>
      </c>
      <c r="Y892">
        <v>29.777904100446001</v>
      </c>
      <c r="Z892">
        <v>0.49999999999439898</v>
      </c>
      <c r="AA892">
        <v>54.633678357549897</v>
      </c>
      <c r="AB892" s="9">
        <f t="shared" si="125"/>
        <v>-0.35730519838395769</v>
      </c>
      <c r="AC892" s="9">
        <f t="shared" si="126"/>
        <v>-0.37335676607625895</v>
      </c>
      <c r="AD892" s="2">
        <f t="shared" si="127"/>
        <v>4.4923969102325767E-2</v>
      </c>
      <c r="AE892" s="8">
        <f t="shared" si="128"/>
        <v>8.0549860295699577E-3</v>
      </c>
      <c r="AF892" s="2">
        <f t="shared" si="129"/>
        <v>-5.4665509939525701E-3</v>
      </c>
      <c r="AG892" s="8">
        <f t="shared" si="130"/>
        <v>1.3521537023522528E-2</v>
      </c>
      <c r="AH892" s="7">
        <f t="shared" si="131"/>
        <v>-0.40428473363958339</v>
      </c>
      <c r="AI892">
        <f t="shared" si="132"/>
        <v>6</v>
      </c>
      <c r="AJ892" s="10">
        <f t="shared" si="133"/>
        <v>0.48677533284681102</v>
      </c>
    </row>
    <row r="893" spans="1:36" hidden="1" x14ac:dyDescent="0.25">
      <c r="A893" t="b">
        <v>0</v>
      </c>
      <c r="B893">
        <v>1000</v>
      </c>
      <c r="C893">
        <v>0.48677533284681102</v>
      </c>
      <c r="D893" t="s">
        <v>52</v>
      </c>
      <c r="E893" t="b">
        <v>1</v>
      </c>
      <c r="F893" t="s">
        <v>53</v>
      </c>
      <c r="G893">
        <v>7.4999999999999997E-2</v>
      </c>
      <c r="H893">
        <v>0.5</v>
      </c>
      <c r="I893">
        <v>1E-4</v>
      </c>
      <c r="J893" t="b">
        <v>1</v>
      </c>
      <c r="K893">
        <v>6</v>
      </c>
      <c r="L893">
        <v>1500</v>
      </c>
      <c r="M893">
        <v>0.5</v>
      </c>
      <c r="N893">
        <v>0.154</v>
      </c>
      <c r="O893" t="s">
        <v>396</v>
      </c>
      <c r="P893" t="s">
        <v>400</v>
      </c>
      <c r="Q893" s="1">
        <v>-1E-10</v>
      </c>
      <c r="R893" s="1">
        <v>3.5857859162837102E-12</v>
      </c>
      <c r="S893" s="1">
        <v>1.8487240429806999E-18</v>
      </c>
      <c r="T893" s="1">
        <v>3.3014795421343998E-16</v>
      </c>
      <c r="U893">
        <v>5.9983184423268403</v>
      </c>
      <c r="V893">
        <v>0</v>
      </c>
      <c r="W893">
        <v>6.8474547959398904E-2</v>
      </c>
      <c r="X893">
        <v>2</v>
      </c>
      <c r="Y893">
        <v>4.0005663964627399E-3</v>
      </c>
      <c r="Z893">
        <v>2.5000000000000001E-4</v>
      </c>
      <c r="AA893">
        <v>4.7933529602859799E-3</v>
      </c>
      <c r="AB893" s="9">
        <f t="shared" si="125"/>
        <v>4.9605978462544549</v>
      </c>
      <c r="AC893" s="9">
        <f t="shared" si="126"/>
        <v>-0.37335676607625895</v>
      </c>
      <c r="AD893" s="2">
        <f t="shared" si="127"/>
        <v>-1.0752644696562463</v>
      </c>
      <c r="AE893" s="8">
        <f t="shared" si="128"/>
        <v>-0.63828974040882969</v>
      </c>
      <c r="AF893" s="2">
        <f t="shared" si="129"/>
        <v>-0.65181127743235223</v>
      </c>
      <c r="AG893" s="8">
        <f t="shared" si="130"/>
        <v>1.3521537023522528E-2</v>
      </c>
      <c r="AH893" s="7">
        <f t="shared" si="131"/>
        <v>-48.20541306054475</v>
      </c>
      <c r="AI893">
        <f t="shared" si="132"/>
        <v>6</v>
      </c>
      <c r="AJ893" s="10">
        <f t="shared" si="133"/>
        <v>0.48677533284681102</v>
      </c>
    </row>
    <row r="894" spans="1:36" hidden="1" x14ac:dyDescent="0.25">
      <c r="A894" t="b">
        <v>0</v>
      </c>
      <c r="B894">
        <v>1000</v>
      </c>
      <c r="C894">
        <v>0.48677533284681102</v>
      </c>
      <c r="D894" t="s">
        <v>52</v>
      </c>
      <c r="E894" t="b">
        <v>1</v>
      </c>
      <c r="F894" t="s">
        <v>53</v>
      </c>
      <c r="G894">
        <v>7.4999999999999997E-2</v>
      </c>
      <c r="H894">
        <v>0.5</v>
      </c>
      <c r="I894">
        <v>1E-4</v>
      </c>
      <c r="J894" t="b">
        <v>1</v>
      </c>
      <c r="K894">
        <v>6</v>
      </c>
      <c r="L894">
        <v>1500</v>
      </c>
      <c r="M894">
        <v>0.5</v>
      </c>
      <c r="N894">
        <v>0.154</v>
      </c>
      <c r="O894" t="s">
        <v>396</v>
      </c>
      <c r="P894" t="s">
        <v>401</v>
      </c>
      <c r="Q894" s="1">
        <v>-3.7313136729868198E-5</v>
      </c>
      <c r="R894">
        <v>3.6702629493702598E-4</v>
      </c>
      <c r="S894">
        <v>1.5113355407337699E-4</v>
      </c>
      <c r="T894">
        <v>-1.94402896274408E-3</v>
      </c>
      <c r="U894">
        <v>5.9980753607034902</v>
      </c>
      <c r="V894" s="1">
        <v>9.9999999999995693E-15</v>
      </c>
      <c r="W894">
        <v>0.66251043763349005</v>
      </c>
      <c r="X894">
        <v>2.4999999999999898</v>
      </c>
      <c r="Y894">
        <v>29.8479959714412</v>
      </c>
      <c r="Z894">
        <v>0.49999999999439898</v>
      </c>
      <c r="AA894">
        <v>54.585662169443403</v>
      </c>
      <c r="AB894" s="9">
        <f t="shared" si="125"/>
        <v>-0.35730519838401276</v>
      </c>
      <c r="AC894" s="9">
        <f t="shared" si="126"/>
        <v>-0.37335676607625895</v>
      </c>
      <c r="AD894" s="2">
        <f t="shared" si="127"/>
        <v>4.4923969102164563E-2</v>
      </c>
      <c r="AE894" s="8">
        <f t="shared" si="128"/>
        <v>8.0549860295886094E-3</v>
      </c>
      <c r="AF894" s="2">
        <f t="shared" si="129"/>
        <v>-5.4665509939339184E-3</v>
      </c>
      <c r="AG894" s="8">
        <f t="shared" si="130"/>
        <v>1.3521537023522528E-2</v>
      </c>
      <c r="AH894" s="7">
        <f t="shared" si="131"/>
        <v>-0.40428473363820394</v>
      </c>
      <c r="AI894">
        <f t="shared" si="132"/>
        <v>6</v>
      </c>
      <c r="AJ894" s="10">
        <f t="shared" si="133"/>
        <v>0.48677533284681102</v>
      </c>
    </row>
    <row r="895" spans="1:36" hidden="1" x14ac:dyDescent="0.25">
      <c r="A895" t="b">
        <v>0</v>
      </c>
      <c r="B895">
        <v>1000</v>
      </c>
      <c r="C895">
        <v>0.48677533284681102</v>
      </c>
      <c r="D895" t="s">
        <v>52</v>
      </c>
      <c r="E895" t="b">
        <v>1</v>
      </c>
      <c r="F895" t="s">
        <v>53</v>
      </c>
      <c r="G895">
        <v>7.4999999999999997E-2</v>
      </c>
      <c r="H895">
        <v>0.5</v>
      </c>
      <c r="I895">
        <v>1E-4</v>
      </c>
      <c r="J895" t="b">
        <v>1</v>
      </c>
      <c r="K895">
        <v>6</v>
      </c>
      <c r="L895">
        <v>1500</v>
      </c>
      <c r="M895">
        <v>0.5</v>
      </c>
      <c r="N895">
        <v>0.154</v>
      </c>
      <c r="O895" t="s">
        <v>396</v>
      </c>
      <c r="P895" t="s">
        <v>402</v>
      </c>
      <c r="Q895">
        <v>-2.9818370948973502E-4</v>
      </c>
      <c r="R895">
        <v>2.98243058893228E-3</v>
      </c>
      <c r="S895">
        <v>1.20735548124965E-3</v>
      </c>
      <c r="T895">
        <v>-1.55136892904125E-2</v>
      </c>
      <c r="U895">
        <v>5.9963780598358198</v>
      </c>
      <c r="V895" s="1">
        <v>9.99999999999864E-15</v>
      </c>
      <c r="W895">
        <v>0.67455796387613598</v>
      </c>
      <c r="X895">
        <v>2.49999999999998</v>
      </c>
      <c r="Y895">
        <v>30.312237178781199</v>
      </c>
      <c r="Z895">
        <v>0.49999999998849198</v>
      </c>
      <c r="AA895">
        <v>55.514894179641999</v>
      </c>
      <c r="AB895" s="9">
        <f t="shared" si="125"/>
        <v>-0.35692537973699151</v>
      </c>
      <c r="AC895" s="9">
        <f t="shared" si="126"/>
        <v>-0.37335676607625895</v>
      </c>
      <c r="AD895" s="2">
        <f t="shared" si="127"/>
        <v>4.6035914709610326E-2</v>
      </c>
      <c r="AE895" s="8">
        <f t="shared" si="128"/>
        <v>7.9263483942623846E-3</v>
      </c>
      <c r="AF895" s="2">
        <f t="shared" si="129"/>
        <v>-5.5951886292601432E-3</v>
      </c>
      <c r="AG895" s="8">
        <f t="shared" si="130"/>
        <v>1.3521537023522528E-2</v>
      </c>
      <c r="AH895" s="7">
        <f t="shared" si="131"/>
        <v>-0.41379827008768028</v>
      </c>
      <c r="AI895">
        <f t="shared" si="132"/>
        <v>6</v>
      </c>
      <c r="AJ895" s="10">
        <f t="shared" si="133"/>
        <v>0.48677533284681102</v>
      </c>
    </row>
    <row r="896" spans="1:36" hidden="1" x14ac:dyDescent="0.25">
      <c r="A896" t="b">
        <v>0</v>
      </c>
      <c r="B896">
        <v>1000</v>
      </c>
      <c r="C896">
        <v>0.48677533284681102</v>
      </c>
      <c r="D896" t="s">
        <v>52</v>
      </c>
      <c r="E896" t="b">
        <v>1</v>
      </c>
      <c r="F896" t="s">
        <v>53</v>
      </c>
      <c r="G896">
        <v>7.4999999999999997E-2</v>
      </c>
      <c r="H896">
        <v>0.5</v>
      </c>
      <c r="I896">
        <v>1E-4</v>
      </c>
      <c r="J896" t="b">
        <v>1</v>
      </c>
      <c r="K896">
        <v>6</v>
      </c>
      <c r="L896">
        <v>1500</v>
      </c>
      <c r="M896">
        <v>0.5</v>
      </c>
      <c r="N896">
        <v>0.154</v>
      </c>
      <c r="O896" t="s">
        <v>397</v>
      </c>
      <c r="P896" t="s">
        <v>398</v>
      </c>
      <c r="Q896" s="1">
        <v>-3.7311779479299902E-5</v>
      </c>
      <c r="R896">
        <v>3.6758767779301502E-4</v>
      </c>
      <c r="S896">
        <v>1.51144185755778E-4</v>
      </c>
      <c r="T896">
        <v>-1.9448132306276299E-3</v>
      </c>
      <c r="U896">
        <v>6.0014693707681701</v>
      </c>
      <c r="V896" s="1">
        <v>9.9999999999995803E-15</v>
      </c>
      <c r="W896">
        <v>0.66077096590267004</v>
      </c>
      <c r="X896">
        <v>2.4999999999999898</v>
      </c>
      <c r="Y896">
        <v>29.943165678788301</v>
      </c>
      <c r="Z896">
        <v>0.49999999999471301</v>
      </c>
      <c r="AA896">
        <v>54.6506303505614</v>
      </c>
      <c r="AB896" s="9">
        <f t="shared" si="125"/>
        <v>-0.357424200405216</v>
      </c>
      <c r="AC896" s="9">
        <f t="shared" si="126"/>
        <v>-0.37335676607625895</v>
      </c>
      <c r="AD896" s="2">
        <f t="shared" si="127"/>
        <v>4.4576068584555983E-2</v>
      </c>
      <c r="AE896" s="8">
        <f t="shared" si="128"/>
        <v>8.0952965953562921E-3</v>
      </c>
      <c r="AF896" s="2">
        <f t="shared" si="129"/>
        <v>-5.4262404281662357E-3</v>
      </c>
      <c r="AG896" s="8">
        <f t="shared" si="130"/>
        <v>1.3521537023522528E-2</v>
      </c>
      <c r="AH896" s="7">
        <f t="shared" si="131"/>
        <v>-0.40130352183531814</v>
      </c>
      <c r="AI896">
        <f t="shared" si="132"/>
        <v>6</v>
      </c>
      <c r="AJ896" s="10">
        <f t="shared" si="133"/>
        <v>0.48677533284681102</v>
      </c>
    </row>
    <row r="897" spans="1:36" hidden="1" x14ac:dyDescent="0.25">
      <c r="A897" t="b">
        <v>0</v>
      </c>
      <c r="B897">
        <v>1000</v>
      </c>
      <c r="C897">
        <v>0.48677533284681102</v>
      </c>
      <c r="D897" t="s">
        <v>52</v>
      </c>
      <c r="E897" t="b">
        <v>1</v>
      </c>
      <c r="F897" t="s">
        <v>53</v>
      </c>
      <c r="G897">
        <v>7.4999999999999997E-2</v>
      </c>
      <c r="H897">
        <v>0.5</v>
      </c>
      <c r="I897">
        <v>1E-4</v>
      </c>
      <c r="J897" t="b">
        <v>1</v>
      </c>
      <c r="K897">
        <v>6</v>
      </c>
      <c r="L897">
        <v>1500</v>
      </c>
      <c r="M897">
        <v>0.5</v>
      </c>
      <c r="N897">
        <v>0.154</v>
      </c>
      <c r="O897" t="s">
        <v>397</v>
      </c>
      <c r="P897" t="s">
        <v>399</v>
      </c>
      <c r="Q897">
        <v>-2.9817288909078101E-4</v>
      </c>
      <c r="R897">
        <v>2.9041407048515698E-3</v>
      </c>
      <c r="S897">
        <v>1.20744032903763E-3</v>
      </c>
      <c r="T897">
        <v>-1.5519946416473199E-2</v>
      </c>
      <c r="U897">
        <v>5.9997723459982</v>
      </c>
      <c r="V897" s="1">
        <v>9.99999999999867E-15</v>
      </c>
      <c r="W897">
        <v>0.65963366419770797</v>
      </c>
      <c r="X897">
        <v>2.49999999999998</v>
      </c>
      <c r="Y897">
        <v>29.5181632186451</v>
      </c>
      <c r="Z897">
        <v>0.49999999998903599</v>
      </c>
      <c r="AA897">
        <v>54.0666835680045</v>
      </c>
      <c r="AB897" s="9">
        <f t="shared" si="125"/>
        <v>-0.35704424666966339</v>
      </c>
      <c r="AC897" s="9">
        <f t="shared" si="126"/>
        <v>-0.37335676607625895</v>
      </c>
      <c r="AD897" s="2">
        <f t="shared" si="127"/>
        <v>4.568766912994926E-2</v>
      </c>
      <c r="AE897" s="8">
        <f t="shared" si="128"/>
        <v>7.9666029226042809E-3</v>
      </c>
      <c r="AF897" s="2">
        <f t="shared" si="129"/>
        <v>-5.5549341009182469E-3</v>
      </c>
      <c r="AG897" s="8">
        <f t="shared" si="130"/>
        <v>1.3521537023522528E-2</v>
      </c>
      <c r="AH897" s="7">
        <f t="shared" si="131"/>
        <v>-0.41082120259366178</v>
      </c>
      <c r="AI897">
        <f t="shared" si="132"/>
        <v>6</v>
      </c>
      <c r="AJ897" s="10">
        <f t="shared" si="133"/>
        <v>0.48677533284681102</v>
      </c>
    </row>
    <row r="898" spans="1:36" hidden="1" x14ac:dyDescent="0.25">
      <c r="A898" t="b">
        <v>0</v>
      </c>
      <c r="B898">
        <v>1000</v>
      </c>
      <c r="C898">
        <v>0.48677533284681102</v>
      </c>
      <c r="D898" t="s">
        <v>52</v>
      </c>
      <c r="E898" t="b">
        <v>1</v>
      </c>
      <c r="F898" t="s">
        <v>53</v>
      </c>
      <c r="G898">
        <v>7.4999999999999997E-2</v>
      </c>
      <c r="H898">
        <v>0.5</v>
      </c>
      <c r="I898">
        <v>1E-4</v>
      </c>
      <c r="J898" t="b">
        <v>1</v>
      </c>
      <c r="K898">
        <v>6</v>
      </c>
      <c r="L898">
        <v>1500</v>
      </c>
      <c r="M898">
        <v>0.5</v>
      </c>
      <c r="N898">
        <v>0.154</v>
      </c>
      <c r="O898" t="s">
        <v>397</v>
      </c>
      <c r="P898" t="s">
        <v>400</v>
      </c>
      <c r="Q898">
        <v>-2.6085975237253299E-4</v>
      </c>
      <c r="R898">
        <v>2.4779147318276201E-3</v>
      </c>
      <c r="S898">
        <v>1.05630677496424E-3</v>
      </c>
      <c r="T898">
        <v>-1.35759174537292E-2</v>
      </c>
      <c r="U898">
        <v>6.0000154276072504</v>
      </c>
      <c r="V898" s="1">
        <v>9.9999999999987694E-15</v>
      </c>
      <c r="W898">
        <v>0.64101087096353404</v>
      </c>
      <c r="X898">
        <v>2.4999999999999898</v>
      </c>
      <c r="Y898">
        <v>28.869635911014701</v>
      </c>
      <c r="Z898">
        <v>0.49999999998918498</v>
      </c>
      <c r="AA898">
        <v>52.703891355402199</v>
      </c>
      <c r="AB898" s="9">
        <f t="shared" si="125"/>
        <v>-0.35700691039486232</v>
      </c>
      <c r="AC898" s="9">
        <f t="shared" si="126"/>
        <v>-0.37335676607625895</v>
      </c>
      <c r="AD898" s="2">
        <f t="shared" si="127"/>
        <v>4.5797028587802657E-2</v>
      </c>
      <c r="AE898" s="8">
        <f t="shared" si="128"/>
        <v>7.9539585709004698E-3</v>
      </c>
      <c r="AF898" s="2">
        <f t="shared" si="129"/>
        <v>-5.567578452622058E-3</v>
      </c>
      <c r="AG898" s="8">
        <f t="shared" si="130"/>
        <v>1.3521537023522528E-2</v>
      </c>
      <c r="AH898" s="7">
        <f t="shared" si="131"/>
        <v>-0.4117563293977976</v>
      </c>
      <c r="AI898">
        <f t="shared" si="132"/>
        <v>6</v>
      </c>
      <c r="AJ898" s="10">
        <f t="shared" si="133"/>
        <v>0.48677533284681102</v>
      </c>
    </row>
    <row r="899" spans="1:36" hidden="1" x14ac:dyDescent="0.25">
      <c r="A899" t="b">
        <v>0</v>
      </c>
      <c r="B899">
        <v>1000</v>
      </c>
      <c r="C899">
        <v>0.48677533284681102</v>
      </c>
      <c r="D899" t="s">
        <v>52</v>
      </c>
      <c r="E899" t="b">
        <v>1</v>
      </c>
      <c r="F899" t="s">
        <v>53</v>
      </c>
      <c r="G899">
        <v>7.4999999999999997E-2</v>
      </c>
      <c r="H899">
        <v>0.5</v>
      </c>
      <c r="I899">
        <v>1E-4</v>
      </c>
      <c r="J899" t="b">
        <v>1</v>
      </c>
      <c r="K899">
        <v>6</v>
      </c>
      <c r="L899">
        <v>1500</v>
      </c>
      <c r="M899">
        <v>0.5</v>
      </c>
      <c r="N899">
        <v>0.154</v>
      </c>
      <c r="O899" t="s">
        <v>397</v>
      </c>
      <c r="P899" t="s">
        <v>401</v>
      </c>
      <c r="Q899">
        <v>-2.9817288909078399E-4</v>
      </c>
      <c r="R899">
        <v>2.9546227458267199E-3</v>
      </c>
      <c r="S899">
        <v>1.20744032903763E-3</v>
      </c>
      <c r="T899">
        <v>-1.55199464164735E-2</v>
      </c>
      <c r="U899">
        <v>5.9997723459839003</v>
      </c>
      <c r="V899" s="1">
        <v>9.9999999999986605E-15</v>
      </c>
      <c r="W899">
        <v>0.67181136497082095</v>
      </c>
      <c r="X899">
        <v>2.49999999999998</v>
      </c>
      <c r="Y899">
        <v>29.987249140630201</v>
      </c>
      <c r="Z899">
        <v>0.49999999998903599</v>
      </c>
      <c r="AA899">
        <v>55.020007848217404</v>
      </c>
      <c r="AB899" s="9">
        <f t="shared" si="125"/>
        <v>-0.35704424666967033</v>
      </c>
      <c r="AC899" s="9">
        <f t="shared" si="126"/>
        <v>-0.37335676607625895</v>
      </c>
      <c r="AD899" s="2">
        <f t="shared" si="127"/>
        <v>4.5687669129928832E-2</v>
      </c>
      <c r="AE899" s="8">
        <f t="shared" si="128"/>
        <v>7.9666029226066366E-3</v>
      </c>
      <c r="AF899" s="2">
        <f t="shared" si="129"/>
        <v>-5.5549341009158912E-3</v>
      </c>
      <c r="AG899" s="8">
        <f t="shared" si="130"/>
        <v>1.3521537023522528E-2</v>
      </c>
      <c r="AH899" s="7">
        <f t="shared" si="131"/>
        <v>-0.41082120259348759</v>
      </c>
      <c r="AI899">
        <f t="shared" si="132"/>
        <v>6</v>
      </c>
      <c r="AJ899" s="10">
        <f t="shared" si="133"/>
        <v>0.48677533284681102</v>
      </c>
    </row>
    <row r="900" spans="1:36" hidden="1" x14ac:dyDescent="0.25">
      <c r="A900" t="b">
        <v>0</v>
      </c>
      <c r="B900">
        <v>1000</v>
      </c>
      <c r="C900">
        <v>0.48677533284681102</v>
      </c>
      <c r="D900" t="s">
        <v>52</v>
      </c>
      <c r="E900" t="b">
        <v>1</v>
      </c>
      <c r="F900" t="s">
        <v>53</v>
      </c>
      <c r="G900">
        <v>7.4999999999999997E-2</v>
      </c>
      <c r="H900">
        <v>0.5</v>
      </c>
      <c r="I900">
        <v>1E-4</v>
      </c>
      <c r="J900" t="b">
        <v>1</v>
      </c>
      <c r="K900">
        <v>6</v>
      </c>
      <c r="L900">
        <v>1500</v>
      </c>
      <c r="M900">
        <v>0.5</v>
      </c>
      <c r="N900">
        <v>0.154</v>
      </c>
      <c r="O900" t="s">
        <v>397</v>
      </c>
      <c r="P900" t="s">
        <v>402</v>
      </c>
      <c r="Q900">
        <v>-5.5904346248193204E-4</v>
      </c>
      <c r="R900">
        <v>5.47577937096965E-3</v>
      </c>
      <c r="S900">
        <v>2.2636622562139E-3</v>
      </c>
      <c r="T900">
        <v>-2.90896067441417E-2</v>
      </c>
      <c r="U900">
        <v>5.9980750451162299</v>
      </c>
      <c r="V900" s="1">
        <v>9.9999999999999905E-15</v>
      </c>
      <c r="W900">
        <v>0.66260931356858299</v>
      </c>
      <c r="X900">
        <v>2.4999999999999898</v>
      </c>
      <c r="Y900">
        <v>29.689092170516201</v>
      </c>
      <c r="Z900">
        <v>0.499999999999999</v>
      </c>
      <c r="AA900">
        <v>54.370337746289103</v>
      </c>
      <c r="AB900" s="9">
        <f t="shared" si="125"/>
        <v>-0.35696342489414173</v>
      </c>
      <c r="AC900" s="9">
        <f t="shared" si="126"/>
        <v>-0.37335676607625895</v>
      </c>
      <c r="AD900" s="2">
        <f t="shared" si="127"/>
        <v>4.5924428215520008E-2</v>
      </c>
      <c r="AE900" s="8">
        <f t="shared" si="128"/>
        <v>7.9392321141964518E-3</v>
      </c>
      <c r="AF900" s="2">
        <f t="shared" si="129"/>
        <v>-5.582304909326076E-3</v>
      </c>
      <c r="AG900" s="8">
        <f t="shared" si="130"/>
        <v>1.3521537023522528E-2</v>
      </c>
      <c r="AH900" s="7">
        <f t="shared" si="131"/>
        <v>-0.41284544054532468</v>
      </c>
      <c r="AI900">
        <f t="shared" si="132"/>
        <v>6</v>
      </c>
      <c r="AJ900" s="10">
        <f t="shared" si="133"/>
        <v>0.48677533284681102</v>
      </c>
    </row>
    <row r="901" spans="1:36" hidden="1" x14ac:dyDescent="0.25">
      <c r="A901" t="b">
        <v>0</v>
      </c>
      <c r="B901">
        <v>1000</v>
      </c>
      <c r="C901">
        <v>0.48677533284681102</v>
      </c>
      <c r="D901" t="s">
        <v>52</v>
      </c>
      <c r="E901" t="b">
        <v>1</v>
      </c>
      <c r="F901" t="s">
        <v>53</v>
      </c>
      <c r="G901">
        <v>7.4999999999999997E-2</v>
      </c>
      <c r="H901">
        <v>0.5</v>
      </c>
      <c r="I901">
        <v>1E-4</v>
      </c>
      <c r="J901" t="b">
        <v>1</v>
      </c>
      <c r="K901">
        <v>6</v>
      </c>
      <c r="L901">
        <v>1500</v>
      </c>
      <c r="M901">
        <v>0.5</v>
      </c>
      <c r="N901">
        <v>0.154</v>
      </c>
      <c r="O901" t="s">
        <v>398</v>
      </c>
      <c r="P901" t="s">
        <v>399</v>
      </c>
      <c r="Q901">
        <v>-2.6086110962289299E-4</v>
      </c>
      <c r="R901">
        <v>2.4982473868099299E-3</v>
      </c>
      <c r="S901">
        <v>1.0562961432818499E-3</v>
      </c>
      <c r="T901">
        <v>-1.35751331858458E-2</v>
      </c>
      <c r="U901">
        <v>5.9995293038811104</v>
      </c>
      <c r="V901" s="1">
        <v>9.9999999999987694E-15</v>
      </c>
      <c r="W901">
        <v>0.64188699393654802</v>
      </c>
      <c r="X901">
        <v>2.4999999999999898</v>
      </c>
      <c r="Y901">
        <v>29.162860854262998</v>
      </c>
      <c r="Z901">
        <v>0.49999999998910999</v>
      </c>
      <c r="AA901">
        <v>53.1091655170368</v>
      </c>
      <c r="AB901" s="9">
        <f t="shared" si="125"/>
        <v>-0.3569898795318649</v>
      </c>
      <c r="AC901" s="9">
        <f t="shared" si="126"/>
        <v>-0.37335676607625895</v>
      </c>
      <c r="AD901" s="2">
        <f t="shared" si="127"/>
        <v>4.5846920270839586E-2</v>
      </c>
      <c r="AE901" s="8">
        <f t="shared" si="128"/>
        <v>7.9481909818965163E-3</v>
      </c>
      <c r="AF901" s="2">
        <f t="shared" si="129"/>
        <v>-5.5733460416260115E-3</v>
      </c>
      <c r="AG901" s="8">
        <f t="shared" si="130"/>
        <v>1.3521537023522528E-2</v>
      </c>
      <c r="AH901" s="7">
        <f t="shared" si="131"/>
        <v>-0.4121828777253968</v>
      </c>
      <c r="AI901">
        <f t="shared" si="132"/>
        <v>6</v>
      </c>
      <c r="AJ901" s="10">
        <f t="shared" si="133"/>
        <v>0.48677533284681102</v>
      </c>
    </row>
    <row r="902" spans="1:36" hidden="1" x14ac:dyDescent="0.25">
      <c r="A902" t="b">
        <v>0</v>
      </c>
      <c r="B902">
        <v>1000</v>
      </c>
      <c r="C902">
        <v>0.48677533284681102</v>
      </c>
      <c r="D902" t="s">
        <v>52</v>
      </c>
      <c r="E902" t="b">
        <v>1</v>
      </c>
      <c r="F902" t="s">
        <v>53</v>
      </c>
      <c r="G902">
        <v>7.4999999999999997E-2</v>
      </c>
      <c r="H902">
        <v>0.5</v>
      </c>
      <c r="I902">
        <v>1E-4</v>
      </c>
      <c r="J902" t="b">
        <v>1</v>
      </c>
      <c r="K902">
        <v>6</v>
      </c>
      <c r="L902">
        <v>1500</v>
      </c>
      <c r="M902">
        <v>0.5</v>
      </c>
      <c r="N902">
        <v>0.154</v>
      </c>
      <c r="O902" t="s">
        <v>398</v>
      </c>
      <c r="P902" t="s">
        <v>400</v>
      </c>
      <c r="Q902">
        <v>-2.2354797290359099E-4</v>
      </c>
      <c r="R902">
        <v>2.0409752141235201E-3</v>
      </c>
      <c r="S902">
        <v>9.0516258920847101E-4</v>
      </c>
      <c r="T902">
        <v>-1.16311042231019E-2</v>
      </c>
      <c r="U902">
        <v>5.9997723854901599</v>
      </c>
      <c r="V902" s="1">
        <v>9.9999999999988703E-15</v>
      </c>
      <c r="W902">
        <v>0.61127880787190503</v>
      </c>
      <c r="X902">
        <v>2.4999999999999898</v>
      </c>
      <c r="Y902">
        <v>27.896303047571699</v>
      </c>
      <c r="Z902">
        <v>0.49999999998917899</v>
      </c>
      <c r="AA902">
        <v>50.605136352437498</v>
      </c>
      <c r="AB902" s="9">
        <f t="shared" si="125"/>
        <v>-0.35693723124596144</v>
      </c>
      <c r="AC902" s="9">
        <f t="shared" si="126"/>
        <v>-0.37335676607625895</v>
      </c>
      <c r="AD902" s="2">
        <f t="shared" si="127"/>
        <v>4.600118282136556E-2</v>
      </c>
      <c r="AE902" s="8">
        <f t="shared" si="128"/>
        <v>7.9303617875572836E-3</v>
      </c>
      <c r="AF902" s="2">
        <f t="shared" si="129"/>
        <v>-5.5911752359652442E-3</v>
      </c>
      <c r="AG902" s="8">
        <f t="shared" si="130"/>
        <v>1.3521537023522528E-2</v>
      </c>
      <c r="AH902" s="7">
        <f t="shared" si="131"/>
        <v>-0.41350145521464349</v>
      </c>
      <c r="AI902">
        <f t="shared" si="132"/>
        <v>6</v>
      </c>
      <c r="AJ902" s="10">
        <f t="shared" si="133"/>
        <v>0.48677533284681102</v>
      </c>
    </row>
    <row r="903" spans="1:36" hidden="1" x14ac:dyDescent="0.25">
      <c r="A903" t="b">
        <v>0</v>
      </c>
      <c r="B903">
        <v>1000</v>
      </c>
      <c r="C903">
        <v>0.48677533284681102</v>
      </c>
      <c r="D903" t="s">
        <v>52</v>
      </c>
      <c r="E903" t="b">
        <v>1</v>
      </c>
      <c r="F903" t="s">
        <v>53</v>
      </c>
      <c r="G903">
        <v>7.4999999999999997E-2</v>
      </c>
      <c r="H903">
        <v>0.5</v>
      </c>
      <c r="I903">
        <v>1E-4</v>
      </c>
      <c r="J903" t="b">
        <v>1</v>
      </c>
      <c r="K903">
        <v>6</v>
      </c>
      <c r="L903">
        <v>1500</v>
      </c>
      <c r="M903">
        <v>0.5</v>
      </c>
      <c r="N903">
        <v>0.154</v>
      </c>
      <c r="O903" t="s">
        <v>398</v>
      </c>
      <c r="P903" t="s">
        <v>401</v>
      </c>
      <c r="Q903">
        <v>-2.6086110962288399E-4</v>
      </c>
      <c r="R903">
        <v>2.5195169003762699E-3</v>
      </c>
      <c r="S903">
        <v>1.0562961432818499E-3</v>
      </c>
      <c r="T903">
        <v>-1.3575133185846E-2</v>
      </c>
      <c r="U903">
        <v>5.9995293038668098</v>
      </c>
      <c r="V903" s="1">
        <v>9.9999999999987694E-15</v>
      </c>
      <c r="W903">
        <v>0.65347232190106397</v>
      </c>
      <c r="X903">
        <v>2.4999999999999898</v>
      </c>
      <c r="Y903">
        <v>29.297779224975901</v>
      </c>
      <c r="Z903">
        <v>0.49999999998910899</v>
      </c>
      <c r="AA903">
        <v>53.605588179226501</v>
      </c>
      <c r="AB903" s="9">
        <f t="shared" si="125"/>
        <v>-0.35698987953187017</v>
      </c>
      <c r="AC903" s="9">
        <f t="shared" si="126"/>
        <v>-0.37335676607625895</v>
      </c>
      <c r="AD903" s="2">
        <f t="shared" si="127"/>
        <v>4.5846920270824265E-2</v>
      </c>
      <c r="AE903" s="8">
        <f t="shared" si="128"/>
        <v>7.9481909818982961E-3</v>
      </c>
      <c r="AF903" s="2">
        <f t="shared" si="129"/>
        <v>-5.5733460416242317E-3</v>
      </c>
      <c r="AG903" s="8">
        <f t="shared" si="130"/>
        <v>1.3521537023522528E-2</v>
      </c>
      <c r="AH903" s="7">
        <f t="shared" si="131"/>
        <v>-0.41218287772526513</v>
      </c>
      <c r="AI903">
        <f t="shared" si="132"/>
        <v>6</v>
      </c>
      <c r="AJ903" s="10">
        <f t="shared" si="133"/>
        <v>0.48677533284681102</v>
      </c>
    </row>
    <row r="904" spans="1:36" hidden="1" x14ac:dyDescent="0.25">
      <c r="A904" t="b">
        <v>0</v>
      </c>
      <c r="B904">
        <v>1000</v>
      </c>
      <c r="C904">
        <v>0.48677533284681102</v>
      </c>
      <c r="D904" t="s">
        <v>52</v>
      </c>
      <c r="E904" t="b">
        <v>1</v>
      </c>
      <c r="F904" t="s">
        <v>53</v>
      </c>
      <c r="G904">
        <v>7.4999999999999997E-2</v>
      </c>
      <c r="H904">
        <v>0.5</v>
      </c>
      <c r="I904">
        <v>1E-4</v>
      </c>
      <c r="J904" t="b">
        <v>1</v>
      </c>
      <c r="K904">
        <v>6</v>
      </c>
      <c r="L904">
        <v>1500</v>
      </c>
      <c r="M904">
        <v>0.5</v>
      </c>
      <c r="N904">
        <v>0.154</v>
      </c>
      <c r="O904" t="s">
        <v>398</v>
      </c>
      <c r="P904" t="s">
        <v>402</v>
      </c>
      <c r="Q904">
        <v>-5.2173168297398802E-4</v>
      </c>
      <c r="R904">
        <v>4.95515404982235E-3</v>
      </c>
      <c r="S904">
        <v>2.1125180704581201E-3</v>
      </c>
      <c r="T904">
        <v>-2.7144793513514301E-2</v>
      </c>
      <c r="U904">
        <v>5.9978320029991403</v>
      </c>
      <c r="V904" s="1">
        <v>9.9999999999999905E-15</v>
      </c>
      <c r="W904">
        <v>0.64167435052518396</v>
      </c>
      <c r="X904">
        <v>2.4999999999999898</v>
      </c>
      <c r="Y904">
        <v>28.854777732711799</v>
      </c>
      <c r="Z904">
        <v>0.499999999999999</v>
      </c>
      <c r="AA904">
        <v>52.699925285624801</v>
      </c>
      <c r="AB904" s="9">
        <f t="shared" si="125"/>
        <v>-0.35693045782020077</v>
      </c>
      <c r="AC904" s="9">
        <f t="shared" si="126"/>
        <v>-0.37335676607625895</v>
      </c>
      <c r="AD904" s="2">
        <f t="shared" si="127"/>
        <v>4.6021032658223548E-2</v>
      </c>
      <c r="AE904" s="8">
        <f t="shared" si="128"/>
        <v>7.9280680317174047E-3</v>
      </c>
      <c r="AF904" s="2">
        <f t="shared" si="129"/>
        <v>-5.5934689918051231E-3</v>
      </c>
      <c r="AG904" s="8">
        <f t="shared" si="130"/>
        <v>1.3521537023522528E-2</v>
      </c>
      <c r="AH904" s="7">
        <f t="shared" si="131"/>
        <v>-0.4136710924264404</v>
      </c>
      <c r="AI904">
        <f t="shared" si="132"/>
        <v>6</v>
      </c>
      <c r="AJ904" s="10">
        <f t="shared" si="133"/>
        <v>0.48677533284681102</v>
      </c>
    </row>
    <row r="905" spans="1:36" hidden="1" x14ac:dyDescent="0.25">
      <c r="A905" t="b">
        <v>0</v>
      </c>
      <c r="B905">
        <v>1000</v>
      </c>
      <c r="C905">
        <v>0.48677533284681102</v>
      </c>
      <c r="D905" t="s">
        <v>52</v>
      </c>
      <c r="E905" t="b">
        <v>1</v>
      </c>
      <c r="F905" t="s">
        <v>53</v>
      </c>
      <c r="G905">
        <v>7.4999999999999997E-2</v>
      </c>
      <c r="H905">
        <v>0.5</v>
      </c>
      <c r="I905">
        <v>1E-4</v>
      </c>
      <c r="J905" t="b">
        <v>1</v>
      </c>
      <c r="K905">
        <v>6</v>
      </c>
      <c r="L905">
        <v>1500</v>
      </c>
      <c r="M905">
        <v>0.5</v>
      </c>
      <c r="N905">
        <v>0.154</v>
      </c>
      <c r="O905" t="s">
        <v>399</v>
      </c>
      <c r="P905" t="s">
        <v>401</v>
      </c>
      <c r="Q905" s="1">
        <v>-1E-10</v>
      </c>
      <c r="R905" s="1">
        <v>3.5857859370976399E-12</v>
      </c>
      <c r="S905" s="1">
        <v>6.48439363308954E-18</v>
      </c>
      <c r="T905" s="1">
        <v>-1.6879870456654601E-18</v>
      </c>
      <c r="U905">
        <v>5.9978322790968397</v>
      </c>
      <c r="V905">
        <v>0</v>
      </c>
      <c r="W905">
        <v>6.8474548356863799E-2</v>
      </c>
      <c r="X905">
        <v>2</v>
      </c>
      <c r="Y905">
        <v>4.0005664196842896E-3</v>
      </c>
      <c r="Z905">
        <v>2.5000000000000001E-4</v>
      </c>
      <c r="AA905">
        <v>4.7933529881093104E-3</v>
      </c>
      <c r="AB905" s="9">
        <f t="shared" si="125"/>
        <v>-7.2309812912949856E-3</v>
      </c>
      <c r="AC905" s="9">
        <f t="shared" si="126"/>
        <v>-0.37335676607625895</v>
      </c>
      <c r="AD905" s="2">
        <f t="shared" si="127"/>
        <v>50.632932106424391</v>
      </c>
      <c r="AE905" s="8">
        <f t="shared" si="128"/>
        <v>-9.8043390589537927E-2</v>
      </c>
      <c r="AF905" s="2">
        <f t="shared" si="129"/>
        <v>-0.11156492761306046</v>
      </c>
      <c r="AG905" s="8">
        <f t="shared" si="130"/>
        <v>1.3521537023522528E-2</v>
      </c>
      <c r="AH905" s="7">
        <f t="shared" si="131"/>
        <v>-8.2509057527245826</v>
      </c>
      <c r="AI905">
        <f t="shared" si="132"/>
        <v>6</v>
      </c>
      <c r="AJ905" s="10">
        <f t="shared" si="133"/>
        <v>0.48677533284681102</v>
      </c>
    </row>
    <row r="906" spans="1:36" hidden="1" x14ac:dyDescent="0.25">
      <c r="A906" t="b">
        <v>0</v>
      </c>
      <c r="B906">
        <v>1000</v>
      </c>
      <c r="C906">
        <v>0.48677533284681102</v>
      </c>
      <c r="D906" t="s">
        <v>52</v>
      </c>
      <c r="E906" t="b">
        <v>1</v>
      </c>
      <c r="F906" t="s">
        <v>53</v>
      </c>
      <c r="G906">
        <v>7.4999999999999997E-2</v>
      </c>
      <c r="H906">
        <v>0.5</v>
      </c>
      <c r="I906">
        <v>1E-4</v>
      </c>
      <c r="J906" t="b">
        <v>1</v>
      </c>
      <c r="K906">
        <v>6</v>
      </c>
      <c r="L906">
        <v>1500</v>
      </c>
      <c r="M906">
        <v>0.5</v>
      </c>
      <c r="N906">
        <v>0.154</v>
      </c>
      <c r="O906" t="s">
        <v>399</v>
      </c>
      <c r="P906" t="s">
        <v>402</v>
      </c>
      <c r="Q906">
        <v>-2.6087057277160501E-4</v>
      </c>
      <c r="R906">
        <v>2.4075438107462599E-3</v>
      </c>
      <c r="S906">
        <v>1.05622192717627E-3</v>
      </c>
      <c r="T906">
        <v>-1.3569660327668501E-2</v>
      </c>
      <c r="U906">
        <v>5.9961349782291702</v>
      </c>
      <c r="V906" s="1">
        <v>9.9999999999987504E-15</v>
      </c>
      <c r="W906">
        <v>0.62160603921697</v>
      </c>
      <c r="X906">
        <v>2.4999999999999898</v>
      </c>
      <c r="Y906">
        <v>28.1218659972048</v>
      </c>
      <c r="Z906">
        <v>0.49999999998857497</v>
      </c>
      <c r="AA906">
        <v>51.18177495175</v>
      </c>
      <c r="AB906" s="9">
        <f t="shared" si="125"/>
        <v>-0.35687103193323227</v>
      </c>
      <c r="AC906" s="9">
        <f t="shared" si="126"/>
        <v>-0.37335676607625895</v>
      </c>
      <c r="AD906" s="2">
        <f t="shared" si="127"/>
        <v>4.6195215267881506E-2</v>
      </c>
      <c r="AE906" s="8">
        <f t="shared" si="128"/>
        <v>7.9079444711350911E-3</v>
      </c>
      <c r="AF906" s="2">
        <f t="shared" si="129"/>
        <v>-5.6135925523874367E-3</v>
      </c>
      <c r="AG906" s="8">
        <f t="shared" si="130"/>
        <v>1.3521537023522528E-2</v>
      </c>
      <c r="AH906" s="7">
        <f t="shared" si="131"/>
        <v>-0.4151593522705177</v>
      </c>
      <c r="AI906">
        <f t="shared" si="132"/>
        <v>6</v>
      </c>
      <c r="AJ906" s="10">
        <f t="shared" si="133"/>
        <v>0.48677533284681102</v>
      </c>
    </row>
    <row r="907" spans="1:36" hidden="1" x14ac:dyDescent="0.25">
      <c r="A907" t="b">
        <v>0</v>
      </c>
      <c r="B907">
        <v>1000</v>
      </c>
      <c r="C907">
        <v>0.48677533284681102</v>
      </c>
      <c r="D907" t="s">
        <v>52</v>
      </c>
      <c r="E907" t="b">
        <v>1</v>
      </c>
      <c r="F907" t="s">
        <v>53</v>
      </c>
      <c r="G907">
        <v>7.4999999999999997E-2</v>
      </c>
      <c r="H907">
        <v>0.5</v>
      </c>
      <c r="I907">
        <v>1E-4</v>
      </c>
      <c r="J907" t="b">
        <v>1</v>
      </c>
      <c r="K907">
        <v>6</v>
      </c>
      <c r="L907">
        <v>1500</v>
      </c>
      <c r="M907">
        <v>0.5</v>
      </c>
      <c r="N907">
        <v>0.154</v>
      </c>
      <c r="O907" t="s">
        <v>400</v>
      </c>
      <c r="P907" t="s">
        <v>401</v>
      </c>
      <c r="Q907" s="1">
        <v>-3.7313136729868902E-5</v>
      </c>
      <c r="R907">
        <v>3.7202214886845701E-4</v>
      </c>
      <c r="S907">
        <v>1.51133554073381E-4</v>
      </c>
      <c r="T907">
        <v>-1.94402896274417E-3</v>
      </c>
      <c r="U907">
        <v>5.9980753607058901</v>
      </c>
      <c r="V907" s="1">
        <v>9.9999999999995693E-15</v>
      </c>
      <c r="W907">
        <v>0.67648612213328796</v>
      </c>
      <c r="X907">
        <v>2.4999999999999898</v>
      </c>
      <c r="Y907">
        <v>30.153811592123699</v>
      </c>
      <c r="Z907">
        <v>0.49999999999439898</v>
      </c>
      <c r="AA907">
        <v>55.367206179180002</v>
      </c>
      <c r="AB907" s="9">
        <f t="shared" si="125"/>
        <v>-0.35730519838401986</v>
      </c>
      <c r="AC907" s="9">
        <f t="shared" si="126"/>
        <v>-0.37335676607625895</v>
      </c>
      <c r="AD907" s="2">
        <f t="shared" si="127"/>
        <v>4.4923969102143912E-2</v>
      </c>
      <c r="AE907" s="8">
        <f t="shared" si="128"/>
        <v>8.0549860295910172E-3</v>
      </c>
      <c r="AF907" s="2">
        <f t="shared" si="129"/>
        <v>-5.4665509939315106E-3</v>
      </c>
      <c r="AG907" s="8">
        <f t="shared" si="130"/>
        <v>1.3521537023522528E-2</v>
      </c>
      <c r="AH907" s="7">
        <f t="shared" si="131"/>
        <v>-0.40428473363802592</v>
      </c>
      <c r="AI907">
        <f t="shared" si="132"/>
        <v>6</v>
      </c>
      <c r="AJ907" s="10">
        <f t="shared" si="133"/>
        <v>0.48677533284681102</v>
      </c>
    </row>
    <row r="908" spans="1:36" hidden="1" x14ac:dyDescent="0.25">
      <c r="A908" t="b">
        <v>0</v>
      </c>
      <c r="B908">
        <v>1000</v>
      </c>
      <c r="C908">
        <v>0.48677533284681102</v>
      </c>
      <c r="D908" t="s">
        <v>52</v>
      </c>
      <c r="E908" t="b">
        <v>1</v>
      </c>
      <c r="F908" t="s">
        <v>53</v>
      </c>
      <c r="G908">
        <v>7.4999999999999997E-2</v>
      </c>
      <c r="H908">
        <v>0.5</v>
      </c>
      <c r="I908">
        <v>1E-4</v>
      </c>
      <c r="J908" t="b">
        <v>1</v>
      </c>
      <c r="K908">
        <v>6</v>
      </c>
      <c r="L908">
        <v>1500</v>
      </c>
      <c r="M908">
        <v>0.5</v>
      </c>
      <c r="N908">
        <v>0.154</v>
      </c>
      <c r="O908" t="s">
        <v>400</v>
      </c>
      <c r="P908" t="s">
        <v>402</v>
      </c>
      <c r="Q908">
        <v>-2.9818370948973399E-4</v>
      </c>
      <c r="R908">
        <v>2.9350581059044401E-3</v>
      </c>
      <c r="S908">
        <v>1.20735548124965E-3</v>
      </c>
      <c r="T908">
        <v>-1.55136892904124E-2</v>
      </c>
      <c r="U908">
        <v>5.9963780598382197</v>
      </c>
      <c r="V908" s="1">
        <v>9.99999999999864E-15</v>
      </c>
      <c r="W908">
        <v>0.66158655912754805</v>
      </c>
      <c r="X908">
        <v>2.49999999999998</v>
      </c>
      <c r="Y908">
        <v>29.892444346739801</v>
      </c>
      <c r="Z908">
        <v>0.49999999998849198</v>
      </c>
      <c r="AA908">
        <v>54.611790599098697</v>
      </c>
      <c r="AB908" s="9">
        <f t="shared" si="125"/>
        <v>-0.35692537973698918</v>
      </c>
      <c r="AC908" s="9">
        <f t="shared" si="126"/>
        <v>-0.37335676607625895</v>
      </c>
      <c r="AD908" s="2">
        <f t="shared" si="127"/>
        <v>4.6035914709617209E-2</v>
      </c>
      <c r="AE908" s="8">
        <f t="shared" si="128"/>
        <v>7.9263483942616075E-3</v>
      </c>
      <c r="AF908" s="2">
        <f t="shared" si="129"/>
        <v>-5.5951886292609204E-3</v>
      </c>
      <c r="AG908" s="8">
        <f t="shared" si="130"/>
        <v>1.3521537023522528E-2</v>
      </c>
      <c r="AH908" s="7">
        <f t="shared" si="131"/>
        <v>-0.41379827008773773</v>
      </c>
      <c r="AI908">
        <f t="shared" si="132"/>
        <v>6</v>
      </c>
      <c r="AJ908" s="10">
        <f t="shared" si="133"/>
        <v>0.48677533284681102</v>
      </c>
    </row>
    <row r="909" spans="1:36" hidden="1" x14ac:dyDescent="0.25">
      <c r="A909" t="b">
        <v>0</v>
      </c>
      <c r="B909">
        <v>1000</v>
      </c>
      <c r="C909">
        <v>0.48677533284681102</v>
      </c>
      <c r="D909" t="s">
        <v>52</v>
      </c>
      <c r="E909" t="b">
        <v>1</v>
      </c>
      <c r="F909" t="s">
        <v>53</v>
      </c>
      <c r="G909">
        <v>7.4999999999999997E-2</v>
      </c>
      <c r="H909">
        <v>0.5</v>
      </c>
      <c r="I909">
        <v>1E-4</v>
      </c>
      <c r="J909" t="b">
        <v>1</v>
      </c>
      <c r="K909">
        <v>6</v>
      </c>
      <c r="L909">
        <v>1500</v>
      </c>
      <c r="M909">
        <v>0.5</v>
      </c>
      <c r="N909">
        <v>0.154</v>
      </c>
      <c r="O909" t="s">
        <v>401</v>
      </c>
      <c r="P909" t="s">
        <v>402</v>
      </c>
      <c r="Q909">
        <v>-2.6087057277161E-4</v>
      </c>
      <c r="R909">
        <v>2.4764127538010701E-3</v>
      </c>
      <c r="S909">
        <v>1.05622192717627E-3</v>
      </c>
      <c r="T909">
        <v>-1.35696603276684E-2</v>
      </c>
      <c r="U909">
        <v>5.9961349782148696</v>
      </c>
      <c r="V909" s="1">
        <v>9.9999999999987504E-15</v>
      </c>
      <c r="W909">
        <v>0.64129564209725098</v>
      </c>
      <c r="X909">
        <v>2.4999999999999898</v>
      </c>
      <c r="Y909">
        <v>28.838242223009601</v>
      </c>
      <c r="Z909">
        <v>0.49999999998857603</v>
      </c>
      <c r="AA909">
        <v>52.6745214816386</v>
      </c>
      <c r="AB909" s="9">
        <f t="shared" si="125"/>
        <v>-0.35687103193322961</v>
      </c>
      <c r="AC909" s="9">
        <f t="shared" si="126"/>
        <v>-0.37335676607625895</v>
      </c>
      <c r="AD909" s="2">
        <f t="shared" si="127"/>
        <v>4.6195215267889278E-2</v>
      </c>
      <c r="AE909" s="8">
        <f t="shared" si="128"/>
        <v>7.9079444711341908E-3</v>
      </c>
      <c r="AF909" s="2">
        <f t="shared" si="129"/>
        <v>-5.613592552388337E-3</v>
      </c>
      <c r="AG909" s="8">
        <f t="shared" si="130"/>
        <v>1.3521537023522528E-2</v>
      </c>
      <c r="AH909" s="7">
        <f t="shared" si="131"/>
        <v>-0.41515935227058431</v>
      </c>
      <c r="AI909">
        <f t="shared" si="132"/>
        <v>6</v>
      </c>
      <c r="AJ909" s="10">
        <f t="shared" si="133"/>
        <v>0.48677533284681102</v>
      </c>
    </row>
    <row r="910" spans="1:36" hidden="1" x14ac:dyDescent="0.25">
      <c r="A910" t="b">
        <v>0</v>
      </c>
      <c r="B910">
        <v>1000</v>
      </c>
      <c r="C910">
        <v>0.49690346859043699</v>
      </c>
      <c r="D910" t="s">
        <v>52</v>
      </c>
      <c r="E910" t="b">
        <v>1</v>
      </c>
      <c r="F910" t="s">
        <v>53</v>
      </c>
      <c r="G910">
        <v>7.4999999999999997E-2</v>
      </c>
      <c r="H910">
        <v>0.5</v>
      </c>
      <c r="I910">
        <v>1E-4</v>
      </c>
      <c r="J910" t="b">
        <v>1</v>
      </c>
      <c r="K910">
        <v>1</v>
      </c>
      <c r="L910">
        <v>1500</v>
      </c>
      <c r="M910">
        <v>0.75</v>
      </c>
      <c r="N910">
        <v>0.154</v>
      </c>
      <c r="O910" t="s">
        <v>403</v>
      </c>
      <c r="P910" t="s">
        <v>404</v>
      </c>
      <c r="Q910" s="1">
        <v>-2.68209579347075E-6</v>
      </c>
      <c r="R910" s="1">
        <v>9.5200248070366505E-7</v>
      </c>
      <c r="S910" s="1">
        <v>8.0428034255140096E-6</v>
      </c>
      <c r="T910" s="1">
        <v>-1.5877476744534299E-5</v>
      </c>
      <c r="U910">
        <v>1.38036684772275</v>
      </c>
      <c r="V910">
        <v>0</v>
      </c>
      <c r="W910">
        <v>2.4656077382990201E-2</v>
      </c>
      <c r="X910">
        <v>2</v>
      </c>
      <c r="Y910">
        <v>1.6100079934626601</v>
      </c>
      <c r="Z910">
        <v>2.5000000000000001E-4</v>
      </c>
      <c r="AA910">
        <v>1.42172034252393</v>
      </c>
      <c r="AB910" s="9">
        <f t="shared" si="125"/>
        <v>-1.9741221940308185</v>
      </c>
      <c r="AC910" s="9">
        <f t="shared" si="126"/>
        <v>-1.32919608403899</v>
      </c>
      <c r="AD910" s="2">
        <f t="shared" si="127"/>
        <v>-0.32669006606678186</v>
      </c>
      <c r="AE910" s="8">
        <f t="shared" si="128"/>
        <v>1.2071626057592959</v>
      </c>
      <c r="AF910" s="2">
        <f t="shared" si="129"/>
        <v>0.71025913716885891</v>
      </c>
      <c r="AG910" s="8">
        <f t="shared" si="130"/>
        <v>0.49690346859043699</v>
      </c>
      <c r="AH910" s="7">
        <f t="shared" si="131"/>
        <v>1.4293704553595623</v>
      </c>
      <c r="AI910">
        <f t="shared" si="132"/>
        <v>1</v>
      </c>
      <c r="AJ910" s="10">
        <f t="shared" si="133"/>
        <v>0.49690346859043699</v>
      </c>
    </row>
    <row r="911" spans="1:36" hidden="1" x14ac:dyDescent="0.25">
      <c r="A911" t="b">
        <v>0</v>
      </c>
      <c r="B911">
        <v>1000</v>
      </c>
      <c r="C911">
        <v>0.49690346859043699</v>
      </c>
      <c r="D911" t="s">
        <v>52</v>
      </c>
      <c r="E911" t="b">
        <v>1</v>
      </c>
      <c r="F911" t="s">
        <v>53</v>
      </c>
      <c r="G911">
        <v>7.4999999999999997E-2</v>
      </c>
      <c r="H911">
        <v>0.5</v>
      </c>
      <c r="I911">
        <v>1E-4</v>
      </c>
      <c r="J911" t="b">
        <v>1</v>
      </c>
      <c r="K911">
        <v>1</v>
      </c>
      <c r="L911">
        <v>1500</v>
      </c>
      <c r="M911">
        <v>0.75</v>
      </c>
      <c r="N911">
        <v>0.154</v>
      </c>
      <c r="O911" t="s">
        <v>403</v>
      </c>
      <c r="P911" t="s">
        <v>405</v>
      </c>
      <c r="Q911" s="1">
        <v>-2.1232339364528699E-5</v>
      </c>
      <c r="R911" s="1">
        <v>2.57032581530173E-6</v>
      </c>
      <c r="S911" s="1">
        <v>6.4313377502766696E-5</v>
      </c>
      <c r="T911">
        <v>-1.2693464422498601E-4</v>
      </c>
      <c r="U911">
        <v>1.38030650351991</v>
      </c>
      <c r="V911" s="1">
        <v>2.1785399473041898E-15</v>
      </c>
      <c r="W911">
        <v>1.2236664782141899E-2</v>
      </c>
      <c r="X911">
        <v>2.1100435846846</v>
      </c>
      <c r="Y911">
        <v>0.54812161433727402</v>
      </c>
      <c r="Z911">
        <v>2.5835944861906599E-4</v>
      </c>
      <c r="AA911">
        <v>0.53983890677424196</v>
      </c>
      <c r="AB911" s="9">
        <f t="shared" si="125"/>
        <v>-1.9736895985524225</v>
      </c>
      <c r="AC911" s="9">
        <f t="shared" si="126"/>
        <v>-1.32919608403899</v>
      </c>
      <c r="AD911" s="2">
        <f t="shared" si="127"/>
        <v>-0.3265424892476142</v>
      </c>
      <c r="AE911" s="8">
        <f t="shared" si="128"/>
        <v>1.2064603566782235</v>
      </c>
      <c r="AF911" s="2">
        <f t="shared" si="129"/>
        <v>0.7095568880877865</v>
      </c>
      <c r="AG911" s="8">
        <f t="shared" si="130"/>
        <v>0.49690346859043699</v>
      </c>
      <c r="AH911" s="7">
        <f t="shared" si="131"/>
        <v>1.4279572048482216</v>
      </c>
      <c r="AI911">
        <f t="shared" si="132"/>
        <v>1</v>
      </c>
      <c r="AJ911" s="10">
        <f t="shared" si="133"/>
        <v>0.49690346859043699</v>
      </c>
    </row>
    <row r="912" spans="1:36" hidden="1" x14ac:dyDescent="0.25">
      <c r="A912" t="b">
        <v>0</v>
      </c>
      <c r="B912">
        <v>1000</v>
      </c>
      <c r="C912">
        <v>0.49690346859043699</v>
      </c>
      <c r="D912" t="s">
        <v>52</v>
      </c>
      <c r="E912" t="b">
        <v>1</v>
      </c>
      <c r="F912" t="s">
        <v>53</v>
      </c>
      <c r="G912">
        <v>7.4999999999999997E-2</v>
      </c>
      <c r="H912">
        <v>0.5</v>
      </c>
      <c r="I912">
        <v>1E-4</v>
      </c>
      <c r="J912" t="b">
        <v>1</v>
      </c>
      <c r="K912">
        <v>1</v>
      </c>
      <c r="L912">
        <v>1500</v>
      </c>
      <c r="M912">
        <v>0.75</v>
      </c>
      <c r="N912">
        <v>0.154</v>
      </c>
      <c r="O912" t="s">
        <v>403</v>
      </c>
      <c r="P912" t="s">
        <v>406</v>
      </c>
      <c r="Q912" s="1">
        <v>-2.68209579347075E-6</v>
      </c>
      <c r="R912" s="1">
        <v>9.5200248069005005E-7</v>
      </c>
      <c r="S912" s="1">
        <v>8.0428034255105808E-6</v>
      </c>
      <c r="T912" s="1">
        <v>-1.5877476744325801E-5</v>
      </c>
      <c r="U912">
        <v>1.38036684769776</v>
      </c>
      <c r="V912">
        <v>0</v>
      </c>
      <c r="W912">
        <v>2.46560773826375E-2</v>
      </c>
      <c r="X912">
        <v>2</v>
      </c>
      <c r="Y912">
        <v>1.6100079934396401</v>
      </c>
      <c r="Z912">
        <v>2.5000000000000001E-4</v>
      </c>
      <c r="AA912">
        <v>1.4217203425036</v>
      </c>
      <c r="AB912" s="9">
        <f t="shared" si="125"/>
        <v>-1.9741221940057365</v>
      </c>
      <c r="AC912" s="9">
        <f t="shared" si="126"/>
        <v>-1.32919608403899</v>
      </c>
      <c r="AD912" s="2">
        <f t="shared" si="127"/>
        <v>-0.32669006605822726</v>
      </c>
      <c r="AE912" s="8">
        <f t="shared" si="128"/>
        <v>1.2071626057185665</v>
      </c>
      <c r="AF912" s="2">
        <f t="shared" si="129"/>
        <v>0.71025913712812949</v>
      </c>
      <c r="AG912" s="8">
        <f t="shared" si="130"/>
        <v>0.49690346859043699</v>
      </c>
      <c r="AH912" s="7">
        <f t="shared" si="131"/>
        <v>1.4293704552775959</v>
      </c>
      <c r="AI912">
        <f t="shared" si="132"/>
        <v>1</v>
      </c>
      <c r="AJ912" s="10">
        <f t="shared" si="133"/>
        <v>0.49690346859043699</v>
      </c>
    </row>
    <row r="913" spans="1:36" hidden="1" x14ac:dyDescent="0.25">
      <c r="A913" t="b">
        <v>0</v>
      </c>
      <c r="B913">
        <v>1000</v>
      </c>
      <c r="C913">
        <v>0.49690346859043699</v>
      </c>
      <c r="D913" t="s">
        <v>52</v>
      </c>
      <c r="E913" t="b">
        <v>1</v>
      </c>
      <c r="F913" t="s">
        <v>53</v>
      </c>
      <c r="G913">
        <v>7.4999999999999997E-2</v>
      </c>
      <c r="H913">
        <v>0.5</v>
      </c>
      <c r="I913">
        <v>1E-4</v>
      </c>
      <c r="J913" t="b">
        <v>1</v>
      </c>
      <c r="K913">
        <v>1</v>
      </c>
      <c r="L913">
        <v>1500</v>
      </c>
      <c r="M913">
        <v>0.75</v>
      </c>
      <c r="N913">
        <v>0.154</v>
      </c>
      <c r="O913" t="s">
        <v>403</v>
      </c>
      <c r="P913" t="s">
        <v>407</v>
      </c>
      <c r="Q913" s="1">
        <v>-5.3641680089027197E-6</v>
      </c>
      <c r="R913" s="1">
        <v>1.8904308413088899E-6</v>
      </c>
      <c r="S913" s="1">
        <v>1.6085536296882801E-5</v>
      </c>
      <c r="T913" s="1">
        <v>-3.1754559871194898E-5</v>
      </c>
      <c r="U913">
        <v>1.3803582210685601</v>
      </c>
      <c r="V913">
        <v>0</v>
      </c>
      <c r="W913">
        <v>2.4366129056454199E-2</v>
      </c>
      <c r="X913">
        <v>2</v>
      </c>
      <c r="Y913">
        <v>1.6072170600133999</v>
      </c>
      <c r="Z913">
        <v>2.5000000000000001E-4</v>
      </c>
      <c r="AA913">
        <v>1.4116059905548199</v>
      </c>
      <c r="AB913" s="9">
        <f t="shared" si="125"/>
        <v>-1.9741063825984204</v>
      </c>
      <c r="AC913" s="9">
        <f t="shared" si="126"/>
        <v>-1.32919608403899</v>
      </c>
      <c r="AD913" s="2">
        <f t="shared" si="127"/>
        <v>-0.3266846732497598</v>
      </c>
      <c r="AE913" s="8">
        <f t="shared" si="128"/>
        <v>1.2071369305750939</v>
      </c>
      <c r="AF913" s="2">
        <f t="shared" si="129"/>
        <v>0.71023346198465687</v>
      </c>
      <c r="AG913" s="8">
        <f t="shared" si="130"/>
        <v>0.49690346859043699</v>
      </c>
      <c r="AH913" s="7">
        <f t="shared" si="131"/>
        <v>1.4293187849933344</v>
      </c>
      <c r="AI913">
        <f t="shared" si="132"/>
        <v>1</v>
      </c>
      <c r="AJ913" s="10">
        <f t="shared" si="133"/>
        <v>0.49690346859043699</v>
      </c>
    </row>
    <row r="914" spans="1:36" hidden="1" x14ac:dyDescent="0.25">
      <c r="A914" t="b">
        <v>0</v>
      </c>
      <c r="B914">
        <v>1000</v>
      </c>
      <c r="C914">
        <v>0.49690346859043699</v>
      </c>
      <c r="D914" t="s">
        <v>52</v>
      </c>
      <c r="E914" t="b">
        <v>1</v>
      </c>
      <c r="F914" t="s">
        <v>53</v>
      </c>
      <c r="G914">
        <v>7.4999999999999997E-2</v>
      </c>
      <c r="H914">
        <v>0.5</v>
      </c>
      <c r="I914">
        <v>1E-4</v>
      </c>
      <c r="J914" t="b">
        <v>1</v>
      </c>
      <c r="K914">
        <v>1</v>
      </c>
      <c r="L914">
        <v>1500</v>
      </c>
      <c r="M914">
        <v>0.75</v>
      </c>
      <c r="N914">
        <v>0.154</v>
      </c>
      <c r="O914" t="s">
        <v>403</v>
      </c>
      <c r="P914" t="s">
        <v>408</v>
      </c>
      <c r="Q914" s="1">
        <v>-2.38873856941651E-5</v>
      </c>
      <c r="R914" s="1">
        <v>2.9065383402401599E-6</v>
      </c>
      <c r="S914" s="1">
        <v>7.23556168128469E-5</v>
      </c>
      <c r="T914">
        <v>-1.4280897430252201E-4</v>
      </c>
      <c r="U914">
        <v>1.38029787762823</v>
      </c>
      <c r="V914" s="1">
        <v>2.1793163562521001E-15</v>
      </c>
      <c r="W914">
        <v>1.24082750610672E-2</v>
      </c>
      <c r="X914">
        <v>2.11004446391282</v>
      </c>
      <c r="Y914">
        <v>0.54856151464613401</v>
      </c>
      <c r="Z914">
        <v>2.58359428923308E-4</v>
      </c>
      <c r="AA914">
        <v>0.54258756569144395</v>
      </c>
      <c r="AB914" s="9">
        <f t="shared" si="125"/>
        <v>-1.9737095832091083</v>
      </c>
      <c r="AC914" s="9">
        <f t="shared" si="126"/>
        <v>-1.32919608403899</v>
      </c>
      <c r="AD914" s="2">
        <f t="shared" si="127"/>
        <v>-0.32654930829397211</v>
      </c>
      <c r="AE914" s="8">
        <f t="shared" si="128"/>
        <v>1.2064927887041532</v>
      </c>
      <c r="AF914" s="2">
        <f t="shared" si="129"/>
        <v>0.70958932011371623</v>
      </c>
      <c r="AG914" s="8">
        <f t="shared" si="130"/>
        <v>0.49690346859043699</v>
      </c>
      <c r="AH914" s="7">
        <f t="shared" si="131"/>
        <v>1.4280224731105298</v>
      </c>
      <c r="AI914">
        <f t="shared" si="132"/>
        <v>1</v>
      </c>
      <c r="AJ914" s="10">
        <f t="shared" si="133"/>
        <v>0.49690346859043699</v>
      </c>
    </row>
    <row r="915" spans="1:36" hidden="1" x14ac:dyDescent="0.25">
      <c r="A915" t="b">
        <v>0</v>
      </c>
      <c r="B915">
        <v>1000</v>
      </c>
      <c r="C915">
        <v>0.49690346859043699</v>
      </c>
      <c r="D915" t="s">
        <v>52</v>
      </c>
      <c r="E915" t="b">
        <v>1</v>
      </c>
      <c r="F915" t="s">
        <v>53</v>
      </c>
      <c r="G915">
        <v>7.4999999999999997E-2</v>
      </c>
      <c r="H915">
        <v>0.5</v>
      </c>
      <c r="I915">
        <v>1E-4</v>
      </c>
      <c r="J915" t="b">
        <v>1</v>
      </c>
      <c r="K915">
        <v>1</v>
      </c>
      <c r="L915">
        <v>1500</v>
      </c>
      <c r="M915">
        <v>0.75</v>
      </c>
      <c r="N915">
        <v>0.154</v>
      </c>
      <c r="O915" t="s">
        <v>403</v>
      </c>
      <c r="P915" t="s">
        <v>409</v>
      </c>
      <c r="Q915" s="1">
        <v>-2.12323393645279E-5</v>
      </c>
      <c r="R915" s="1">
        <v>2.5872748108063001E-6</v>
      </c>
      <c r="S915" s="1">
        <v>6.4313377502767496E-5</v>
      </c>
      <c r="T915">
        <v>-1.2693464422517E-4</v>
      </c>
      <c r="U915">
        <v>1.3803065035058799</v>
      </c>
      <c r="V915" s="1">
        <v>2.17853994618895E-15</v>
      </c>
      <c r="W915">
        <v>1.27358356524973E-2</v>
      </c>
      <c r="X915">
        <v>2.11004358468479</v>
      </c>
      <c r="Y915">
        <v>0.54813857315841097</v>
      </c>
      <c r="Z915">
        <v>2.5835944861907998E-4</v>
      </c>
      <c r="AA915">
        <v>0.54337641518137103</v>
      </c>
      <c r="AB915" s="9">
        <f t="shared" si="125"/>
        <v>-1.9736895985552589</v>
      </c>
      <c r="AC915" s="9">
        <f t="shared" si="126"/>
        <v>-1.32919608403899</v>
      </c>
      <c r="AD915" s="2">
        <f t="shared" si="127"/>
        <v>-0.32654248924858209</v>
      </c>
      <c r="AE915" s="8">
        <f t="shared" si="128"/>
        <v>1.2064603566828263</v>
      </c>
      <c r="AF915" s="2">
        <f t="shared" si="129"/>
        <v>0.70955688809238926</v>
      </c>
      <c r="AG915" s="8">
        <f t="shared" si="130"/>
        <v>0.49690346859043699</v>
      </c>
      <c r="AH915" s="7">
        <f t="shared" si="131"/>
        <v>1.4279572048574845</v>
      </c>
      <c r="AI915">
        <f t="shared" si="132"/>
        <v>1</v>
      </c>
      <c r="AJ915" s="10">
        <f t="shared" si="133"/>
        <v>0.49690346859043699</v>
      </c>
    </row>
    <row r="916" spans="1:36" hidden="1" x14ac:dyDescent="0.25">
      <c r="A916" t="b">
        <v>0</v>
      </c>
      <c r="B916">
        <v>1000</v>
      </c>
      <c r="C916">
        <v>0.49690346859043699</v>
      </c>
      <c r="D916" t="s">
        <v>52</v>
      </c>
      <c r="E916" t="b">
        <v>1</v>
      </c>
      <c r="F916" t="s">
        <v>53</v>
      </c>
      <c r="G916">
        <v>7.4999999999999997E-2</v>
      </c>
      <c r="H916">
        <v>0.5</v>
      </c>
      <c r="I916">
        <v>1E-4</v>
      </c>
      <c r="J916" t="b">
        <v>1</v>
      </c>
      <c r="K916">
        <v>1</v>
      </c>
      <c r="L916">
        <v>1500</v>
      </c>
      <c r="M916">
        <v>0.75</v>
      </c>
      <c r="N916">
        <v>0.154</v>
      </c>
      <c r="O916" t="s">
        <v>403</v>
      </c>
      <c r="P916" t="s">
        <v>410</v>
      </c>
      <c r="Q916" s="1">
        <v>-2.3887385694163998E-5</v>
      </c>
      <c r="R916" s="1">
        <v>2.8904499662037801E-6</v>
      </c>
      <c r="S916" s="1">
        <v>7.2355616812848106E-5</v>
      </c>
      <c r="T916">
        <v>-1.4280897430278401E-4</v>
      </c>
      <c r="U916">
        <v>1.38029787779406</v>
      </c>
      <c r="V916" s="1">
        <v>2.1793163564957702E-15</v>
      </c>
      <c r="W916">
        <v>1.2276374567588601E-2</v>
      </c>
      <c r="X916">
        <v>2.11004446391307</v>
      </c>
      <c r="Y916">
        <v>0.54800999105255499</v>
      </c>
      <c r="Z916">
        <v>2.5835942892332698E-4</v>
      </c>
      <c r="AA916">
        <v>0.53958426937593995</v>
      </c>
      <c r="AB916" s="9">
        <f t="shared" si="125"/>
        <v>-1.9737095832126965</v>
      </c>
      <c r="AC916" s="9">
        <f t="shared" si="126"/>
        <v>-1.32919608403899</v>
      </c>
      <c r="AD916" s="2">
        <f t="shared" si="127"/>
        <v>-0.32654930829519646</v>
      </c>
      <c r="AE916" s="8">
        <f t="shared" si="128"/>
        <v>1.2064927887099766</v>
      </c>
      <c r="AF916" s="2">
        <f t="shared" si="129"/>
        <v>0.70958932011953957</v>
      </c>
      <c r="AG916" s="8">
        <f t="shared" si="130"/>
        <v>0.49690346859043699</v>
      </c>
      <c r="AH916" s="7">
        <f t="shared" si="131"/>
        <v>1.4280224731222488</v>
      </c>
      <c r="AI916">
        <f t="shared" si="132"/>
        <v>1</v>
      </c>
      <c r="AJ916" s="10">
        <f t="shared" si="133"/>
        <v>0.49690346859043699</v>
      </c>
    </row>
    <row r="917" spans="1:36" hidden="1" x14ac:dyDescent="0.25">
      <c r="A917" t="b">
        <v>0</v>
      </c>
      <c r="B917">
        <v>1000</v>
      </c>
      <c r="C917">
        <v>0.49690346859043699</v>
      </c>
      <c r="D917" t="s">
        <v>52</v>
      </c>
      <c r="E917" t="b">
        <v>1</v>
      </c>
      <c r="F917" t="s">
        <v>53</v>
      </c>
      <c r="G917">
        <v>7.4999999999999997E-2</v>
      </c>
      <c r="H917">
        <v>0.5</v>
      </c>
      <c r="I917">
        <v>1E-4</v>
      </c>
      <c r="J917" t="b">
        <v>1</v>
      </c>
      <c r="K917">
        <v>1</v>
      </c>
      <c r="L917">
        <v>1500</v>
      </c>
      <c r="M917">
        <v>0.75</v>
      </c>
      <c r="N917">
        <v>0.154</v>
      </c>
      <c r="O917" t="s">
        <v>403</v>
      </c>
      <c r="P917" t="s">
        <v>411</v>
      </c>
      <c r="Q917" s="1">
        <v>-4.2463287038439299E-5</v>
      </c>
      <c r="R917" s="1">
        <v>5.1415321186847004E-6</v>
      </c>
      <c r="S917">
        <v>1.2862224462224E-4</v>
      </c>
      <c r="T917">
        <v>-2.5384413331060602E-4</v>
      </c>
      <c r="U917">
        <v>1.38023753941514</v>
      </c>
      <c r="V917" s="1">
        <v>2.1782256568733899E-15</v>
      </c>
      <c r="W917">
        <v>1.26907859789437E-2</v>
      </c>
      <c r="X917">
        <v>2.11003796250814</v>
      </c>
      <c r="Y917">
        <v>0.54732500541544904</v>
      </c>
      <c r="Z917">
        <v>2.58359558467285E-4</v>
      </c>
      <c r="AA917">
        <v>0.539942818578942</v>
      </c>
      <c r="AB917" s="9">
        <f t="shared" si="125"/>
        <v>-1.9735632359405582</v>
      </c>
      <c r="AC917" s="9">
        <f t="shared" si="126"/>
        <v>-1.32919608403899</v>
      </c>
      <c r="AD917" s="2">
        <f t="shared" si="127"/>
        <v>-0.3264993693472793</v>
      </c>
      <c r="AE917" s="8">
        <f t="shared" si="128"/>
        <v>1.2062553116532004</v>
      </c>
      <c r="AF917" s="2">
        <f t="shared" si="129"/>
        <v>0.70935184306276344</v>
      </c>
      <c r="AG917" s="8">
        <f t="shared" si="130"/>
        <v>0.49690346859043699</v>
      </c>
      <c r="AH917" s="7">
        <f t="shared" si="131"/>
        <v>1.427544559258114</v>
      </c>
      <c r="AI917">
        <f t="shared" si="132"/>
        <v>1</v>
      </c>
      <c r="AJ917" s="10">
        <f t="shared" si="133"/>
        <v>0.49690346859043699</v>
      </c>
    </row>
    <row r="918" spans="1:36" hidden="1" x14ac:dyDescent="0.25">
      <c r="A918" t="b">
        <v>0</v>
      </c>
      <c r="B918">
        <v>1000</v>
      </c>
      <c r="C918">
        <v>0.49690346859043699</v>
      </c>
      <c r="D918" t="s">
        <v>52</v>
      </c>
      <c r="E918" t="b">
        <v>1</v>
      </c>
      <c r="F918" t="s">
        <v>53</v>
      </c>
      <c r="G918">
        <v>7.4999999999999997E-2</v>
      </c>
      <c r="H918">
        <v>0.5</v>
      </c>
      <c r="I918">
        <v>1E-4</v>
      </c>
      <c r="J918" t="b">
        <v>1</v>
      </c>
      <c r="K918">
        <v>1</v>
      </c>
      <c r="L918">
        <v>1500</v>
      </c>
      <c r="M918">
        <v>0.75</v>
      </c>
      <c r="N918">
        <v>0.154</v>
      </c>
      <c r="O918" t="s">
        <v>404</v>
      </c>
      <c r="P918" t="s">
        <v>405</v>
      </c>
      <c r="Q918" s="1">
        <v>-1.8577118978652199E-5</v>
      </c>
      <c r="R918" s="1">
        <v>2.35741870658802E-6</v>
      </c>
      <c r="S918" s="1">
        <v>5.6270574077253401E-5</v>
      </c>
      <c r="T918">
        <v>-1.11057167480429E-4</v>
      </c>
      <c r="U918">
        <v>1.3802978767768601</v>
      </c>
      <c r="V918" s="1">
        <v>2.1779941083245401E-15</v>
      </c>
      <c r="W918">
        <v>1.45747608651934E-2</v>
      </c>
      <c r="X918">
        <v>2.11004084644357</v>
      </c>
      <c r="Y918">
        <v>0.55027674047239805</v>
      </c>
      <c r="Z918">
        <v>2.5835950553017799E-4</v>
      </c>
      <c r="AA918">
        <v>0.56579459266388799</v>
      </c>
      <c r="AB918" s="9">
        <f t="shared" si="125"/>
        <v>-1.9736277672937821</v>
      </c>
      <c r="AC918" s="9">
        <f t="shared" si="126"/>
        <v>-1.32919608403899</v>
      </c>
      <c r="AD918" s="2">
        <f t="shared" si="127"/>
        <v>-0.3265213906766371</v>
      </c>
      <c r="AE918" s="8">
        <f t="shared" si="128"/>
        <v>1.2063600200874194</v>
      </c>
      <c r="AF918" s="2">
        <f t="shared" si="129"/>
        <v>0.70945655149698239</v>
      </c>
      <c r="AG918" s="8">
        <f t="shared" si="130"/>
        <v>0.49690346859043699</v>
      </c>
      <c r="AH918" s="7">
        <f t="shared" si="131"/>
        <v>1.4277552811404062</v>
      </c>
      <c r="AI918">
        <f t="shared" si="132"/>
        <v>1</v>
      </c>
      <c r="AJ918" s="10">
        <f t="shared" si="133"/>
        <v>0.49690346859043699</v>
      </c>
    </row>
    <row r="919" spans="1:36" hidden="1" x14ac:dyDescent="0.25">
      <c r="A919" t="b">
        <v>0</v>
      </c>
      <c r="B919">
        <v>1000</v>
      </c>
      <c r="C919">
        <v>0.49690346859043699</v>
      </c>
      <c r="D919" t="s">
        <v>52</v>
      </c>
      <c r="E919" t="b">
        <v>1</v>
      </c>
      <c r="F919" t="s">
        <v>53</v>
      </c>
      <c r="G919">
        <v>7.4999999999999997E-2</v>
      </c>
      <c r="H919">
        <v>0.5</v>
      </c>
      <c r="I919">
        <v>1E-4</v>
      </c>
      <c r="J919" t="b">
        <v>1</v>
      </c>
      <c r="K919">
        <v>1</v>
      </c>
      <c r="L919">
        <v>1500</v>
      </c>
      <c r="M919">
        <v>0.75</v>
      </c>
      <c r="N919">
        <v>0.154</v>
      </c>
      <c r="O919" t="s">
        <v>404</v>
      </c>
      <c r="P919" t="s">
        <v>406</v>
      </c>
      <c r="Q919" s="1">
        <v>-1E-10</v>
      </c>
      <c r="R919" s="1">
        <v>3.5857858103646601E-12</v>
      </c>
      <c r="S919" s="1">
        <v>1.5357010430212401E-17</v>
      </c>
      <c r="T919" s="1">
        <v>7.4872339141489697E-17</v>
      </c>
      <c r="U919">
        <v>1.3803582209547101</v>
      </c>
      <c r="V919">
        <v>0</v>
      </c>
      <c r="W919">
        <v>6.8474545936757503E-2</v>
      </c>
      <c r="X919">
        <v>2</v>
      </c>
      <c r="Y919">
        <v>4.0005662782916698E-3</v>
      </c>
      <c r="Z919">
        <v>2.5000000000000001E-4</v>
      </c>
      <c r="AA919">
        <v>4.79335281869711E-3</v>
      </c>
      <c r="AB919" s="9">
        <f t="shared" si="125"/>
        <v>4.8754501718765937</v>
      </c>
      <c r="AC919" s="9">
        <f t="shared" si="126"/>
        <v>-1.32919608403899</v>
      </c>
      <c r="AD919" s="2">
        <f t="shared" si="127"/>
        <v>-1.2726304314843144</v>
      </c>
      <c r="AE919" s="8">
        <f t="shared" si="128"/>
        <v>-0.63453780964061623</v>
      </c>
      <c r="AF919" s="2">
        <f t="shared" si="129"/>
        <v>-1.1314412782310532</v>
      </c>
      <c r="AG919" s="8">
        <f t="shared" si="130"/>
        <v>0.49690346859043699</v>
      </c>
      <c r="AH919" s="7">
        <f t="shared" si="131"/>
        <v>-2.2769840617949515</v>
      </c>
      <c r="AI919">
        <f t="shared" si="132"/>
        <v>1</v>
      </c>
      <c r="AJ919" s="10">
        <f t="shared" si="133"/>
        <v>0.49690346859043699</v>
      </c>
    </row>
    <row r="920" spans="1:36" hidden="1" x14ac:dyDescent="0.25">
      <c r="A920" t="b">
        <v>0</v>
      </c>
      <c r="B920">
        <v>1000</v>
      </c>
      <c r="C920">
        <v>0.49690346859043699</v>
      </c>
      <c r="D920" t="s">
        <v>52</v>
      </c>
      <c r="E920" t="b">
        <v>1</v>
      </c>
      <c r="F920" t="s">
        <v>53</v>
      </c>
      <c r="G920">
        <v>7.4999999999999997E-2</v>
      </c>
      <c r="H920">
        <v>0.5</v>
      </c>
      <c r="I920">
        <v>1E-4</v>
      </c>
      <c r="J920" t="b">
        <v>1</v>
      </c>
      <c r="K920">
        <v>1</v>
      </c>
      <c r="L920">
        <v>1500</v>
      </c>
      <c r="M920">
        <v>0.75</v>
      </c>
      <c r="N920">
        <v>0.154</v>
      </c>
      <c r="O920" t="s">
        <v>404</v>
      </c>
      <c r="P920" t="s">
        <v>407</v>
      </c>
      <c r="Q920" s="1">
        <v>-2.6820722154773698E-6</v>
      </c>
      <c r="R920" s="1">
        <v>9.5238530195984103E-7</v>
      </c>
      <c r="S920" s="1">
        <v>8.0427328713786301E-6</v>
      </c>
      <c r="T920" s="1">
        <v>-1.5877083127030399E-5</v>
      </c>
      <c r="U920">
        <v>1.38034959432552</v>
      </c>
      <c r="V920">
        <v>0</v>
      </c>
      <c r="W920">
        <v>2.43685916711491E-2</v>
      </c>
      <c r="X920">
        <v>2</v>
      </c>
      <c r="Y920">
        <v>1.6106762322774899</v>
      </c>
      <c r="Z920">
        <v>2.5000000000000001E-4</v>
      </c>
      <c r="AA920">
        <v>1.4222997062732099</v>
      </c>
      <c r="AB920" s="9">
        <f t="shared" si="125"/>
        <v>-1.9740905710708827</v>
      </c>
      <c r="AC920" s="9">
        <f t="shared" si="126"/>
        <v>-1.32919608403899</v>
      </c>
      <c r="AD920" s="2">
        <f t="shared" si="127"/>
        <v>-0.32667928031390048</v>
      </c>
      <c r="AE920" s="8">
        <f t="shared" si="128"/>
        <v>1.2071112558337407</v>
      </c>
      <c r="AF920" s="2">
        <f t="shared" si="129"/>
        <v>0.71020778724330369</v>
      </c>
      <c r="AG920" s="8">
        <f t="shared" si="130"/>
        <v>0.49690346859043699</v>
      </c>
      <c r="AH920" s="7">
        <f t="shared" si="131"/>
        <v>1.4292671155183234</v>
      </c>
      <c r="AI920">
        <f t="shared" si="132"/>
        <v>1</v>
      </c>
      <c r="AJ920" s="10">
        <f t="shared" si="133"/>
        <v>0.49690346859043699</v>
      </c>
    </row>
    <row r="921" spans="1:36" hidden="1" x14ac:dyDescent="0.25">
      <c r="A921" t="b">
        <v>0</v>
      </c>
      <c r="B921">
        <v>1000</v>
      </c>
      <c r="C921">
        <v>0.49690346859043699</v>
      </c>
      <c r="D921" t="s">
        <v>52</v>
      </c>
      <c r="E921" t="b">
        <v>1</v>
      </c>
      <c r="F921" t="s">
        <v>53</v>
      </c>
      <c r="G921">
        <v>7.4999999999999997E-2</v>
      </c>
      <c r="H921">
        <v>0.5</v>
      </c>
      <c r="I921">
        <v>1E-4</v>
      </c>
      <c r="J921" t="b">
        <v>1</v>
      </c>
      <c r="K921">
        <v>1</v>
      </c>
      <c r="L921">
        <v>1500</v>
      </c>
      <c r="M921">
        <v>0.75</v>
      </c>
      <c r="N921">
        <v>0.154</v>
      </c>
      <c r="O921" t="s">
        <v>404</v>
      </c>
      <c r="P921" t="s">
        <v>408</v>
      </c>
      <c r="Q921" s="1">
        <v>-2.1232165308237401E-5</v>
      </c>
      <c r="R921" s="1">
        <v>2.62808093019268E-6</v>
      </c>
      <c r="S921" s="1">
        <v>6.4312813387334595E-5</v>
      </c>
      <c r="T921">
        <v>-1.2693149755811E-4</v>
      </c>
      <c r="U921">
        <v>1.3802892508851801</v>
      </c>
      <c r="V921" s="1">
        <v>2.1790301998571899E-15</v>
      </c>
      <c r="W921">
        <v>1.2818310122189499E-2</v>
      </c>
      <c r="X921">
        <v>2.1100421783096701</v>
      </c>
      <c r="Y921">
        <v>0.550314373050244</v>
      </c>
      <c r="Z921">
        <v>2.5835947628268901E-4</v>
      </c>
      <c r="AA921">
        <v>0.55193481812636802</v>
      </c>
      <c r="AB921" s="9">
        <f t="shared" si="125"/>
        <v>-1.9736579831089642</v>
      </c>
      <c r="AC921" s="9">
        <f t="shared" si="126"/>
        <v>-1.32919608403899</v>
      </c>
      <c r="AD921" s="2">
        <f t="shared" si="127"/>
        <v>-0.32653170133094633</v>
      </c>
      <c r="AE921" s="8">
        <f t="shared" si="128"/>
        <v>1.2064090516202637</v>
      </c>
      <c r="AF921" s="2">
        <f t="shared" si="129"/>
        <v>0.70950558302982669</v>
      </c>
      <c r="AG921" s="8">
        <f t="shared" si="130"/>
        <v>0.49690346859043699</v>
      </c>
      <c r="AH921" s="7">
        <f t="shared" si="131"/>
        <v>1.4278539553013723</v>
      </c>
      <c r="AI921">
        <f t="shared" si="132"/>
        <v>1</v>
      </c>
      <c r="AJ921" s="10">
        <f t="shared" si="133"/>
        <v>0.49690346859043699</v>
      </c>
    </row>
    <row r="922" spans="1:36" hidden="1" x14ac:dyDescent="0.25">
      <c r="A922" t="b">
        <v>0</v>
      </c>
      <c r="B922">
        <v>1000</v>
      </c>
      <c r="C922">
        <v>0.49690346859043699</v>
      </c>
      <c r="D922" t="s">
        <v>52</v>
      </c>
      <c r="E922" t="b">
        <v>1</v>
      </c>
      <c r="F922" t="s">
        <v>53</v>
      </c>
      <c r="G922">
        <v>7.4999999999999997E-2</v>
      </c>
      <c r="H922">
        <v>0.5</v>
      </c>
      <c r="I922">
        <v>1E-4</v>
      </c>
      <c r="J922" t="b">
        <v>1</v>
      </c>
      <c r="K922">
        <v>1</v>
      </c>
      <c r="L922">
        <v>1500</v>
      </c>
      <c r="M922">
        <v>0.75</v>
      </c>
      <c r="N922">
        <v>0.154</v>
      </c>
      <c r="O922" t="s">
        <v>404</v>
      </c>
      <c r="P922" t="s">
        <v>409</v>
      </c>
      <c r="Q922" s="1">
        <v>-1.8577118978651301E-5</v>
      </c>
      <c r="R922" s="1">
        <v>2.3558089930565198E-6</v>
      </c>
      <c r="S922" s="1">
        <v>5.6270574077257697E-5</v>
      </c>
      <c r="T922">
        <v>-1.11057167480837E-4</v>
      </c>
      <c r="U922">
        <v>1.38029787676283</v>
      </c>
      <c r="V922" s="1">
        <v>2.1779941065127802E-15</v>
      </c>
      <c r="W922">
        <v>1.4953232503271199E-2</v>
      </c>
      <c r="X922">
        <v>2.11004084644423</v>
      </c>
      <c r="Y922">
        <v>0.54926822418321797</v>
      </c>
      <c r="Z922">
        <v>2.5835950553025502E-4</v>
      </c>
      <c r="AA922">
        <v>0.56539438687605303</v>
      </c>
      <c r="AB922" s="9">
        <f t="shared" si="125"/>
        <v>-1.973627767300882</v>
      </c>
      <c r="AC922" s="9">
        <f t="shared" si="126"/>
        <v>-1.32919608403899</v>
      </c>
      <c r="AD922" s="2">
        <f t="shared" si="127"/>
        <v>-0.32652139067905983</v>
      </c>
      <c r="AE922" s="8">
        <f t="shared" si="128"/>
        <v>1.2063600200989399</v>
      </c>
      <c r="AF922" s="2">
        <f t="shared" si="129"/>
        <v>0.70945655150850295</v>
      </c>
      <c r="AG922" s="8">
        <f t="shared" si="130"/>
        <v>0.49690346859043699</v>
      </c>
      <c r="AH922" s="7">
        <f t="shared" si="131"/>
        <v>1.427755281163591</v>
      </c>
      <c r="AI922">
        <f t="shared" si="132"/>
        <v>1</v>
      </c>
      <c r="AJ922" s="10">
        <f t="shared" si="133"/>
        <v>0.49690346859043699</v>
      </c>
    </row>
    <row r="923" spans="1:36" hidden="1" x14ac:dyDescent="0.25">
      <c r="A923" t="b">
        <v>0</v>
      </c>
      <c r="B923">
        <v>1000</v>
      </c>
      <c r="C923">
        <v>0.49690346859043699</v>
      </c>
      <c r="D923" t="s">
        <v>52</v>
      </c>
      <c r="E923" t="b">
        <v>1</v>
      </c>
      <c r="F923" t="s">
        <v>53</v>
      </c>
      <c r="G923">
        <v>7.4999999999999997E-2</v>
      </c>
      <c r="H923">
        <v>0.5</v>
      </c>
      <c r="I923">
        <v>1E-4</v>
      </c>
      <c r="J923" t="b">
        <v>1</v>
      </c>
      <c r="K923">
        <v>1</v>
      </c>
      <c r="L923">
        <v>1500</v>
      </c>
      <c r="M923">
        <v>0.75</v>
      </c>
      <c r="N923">
        <v>0.154</v>
      </c>
      <c r="O923" t="s">
        <v>404</v>
      </c>
      <c r="P923" t="s">
        <v>410</v>
      </c>
      <c r="Q923" s="1">
        <v>-2.12321653082363E-5</v>
      </c>
      <c r="R923" s="1">
        <v>2.60610752274087E-6</v>
      </c>
      <c r="S923" s="1">
        <v>6.43128133873345E-5</v>
      </c>
      <c r="T923">
        <v>-1.26931497558288E-4</v>
      </c>
      <c r="U923">
        <v>1.3802892510510201</v>
      </c>
      <c r="V923" s="1">
        <v>2.1790301988287102E-15</v>
      </c>
      <c r="W923">
        <v>1.2593073488512701E-2</v>
      </c>
      <c r="X923">
        <v>2.11004217830979</v>
      </c>
      <c r="Y923">
        <v>0.54943261432111101</v>
      </c>
      <c r="Z923">
        <v>2.5835947628268701E-4</v>
      </c>
      <c r="AA923">
        <v>0.54732326484338301</v>
      </c>
      <c r="AB923" s="9">
        <f t="shared" si="125"/>
        <v>-1.9736579831117349</v>
      </c>
      <c r="AC923" s="9">
        <f t="shared" si="126"/>
        <v>-1.32919608403899</v>
      </c>
      <c r="AD923" s="2">
        <f t="shared" si="127"/>
        <v>-0.3265317013318918</v>
      </c>
      <c r="AE923" s="8">
        <f t="shared" si="128"/>
        <v>1.2064090516247594</v>
      </c>
      <c r="AF923" s="2">
        <f t="shared" si="129"/>
        <v>0.70950558303432243</v>
      </c>
      <c r="AG923" s="8">
        <f t="shared" si="130"/>
        <v>0.49690346859043699</v>
      </c>
      <c r="AH923" s="7">
        <f t="shared" si="131"/>
        <v>1.4278539553104199</v>
      </c>
      <c r="AI923">
        <f t="shared" si="132"/>
        <v>1</v>
      </c>
      <c r="AJ923" s="10">
        <f t="shared" si="133"/>
        <v>0.49690346859043699</v>
      </c>
    </row>
    <row r="924" spans="1:36" hidden="1" x14ac:dyDescent="0.25">
      <c r="A924" t="b">
        <v>0</v>
      </c>
      <c r="B924">
        <v>1000</v>
      </c>
      <c r="C924">
        <v>0.49690346859043699</v>
      </c>
      <c r="D924" t="s">
        <v>52</v>
      </c>
      <c r="E924" t="b">
        <v>1</v>
      </c>
      <c r="F924" t="s">
        <v>53</v>
      </c>
      <c r="G924">
        <v>7.4999999999999997E-2</v>
      </c>
      <c r="H924">
        <v>0.5</v>
      </c>
      <c r="I924">
        <v>1E-4</v>
      </c>
      <c r="J924" t="b">
        <v>1</v>
      </c>
      <c r="K924">
        <v>1</v>
      </c>
      <c r="L924">
        <v>1500</v>
      </c>
      <c r="M924">
        <v>0.75</v>
      </c>
      <c r="N924">
        <v>0.154</v>
      </c>
      <c r="O924" t="s">
        <v>404</v>
      </c>
      <c r="P924" t="s">
        <v>411</v>
      </c>
      <c r="Q924" s="1">
        <v>-3.9808066652074799E-5</v>
      </c>
      <c r="R924" s="1">
        <v>5.0491389637876098E-6</v>
      </c>
      <c r="S924">
        <v>1.2057944119673E-4</v>
      </c>
      <c r="T924">
        <v>-2.37966656566294E-4</v>
      </c>
      <c r="U924">
        <v>1.3802289126720999</v>
      </c>
      <c r="V924" s="1">
        <v>2.1785658534386598E-15</v>
      </c>
      <c r="W924">
        <v>1.5006773938019E-2</v>
      </c>
      <c r="X924">
        <v>2.1100363091112002</v>
      </c>
      <c r="Y924">
        <v>0.54911154774642001</v>
      </c>
      <c r="Z924">
        <v>2.5835959231479199E-4</v>
      </c>
      <c r="AA924">
        <v>0.56551316605763902</v>
      </c>
      <c r="AB924" s="9">
        <f t="shared" si="125"/>
        <v>-1.9735259527205988</v>
      </c>
      <c r="AC924" s="9">
        <f t="shared" si="126"/>
        <v>-1.32919608403899</v>
      </c>
      <c r="AD924" s="2">
        <f t="shared" si="127"/>
        <v>-0.32648664578916209</v>
      </c>
      <c r="AE924" s="8">
        <f t="shared" si="128"/>
        <v>1.2061948205106729</v>
      </c>
      <c r="AF924" s="2">
        <f t="shared" si="129"/>
        <v>0.70929135192023596</v>
      </c>
      <c r="AG924" s="8">
        <f t="shared" si="130"/>
        <v>0.49690346859043699</v>
      </c>
      <c r="AH924" s="7">
        <f t="shared" si="131"/>
        <v>1.4274228230530939</v>
      </c>
      <c r="AI924">
        <f t="shared" si="132"/>
        <v>1</v>
      </c>
      <c r="AJ924" s="10">
        <f t="shared" si="133"/>
        <v>0.49690346859043699</v>
      </c>
    </row>
    <row r="925" spans="1:36" hidden="1" x14ac:dyDescent="0.25">
      <c r="A925" t="b">
        <v>0</v>
      </c>
      <c r="B925">
        <v>1000</v>
      </c>
      <c r="C925">
        <v>0.49690346859043699</v>
      </c>
      <c r="D925" t="s">
        <v>52</v>
      </c>
      <c r="E925" t="b">
        <v>1</v>
      </c>
      <c r="F925" t="s">
        <v>53</v>
      </c>
      <c r="G925">
        <v>7.4999999999999997E-2</v>
      </c>
      <c r="H925">
        <v>0.5</v>
      </c>
      <c r="I925">
        <v>1E-4</v>
      </c>
      <c r="J925" t="b">
        <v>1</v>
      </c>
      <c r="K925">
        <v>1</v>
      </c>
      <c r="L925">
        <v>1500</v>
      </c>
      <c r="M925">
        <v>0.75</v>
      </c>
      <c r="N925">
        <v>0.154</v>
      </c>
      <c r="O925" t="s">
        <v>405</v>
      </c>
      <c r="P925" t="s">
        <v>408</v>
      </c>
      <c r="Q925" s="1">
        <v>-2.6819072763195701E-6</v>
      </c>
      <c r="R925" s="1">
        <v>9.4897687928664296E-7</v>
      </c>
      <c r="S925" s="1">
        <v>8.0422393100794097E-6</v>
      </c>
      <c r="T925" s="1">
        <v>-1.5874330077562499E-5</v>
      </c>
      <c r="U925">
        <v>1.3802289066823401</v>
      </c>
      <c r="V925">
        <v>0</v>
      </c>
      <c r="W925">
        <v>2.4455104821729998E-2</v>
      </c>
      <c r="X925">
        <v>2</v>
      </c>
      <c r="Y925">
        <v>1.60840361519511</v>
      </c>
      <c r="Z925">
        <v>2.5000000000000001E-4</v>
      </c>
      <c r="AA925">
        <v>1.4173198062193899</v>
      </c>
      <c r="AB925" s="9">
        <f t="shared" si="125"/>
        <v>-1.973869399492634</v>
      </c>
      <c r="AC925" s="9">
        <f t="shared" si="126"/>
        <v>-1.32919608403899</v>
      </c>
      <c r="AD925" s="2">
        <f t="shared" si="127"/>
        <v>-0.32660383489371259</v>
      </c>
      <c r="AE925" s="8">
        <f t="shared" si="128"/>
        <v>1.2067521802689742</v>
      </c>
      <c r="AF925" s="2">
        <f t="shared" si="129"/>
        <v>0.70984871167853725</v>
      </c>
      <c r="AG925" s="8">
        <f t="shared" si="130"/>
        <v>0.49690346859043699</v>
      </c>
      <c r="AH925" s="7">
        <f t="shared" si="131"/>
        <v>1.4285444891180992</v>
      </c>
      <c r="AI925">
        <f t="shared" si="132"/>
        <v>1</v>
      </c>
      <c r="AJ925" s="10">
        <f t="shared" si="133"/>
        <v>0.49690346859043699</v>
      </c>
    </row>
    <row r="926" spans="1:36" hidden="1" x14ac:dyDescent="0.25">
      <c r="A926" t="b">
        <v>0</v>
      </c>
      <c r="B926">
        <v>1000</v>
      </c>
      <c r="C926">
        <v>0.49690346859043699</v>
      </c>
      <c r="D926" t="s">
        <v>52</v>
      </c>
      <c r="E926" t="b">
        <v>1</v>
      </c>
      <c r="F926" t="s">
        <v>53</v>
      </c>
      <c r="G926">
        <v>7.4999999999999997E-2</v>
      </c>
      <c r="H926">
        <v>0.5</v>
      </c>
      <c r="I926">
        <v>1E-4</v>
      </c>
      <c r="J926" t="b">
        <v>1</v>
      </c>
      <c r="K926">
        <v>1</v>
      </c>
      <c r="L926">
        <v>1500</v>
      </c>
      <c r="M926">
        <v>0.75</v>
      </c>
      <c r="N926">
        <v>0.154</v>
      </c>
      <c r="O926" t="s">
        <v>405</v>
      </c>
      <c r="P926" t="s">
        <v>409</v>
      </c>
      <c r="Q926" s="1">
        <v>-1E-10</v>
      </c>
      <c r="R926" s="1">
        <v>3.58578584227238E-12</v>
      </c>
      <c r="S926" s="1">
        <v>2.08240348412144E-17</v>
      </c>
      <c r="T926" s="1">
        <v>-3.4792535206871699E-16</v>
      </c>
      <c r="U926">
        <v>1.38023753255999</v>
      </c>
      <c r="V926">
        <v>0</v>
      </c>
      <c r="W926">
        <v>6.84745465460707E-2</v>
      </c>
      <c r="X926">
        <v>2</v>
      </c>
      <c r="Y926">
        <v>4.0005663138902598E-3</v>
      </c>
      <c r="Z926">
        <v>2.5000000000000001E-4</v>
      </c>
      <c r="AA926">
        <v>4.7933528613502297E-3</v>
      </c>
      <c r="AB926" s="9">
        <f t="shared" si="125"/>
        <v>-16.707874085002583</v>
      </c>
      <c r="AC926" s="9">
        <f t="shared" si="126"/>
        <v>-1.32919608403899</v>
      </c>
      <c r="AD926" s="2">
        <f t="shared" si="127"/>
        <v>-0.92044493049943976</v>
      </c>
      <c r="AE926" s="8">
        <f t="shared" si="128"/>
        <v>-1.2243067672903518</v>
      </c>
      <c r="AF926" s="2">
        <f t="shared" si="129"/>
        <v>-1.7212102358807888</v>
      </c>
      <c r="AG926" s="8">
        <f t="shared" si="130"/>
        <v>0.49690346859043699</v>
      </c>
      <c r="AH926" s="7">
        <f t="shared" si="131"/>
        <v>-3.463872451450853</v>
      </c>
      <c r="AI926">
        <f t="shared" si="132"/>
        <v>1</v>
      </c>
      <c r="AJ926" s="10">
        <f t="shared" si="133"/>
        <v>0.49690346859043699</v>
      </c>
    </row>
    <row r="927" spans="1:36" hidden="1" x14ac:dyDescent="0.25">
      <c r="A927" t="b">
        <v>0</v>
      </c>
      <c r="B927">
        <v>1000</v>
      </c>
      <c r="C927">
        <v>0.49690346859043699</v>
      </c>
      <c r="D927" t="s">
        <v>52</v>
      </c>
      <c r="E927" t="b">
        <v>1</v>
      </c>
      <c r="F927" t="s">
        <v>53</v>
      </c>
      <c r="G927">
        <v>7.4999999999999997E-2</v>
      </c>
      <c r="H927">
        <v>0.5</v>
      </c>
      <c r="I927">
        <v>1E-4</v>
      </c>
      <c r="J927" t="b">
        <v>1</v>
      </c>
      <c r="K927">
        <v>1</v>
      </c>
      <c r="L927">
        <v>1500</v>
      </c>
      <c r="M927">
        <v>0.75</v>
      </c>
      <c r="N927">
        <v>0.154</v>
      </c>
      <c r="O927" t="s">
        <v>405</v>
      </c>
      <c r="P927" t="s">
        <v>410</v>
      </c>
      <c r="Q927" s="1">
        <v>-2.6819072762455602E-6</v>
      </c>
      <c r="R927" s="1">
        <v>9.4501915628111497E-7</v>
      </c>
      <c r="S927" s="1">
        <v>8.0422393100806294E-6</v>
      </c>
      <c r="T927" s="1">
        <v>-1.5874330077669201E-5</v>
      </c>
      <c r="U927">
        <v>1.3802289068481799</v>
      </c>
      <c r="V927">
        <v>0</v>
      </c>
      <c r="W927">
        <v>2.39063259530632E-2</v>
      </c>
      <c r="X927">
        <v>2</v>
      </c>
      <c r="Y927">
        <v>1.60733658376362</v>
      </c>
      <c r="Z927">
        <v>2.5000000000000001E-4</v>
      </c>
      <c r="AA927">
        <v>1.4114078619435499</v>
      </c>
      <c r="AB927" s="9">
        <f t="shared" si="125"/>
        <v>-1.9738693995056023</v>
      </c>
      <c r="AC927" s="9">
        <f t="shared" si="126"/>
        <v>-1.32919608403899</v>
      </c>
      <c r="AD927" s="2">
        <f t="shared" si="127"/>
        <v>-0.32660383489813682</v>
      </c>
      <c r="AE927" s="8">
        <f t="shared" si="128"/>
        <v>1.206752180290025</v>
      </c>
      <c r="AF927" s="2">
        <f t="shared" si="129"/>
        <v>0.70984871169958796</v>
      </c>
      <c r="AG927" s="8">
        <f t="shared" si="130"/>
        <v>0.49690346859043699</v>
      </c>
      <c r="AH927" s="7">
        <f t="shared" si="131"/>
        <v>1.4285444891604631</v>
      </c>
      <c r="AI927">
        <f t="shared" si="132"/>
        <v>1</v>
      </c>
      <c r="AJ927" s="10">
        <f t="shared" si="133"/>
        <v>0.49690346859043699</v>
      </c>
    </row>
    <row r="928" spans="1:36" hidden="1" x14ac:dyDescent="0.25">
      <c r="A928" t="b">
        <v>0</v>
      </c>
      <c r="B928">
        <v>1000</v>
      </c>
      <c r="C928">
        <v>0.49690346859043699</v>
      </c>
      <c r="D928" t="s">
        <v>52</v>
      </c>
      <c r="E928" t="b">
        <v>1</v>
      </c>
      <c r="F928" t="s">
        <v>53</v>
      </c>
      <c r="G928">
        <v>7.4999999999999997E-2</v>
      </c>
      <c r="H928">
        <v>0.5</v>
      </c>
      <c r="I928">
        <v>1E-4</v>
      </c>
      <c r="J928" t="b">
        <v>1</v>
      </c>
      <c r="K928">
        <v>1</v>
      </c>
      <c r="L928">
        <v>1500</v>
      </c>
      <c r="M928">
        <v>0.75</v>
      </c>
      <c r="N928">
        <v>0.154</v>
      </c>
      <c r="O928" t="s">
        <v>405</v>
      </c>
      <c r="P928" t="s">
        <v>411</v>
      </c>
      <c r="Q928" s="1">
        <v>-2.1230947673135202E-5</v>
      </c>
      <c r="R928" s="1">
        <v>2.6145091082563801E-6</v>
      </c>
      <c r="S928" s="1">
        <v>6.4308867119472994E-5</v>
      </c>
      <c r="T928">
        <v>-1.26909489085595E-4</v>
      </c>
      <c r="U928">
        <v>1.38016856846925</v>
      </c>
      <c r="V928" s="1">
        <v>2.1783421816784099E-15</v>
      </c>
      <c r="W928">
        <v>1.27716234289823E-2</v>
      </c>
      <c r="X928">
        <v>2.1100323382308099</v>
      </c>
      <c r="Y928">
        <v>0.549374938301321</v>
      </c>
      <c r="Z928">
        <v>2.5835966813901601E-4</v>
      </c>
      <c r="AA928">
        <v>0.54912322224457699</v>
      </c>
      <c r="AB928" s="9">
        <f t="shared" si="125"/>
        <v>-1.9734368644657134</v>
      </c>
      <c r="AC928" s="9">
        <f t="shared" si="126"/>
        <v>-1.32919608403899</v>
      </c>
      <c r="AD928" s="2">
        <f t="shared" si="127"/>
        <v>-0.32645624089988035</v>
      </c>
      <c r="AE928" s="8">
        <f t="shared" si="128"/>
        <v>1.2060502903563588</v>
      </c>
      <c r="AF928" s="2">
        <f t="shared" si="129"/>
        <v>0.70914682176592181</v>
      </c>
      <c r="AG928" s="8">
        <f t="shared" si="130"/>
        <v>0.49690346859043699</v>
      </c>
      <c r="AH928" s="7">
        <f t="shared" si="131"/>
        <v>1.4271319614201008</v>
      </c>
      <c r="AI928">
        <f t="shared" si="132"/>
        <v>1</v>
      </c>
      <c r="AJ928" s="10">
        <f t="shared" si="133"/>
        <v>0.49690346859043699</v>
      </c>
    </row>
    <row r="929" spans="1:36" hidden="1" x14ac:dyDescent="0.25">
      <c r="A929" t="b">
        <v>0</v>
      </c>
      <c r="B929">
        <v>1000</v>
      </c>
      <c r="C929">
        <v>0.49690346859043699</v>
      </c>
      <c r="D929" t="s">
        <v>52</v>
      </c>
      <c r="E929" t="b">
        <v>1</v>
      </c>
      <c r="F929" t="s">
        <v>53</v>
      </c>
      <c r="G929">
        <v>7.4999999999999997E-2</v>
      </c>
      <c r="H929">
        <v>0.5</v>
      </c>
      <c r="I929">
        <v>1E-4</v>
      </c>
      <c r="J929" t="b">
        <v>1</v>
      </c>
      <c r="K929">
        <v>1</v>
      </c>
      <c r="L929">
        <v>1500</v>
      </c>
      <c r="M929">
        <v>0.75</v>
      </c>
      <c r="N929">
        <v>0.154</v>
      </c>
      <c r="O929" t="s">
        <v>406</v>
      </c>
      <c r="P929" t="s">
        <v>407</v>
      </c>
      <c r="Q929" s="1">
        <v>-2.6820722154773698E-6</v>
      </c>
      <c r="R929" s="1">
        <v>9.5238530195819895E-7</v>
      </c>
      <c r="S929" s="1">
        <v>8.0427328713751708E-6</v>
      </c>
      <c r="T929" s="1">
        <v>-1.5877083126890398E-5</v>
      </c>
      <c r="U929">
        <v>1.38034959430052</v>
      </c>
      <c r="V929">
        <v>0</v>
      </c>
      <c r="W929">
        <v>2.4368591671107099E-2</v>
      </c>
      <c r="X929">
        <v>2</v>
      </c>
      <c r="Y929">
        <v>1.6106762322747199</v>
      </c>
      <c r="Z929">
        <v>2.5000000000000001E-4</v>
      </c>
      <c r="AA929">
        <v>1.4222997062707601</v>
      </c>
      <c r="AB929" s="9">
        <f t="shared" si="125"/>
        <v>-1.9740905710543246</v>
      </c>
      <c r="AC929" s="9">
        <f t="shared" si="126"/>
        <v>-1.32919608403899</v>
      </c>
      <c r="AD929" s="2">
        <f t="shared" si="127"/>
        <v>-0.32667928030825277</v>
      </c>
      <c r="AE929" s="8">
        <f t="shared" si="128"/>
        <v>1.2071112558068542</v>
      </c>
      <c r="AF929" s="2">
        <f t="shared" si="129"/>
        <v>0.7102077872164172</v>
      </c>
      <c r="AG929" s="8">
        <f t="shared" si="130"/>
        <v>0.49690346859043699</v>
      </c>
      <c r="AH929" s="7">
        <f t="shared" si="131"/>
        <v>1.4292671154642154</v>
      </c>
      <c r="AI929">
        <f t="shared" si="132"/>
        <v>1</v>
      </c>
      <c r="AJ929" s="10">
        <f t="shared" si="133"/>
        <v>0.49690346859043699</v>
      </c>
    </row>
    <row r="930" spans="1:36" hidden="1" x14ac:dyDescent="0.25">
      <c r="A930" t="b">
        <v>0</v>
      </c>
      <c r="B930">
        <v>1000</v>
      </c>
      <c r="C930">
        <v>0.49690346859043699</v>
      </c>
      <c r="D930" t="s">
        <v>52</v>
      </c>
      <c r="E930" t="b">
        <v>1</v>
      </c>
      <c r="F930" t="s">
        <v>53</v>
      </c>
      <c r="G930">
        <v>7.4999999999999997E-2</v>
      </c>
      <c r="H930">
        <v>0.5</v>
      </c>
      <c r="I930">
        <v>1E-4</v>
      </c>
      <c r="J930" t="b">
        <v>1</v>
      </c>
      <c r="K930">
        <v>1</v>
      </c>
      <c r="L930">
        <v>1500</v>
      </c>
      <c r="M930">
        <v>0.75</v>
      </c>
      <c r="N930">
        <v>0.154</v>
      </c>
      <c r="O930" t="s">
        <v>406</v>
      </c>
      <c r="P930" t="s">
        <v>408</v>
      </c>
      <c r="Q930" s="1">
        <v>-2.1232165308236202E-5</v>
      </c>
      <c r="R930" s="1">
        <v>2.5914526052594801E-6</v>
      </c>
      <c r="S930" s="1">
        <v>6.4312813387330095E-5</v>
      </c>
      <c r="T930">
        <v>-1.26931497558037E-4</v>
      </c>
      <c r="U930">
        <v>1.3802892508601901</v>
      </c>
      <c r="V930" s="1">
        <v>2.1790301958141299E-15</v>
      </c>
      <c r="W930">
        <v>1.25591910141625E-2</v>
      </c>
      <c r="X930">
        <v>2.1100421783093299</v>
      </c>
      <c r="Y930">
        <v>0.54867097216468397</v>
      </c>
      <c r="Z930">
        <v>2.5835947628261897E-4</v>
      </c>
      <c r="AA930">
        <v>0.54425023427562202</v>
      </c>
      <c r="AB930" s="9">
        <f t="shared" si="125"/>
        <v>-1.9736579831079675</v>
      </c>
      <c r="AC930" s="9">
        <f t="shared" si="126"/>
        <v>-1.32919608403899</v>
      </c>
      <c r="AD930" s="2">
        <f t="shared" si="127"/>
        <v>-0.32653170133060616</v>
      </c>
      <c r="AE930" s="8">
        <f t="shared" si="128"/>
        <v>1.2064090516186461</v>
      </c>
      <c r="AF930" s="2">
        <f t="shared" si="129"/>
        <v>0.7095055830282091</v>
      </c>
      <c r="AG930" s="8">
        <f t="shared" si="130"/>
        <v>0.49690346859043699</v>
      </c>
      <c r="AH930" s="7">
        <f t="shared" si="131"/>
        <v>1.4278539552981169</v>
      </c>
      <c r="AI930">
        <f t="shared" si="132"/>
        <v>1</v>
      </c>
      <c r="AJ930" s="10">
        <f t="shared" si="133"/>
        <v>0.49690346859043699</v>
      </c>
    </row>
    <row r="931" spans="1:36" hidden="1" x14ac:dyDescent="0.25">
      <c r="A931" t="b">
        <v>0</v>
      </c>
      <c r="B931">
        <v>1000</v>
      </c>
      <c r="C931">
        <v>0.49690346859043699</v>
      </c>
      <c r="D931" t="s">
        <v>52</v>
      </c>
      <c r="E931" t="b">
        <v>1</v>
      </c>
      <c r="F931" t="s">
        <v>53</v>
      </c>
      <c r="G931">
        <v>7.4999999999999997E-2</v>
      </c>
      <c r="H931">
        <v>0.5</v>
      </c>
      <c r="I931">
        <v>1E-4</v>
      </c>
      <c r="J931" t="b">
        <v>1</v>
      </c>
      <c r="K931">
        <v>1</v>
      </c>
      <c r="L931">
        <v>1500</v>
      </c>
      <c r="M931">
        <v>0.75</v>
      </c>
      <c r="N931">
        <v>0.154</v>
      </c>
      <c r="O931" t="s">
        <v>406</v>
      </c>
      <c r="P931" t="s">
        <v>409</v>
      </c>
      <c r="Q931" s="1">
        <v>-1.8577118978651199E-5</v>
      </c>
      <c r="R931" s="1">
        <v>2.3410699183336601E-6</v>
      </c>
      <c r="S931" s="1">
        <v>5.6270574077258402E-5</v>
      </c>
      <c r="T931">
        <v>-1.110571674809E-4</v>
      </c>
      <c r="U931">
        <v>1.38029787673784</v>
      </c>
      <c r="V931" s="1">
        <v>2.1779941063106799E-15</v>
      </c>
      <c r="W931">
        <v>1.45179024309004E-2</v>
      </c>
      <c r="X931">
        <v>2.1100408464443401</v>
      </c>
      <c r="Y931">
        <v>0.54926607251000104</v>
      </c>
      <c r="Z931">
        <v>2.58359505530267E-4</v>
      </c>
      <c r="AA931">
        <v>0.56188509170124801</v>
      </c>
      <c r="AB931" s="9">
        <f t="shared" si="125"/>
        <v>-1.9736277673019769</v>
      </c>
      <c r="AC931" s="9">
        <f t="shared" si="126"/>
        <v>-1.32919608403899</v>
      </c>
      <c r="AD931" s="2">
        <f t="shared" si="127"/>
        <v>-0.32652139067943353</v>
      </c>
      <c r="AE931" s="8">
        <f t="shared" si="128"/>
        <v>1.2063600201007165</v>
      </c>
      <c r="AF931" s="2">
        <f t="shared" si="129"/>
        <v>0.70945655151027953</v>
      </c>
      <c r="AG931" s="8">
        <f t="shared" si="130"/>
        <v>0.49690346859043699</v>
      </c>
      <c r="AH931" s="7">
        <f t="shared" si="131"/>
        <v>1.4277552811671663</v>
      </c>
      <c r="AI931">
        <f t="shared" si="132"/>
        <v>1</v>
      </c>
      <c r="AJ931" s="10">
        <f t="shared" si="133"/>
        <v>0.49690346859043699</v>
      </c>
    </row>
    <row r="932" spans="1:36" hidden="1" x14ac:dyDescent="0.25">
      <c r="A932" t="b">
        <v>0</v>
      </c>
      <c r="B932">
        <v>1000</v>
      </c>
      <c r="C932">
        <v>0.49690346859043699</v>
      </c>
      <c r="D932" t="s">
        <v>52</v>
      </c>
      <c r="E932" t="b">
        <v>1</v>
      </c>
      <c r="F932" t="s">
        <v>53</v>
      </c>
      <c r="G932">
        <v>7.4999999999999997E-2</v>
      </c>
      <c r="H932">
        <v>0.5</v>
      </c>
      <c r="I932">
        <v>1E-4</v>
      </c>
      <c r="J932" t="b">
        <v>1</v>
      </c>
      <c r="K932">
        <v>1</v>
      </c>
      <c r="L932">
        <v>1500</v>
      </c>
      <c r="M932">
        <v>0.75</v>
      </c>
      <c r="N932">
        <v>0.154</v>
      </c>
      <c r="O932" t="s">
        <v>406</v>
      </c>
      <c r="P932" t="s">
        <v>410</v>
      </c>
      <c r="Q932" s="1">
        <v>-2.1232165308234901E-5</v>
      </c>
      <c r="R932" s="1">
        <v>2.5962603730200401E-6</v>
      </c>
      <c r="S932" s="1">
        <v>6.4312813387330095E-5</v>
      </c>
      <c r="T932">
        <v>-1.26931497558243E-4</v>
      </c>
      <c r="U932">
        <v>1.3802892510260301</v>
      </c>
      <c r="V932" s="1">
        <v>2.17903019677896E-15</v>
      </c>
      <c r="W932">
        <v>1.2344439891860501E-2</v>
      </c>
      <c r="X932">
        <v>2.11004217830948</v>
      </c>
      <c r="Y932">
        <v>0.54940810307899601</v>
      </c>
      <c r="Z932">
        <v>2.5835947628261702E-4</v>
      </c>
      <c r="AA932">
        <v>0.54524810570443305</v>
      </c>
      <c r="AB932" s="9">
        <f t="shared" ref="AB932:AB995" si="134">T932/S932/K932^2</f>
        <v>-1.9736579831111705</v>
      </c>
      <c r="AC932" s="9">
        <f t="shared" ref="AC932:AC995" si="135">(1+10*C932/K932^2)/(-3-3*C932/K932^2)</f>
        <v>-1.32919608403899</v>
      </c>
      <c r="AD932" s="2">
        <f t="shared" ref="AD932:AD995" si="136">(AC932/AB932-1)</f>
        <v>-0.32653170133169918</v>
      </c>
      <c r="AE932" s="8">
        <f t="shared" ref="AE932:AE995" si="137">-(1+3*AB932)/(10+3*AB932)</f>
        <v>1.2064090516238437</v>
      </c>
      <c r="AF932" s="2">
        <f t="shared" ref="AF932:AF995" si="138">(AE932-C932/K932^2)</f>
        <v>0.70950558303340672</v>
      </c>
      <c r="AG932" s="8">
        <f t="shared" ref="AG932:AG995" si="139">C932/K932^2</f>
        <v>0.49690346859043699</v>
      </c>
      <c r="AH932" s="7">
        <f t="shared" ref="AH932:AH995" si="140">AF932/AG932</f>
        <v>1.4278539553085769</v>
      </c>
      <c r="AI932">
        <f t="shared" ref="AI932:AI995" si="141">K932</f>
        <v>1</v>
      </c>
      <c r="AJ932" s="10">
        <f t="shared" ref="AJ932:AJ995" si="142">C932</f>
        <v>0.49690346859043699</v>
      </c>
    </row>
    <row r="933" spans="1:36" hidden="1" x14ac:dyDescent="0.25">
      <c r="A933" t="b">
        <v>0</v>
      </c>
      <c r="B933">
        <v>1000</v>
      </c>
      <c r="C933">
        <v>0.49690346859043699</v>
      </c>
      <c r="D933" t="s">
        <v>52</v>
      </c>
      <c r="E933" t="b">
        <v>1</v>
      </c>
      <c r="F933" t="s">
        <v>53</v>
      </c>
      <c r="G933">
        <v>7.4999999999999997E-2</v>
      </c>
      <c r="H933">
        <v>0.5</v>
      </c>
      <c r="I933">
        <v>1E-4</v>
      </c>
      <c r="J933" t="b">
        <v>1</v>
      </c>
      <c r="K933">
        <v>1</v>
      </c>
      <c r="L933">
        <v>1500</v>
      </c>
      <c r="M933">
        <v>0.75</v>
      </c>
      <c r="N933">
        <v>0.154</v>
      </c>
      <c r="O933" t="s">
        <v>406</v>
      </c>
      <c r="P933" t="s">
        <v>411</v>
      </c>
      <c r="Q933" s="1">
        <v>-3.9808066652074297E-5</v>
      </c>
      <c r="R933" s="1">
        <v>5.0726709332139504E-6</v>
      </c>
      <c r="S933">
        <v>1.2057944119673201E-4</v>
      </c>
      <c r="T933">
        <v>-2.3796665656646601E-4</v>
      </c>
      <c r="U933">
        <v>1.3802289126470999</v>
      </c>
      <c r="V933" s="1">
        <v>2.17856585772726E-15</v>
      </c>
      <c r="W933">
        <v>1.4934724239597999E-2</v>
      </c>
      <c r="X933">
        <v>2.1100363091113099</v>
      </c>
      <c r="Y933">
        <v>0.54999517012838794</v>
      </c>
      <c r="Z933">
        <v>2.5835959231480202E-4</v>
      </c>
      <c r="AA933">
        <v>0.56812612246787297</v>
      </c>
      <c r="AB933" s="9">
        <f t="shared" si="134"/>
        <v>-1.9735259527219926</v>
      </c>
      <c r="AC933" s="9">
        <f t="shared" si="135"/>
        <v>-1.32919608403899</v>
      </c>
      <c r="AD933" s="2">
        <f t="shared" si="136"/>
        <v>-0.32648664578963771</v>
      </c>
      <c r="AE933" s="8">
        <f t="shared" si="137"/>
        <v>1.2061948205129343</v>
      </c>
      <c r="AF933" s="2">
        <f t="shared" si="138"/>
        <v>0.70929135192249726</v>
      </c>
      <c r="AG933" s="8">
        <f t="shared" si="139"/>
        <v>0.49690346859043699</v>
      </c>
      <c r="AH933" s="7">
        <f t="shared" si="140"/>
        <v>1.4274228230576447</v>
      </c>
      <c r="AI933">
        <f t="shared" si="141"/>
        <v>1</v>
      </c>
      <c r="AJ933" s="10">
        <f t="shared" si="142"/>
        <v>0.49690346859043699</v>
      </c>
    </row>
    <row r="934" spans="1:36" hidden="1" x14ac:dyDescent="0.25">
      <c r="A934" t="b">
        <v>0</v>
      </c>
      <c r="B934">
        <v>1000</v>
      </c>
      <c r="C934">
        <v>0.49690346859043699</v>
      </c>
      <c r="D934" t="s">
        <v>52</v>
      </c>
      <c r="E934" t="b">
        <v>1</v>
      </c>
      <c r="F934" t="s">
        <v>53</v>
      </c>
      <c r="G934">
        <v>7.4999999999999997E-2</v>
      </c>
      <c r="H934">
        <v>0.5</v>
      </c>
      <c r="I934">
        <v>1E-4</v>
      </c>
      <c r="J934" t="b">
        <v>1</v>
      </c>
      <c r="K934">
        <v>1</v>
      </c>
      <c r="L934">
        <v>1500</v>
      </c>
      <c r="M934">
        <v>0.75</v>
      </c>
      <c r="N934">
        <v>0.154</v>
      </c>
      <c r="O934" t="s">
        <v>407</v>
      </c>
      <c r="P934" t="s">
        <v>408</v>
      </c>
      <c r="Q934" s="1">
        <v>-1.85769666910348E-5</v>
      </c>
      <c r="R934" s="1">
        <v>2.35841493378304E-6</v>
      </c>
      <c r="S934" s="1">
        <v>5.6270080515955301E-5</v>
      </c>
      <c r="T934">
        <v>-1.11054414431028E-4</v>
      </c>
      <c r="U934">
        <v>1.38028062423099</v>
      </c>
      <c r="V934" s="1">
        <v>2.17869636565646E-15</v>
      </c>
      <c r="W934">
        <v>1.47082918352356E-2</v>
      </c>
      <c r="X934">
        <v>2.1100394399743601</v>
      </c>
      <c r="Y934">
        <v>0.54996682320510004</v>
      </c>
      <c r="Z934">
        <v>2.5835953297506301E-4</v>
      </c>
      <c r="AA934">
        <v>0.56604525502748104</v>
      </c>
      <c r="AB934" s="9">
        <f t="shared" si="134"/>
        <v>-1.9735961529242645</v>
      </c>
      <c r="AC934" s="9">
        <f t="shared" si="135"/>
        <v>-1.32919608403899</v>
      </c>
      <c r="AD934" s="2">
        <f t="shared" si="136"/>
        <v>-0.32651060245049179</v>
      </c>
      <c r="AE934" s="8">
        <f t="shared" si="137"/>
        <v>1.206308721437968</v>
      </c>
      <c r="AF934" s="2">
        <f t="shared" si="138"/>
        <v>0.70940525284753098</v>
      </c>
      <c r="AG934" s="8">
        <f t="shared" si="139"/>
        <v>0.49690346859043699</v>
      </c>
      <c r="AH934" s="7">
        <f t="shared" si="140"/>
        <v>1.427652044490445</v>
      </c>
      <c r="AI934">
        <f t="shared" si="141"/>
        <v>1</v>
      </c>
      <c r="AJ934" s="10">
        <f t="shared" si="142"/>
        <v>0.49690346859043699</v>
      </c>
    </row>
    <row r="935" spans="1:36" hidden="1" x14ac:dyDescent="0.25">
      <c r="A935" t="b">
        <v>0</v>
      </c>
      <c r="B935">
        <v>1000</v>
      </c>
      <c r="C935">
        <v>0.49690346859043699</v>
      </c>
      <c r="D935" t="s">
        <v>52</v>
      </c>
      <c r="E935" t="b">
        <v>1</v>
      </c>
      <c r="F935" t="s">
        <v>53</v>
      </c>
      <c r="G935">
        <v>7.4999999999999997E-2</v>
      </c>
      <c r="H935">
        <v>0.5</v>
      </c>
      <c r="I935">
        <v>1E-4</v>
      </c>
      <c r="J935" t="b">
        <v>1</v>
      </c>
      <c r="K935">
        <v>1</v>
      </c>
      <c r="L935">
        <v>1500</v>
      </c>
      <c r="M935">
        <v>0.75</v>
      </c>
      <c r="N935">
        <v>0.154</v>
      </c>
      <c r="O935" t="s">
        <v>407</v>
      </c>
      <c r="P935" t="s">
        <v>409</v>
      </c>
      <c r="Q935" s="1">
        <v>-1.5921920361258599E-5</v>
      </c>
      <c r="R935" s="1">
        <v>1.97988863509855E-6</v>
      </c>
      <c r="S935" s="1">
        <v>4.82278412058782E-5</v>
      </c>
      <c r="T935" s="1">
        <v>-9.5180084353759106E-5</v>
      </c>
      <c r="U935">
        <v>1.3802892501086499</v>
      </c>
      <c r="V935" s="1">
        <v>2.1773048918209998E-15</v>
      </c>
      <c r="W935">
        <v>1.3913944009921599E-2</v>
      </c>
      <c r="X935">
        <v>2.1100374291283099</v>
      </c>
      <c r="Y935">
        <v>0.54857059196025804</v>
      </c>
      <c r="Z935">
        <v>2.58359576631074E-4</v>
      </c>
      <c r="AA935">
        <v>0.55444964551571896</v>
      </c>
      <c r="AB935" s="9">
        <f t="shared" si="134"/>
        <v>-1.9735505876667392</v>
      </c>
      <c r="AC935" s="9">
        <f t="shared" si="135"/>
        <v>-1.32919608403899</v>
      </c>
      <c r="AD935" s="2">
        <f t="shared" si="136"/>
        <v>-0.32649505295405035</v>
      </c>
      <c r="AE935" s="8">
        <f t="shared" si="137"/>
        <v>1.2062347897563126</v>
      </c>
      <c r="AF935" s="2">
        <f t="shared" si="138"/>
        <v>0.70933132116587561</v>
      </c>
      <c r="AG935" s="8">
        <f t="shared" si="139"/>
        <v>0.49690346859043699</v>
      </c>
      <c r="AH935" s="7">
        <f t="shared" si="140"/>
        <v>1.4275032596935404</v>
      </c>
      <c r="AI935">
        <f t="shared" si="141"/>
        <v>1</v>
      </c>
      <c r="AJ935" s="10">
        <f t="shared" si="142"/>
        <v>0.49690346859043699</v>
      </c>
    </row>
    <row r="936" spans="1:36" hidden="1" x14ac:dyDescent="0.25">
      <c r="A936" t="b">
        <v>0</v>
      </c>
      <c r="B936">
        <v>1000</v>
      </c>
      <c r="C936">
        <v>0.49690346859043699</v>
      </c>
      <c r="D936" t="s">
        <v>52</v>
      </c>
      <c r="E936" t="b">
        <v>1</v>
      </c>
      <c r="F936" t="s">
        <v>53</v>
      </c>
      <c r="G936">
        <v>7.4999999999999997E-2</v>
      </c>
      <c r="H936">
        <v>0.5</v>
      </c>
      <c r="I936">
        <v>1E-4</v>
      </c>
      <c r="J936" t="b">
        <v>1</v>
      </c>
      <c r="K936">
        <v>1</v>
      </c>
      <c r="L936">
        <v>1500</v>
      </c>
      <c r="M936">
        <v>0.75</v>
      </c>
      <c r="N936">
        <v>0.154</v>
      </c>
      <c r="O936" t="s">
        <v>407</v>
      </c>
      <c r="P936" t="s">
        <v>410</v>
      </c>
      <c r="Q936" s="1">
        <v>-1.8576966691033801E-5</v>
      </c>
      <c r="R936" s="1">
        <v>2.30799087427878E-6</v>
      </c>
      <c r="S936" s="1">
        <v>5.6270080515955301E-5</v>
      </c>
      <c r="T936">
        <v>-1.11054414431208E-4</v>
      </c>
      <c r="U936">
        <v>1.38028062439683</v>
      </c>
      <c r="V936" s="1">
        <v>2.17869636573762E-15</v>
      </c>
      <c r="W936">
        <v>1.43721733165876E-2</v>
      </c>
      <c r="X936">
        <v>2.1100394399745301</v>
      </c>
      <c r="Y936">
        <v>0.54766910131631397</v>
      </c>
      <c r="Z936">
        <v>2.5835953297506599E-4</v>
      </c>
      <c r="AA936">
        <v>0.5539517408172</v>
      </c>
      <c r="AB936" s="9">
        <f t="shared" si="134"/>
        <v>-1.9735961529274635</v>
      </c>
      <c r="AC936" s="9">
        <f t="shared" si="135"/>
        <v>-1.32919608403899</v>
      </c>
      <c r="AD936" s="2">
        <f t="shared" si="136"/>
        <v>-0.32651060245158336</v>
      </c>
      <c r="AE936" s="8">
        <f t="shared" si="137"/>
        <v>1.2063087214431585</v>
      </c>
      <c r="AF936" s="2">
        <f t="shared" si="138"/>
        <v>0.70940525285272149</v>
      </c>
      <c r="AG936" s="8">
        <f t="shared" si="139"/>
        <v>0.49690346859043699</v>
      </c>
      <c r="AH936" s="7">
        <f t="shared" si="140"/>
        <v>1.4276520445008907</v>
      </c>
      <c r="AI936">
        <f t="shared" si="141"/>
        <v>1</v>
      </c>
      <c r="AJ936" s="10">
        <f t="shared" si="142"/>
        <v>0.49690346859043699</v>
      </c>
    </row>
    <row r="937" spans="1:36" hidden="1" x14ac:dyDescent="0.25">
      <c r="A937" t="b">
        <v>0</v>
      </c>
      <c r="B937">
        <v>1000</v>
      </c>
      <c r="C937">
        <v>0.49690346859043699</v>
      </c>
      <c r="D937" t="s">
        <v>52</v>
      </c>
      <c r="E937" t="b">
        <v>1</v>
      </c>
      <c r="F937" t="s">
        <v>53</v>
      </c>
      <c r="G937">
        <v>7.4999999999999997E-2</v>
      </c>
      <c r="H937">
        <v>0.5</v>
      </c>
      <c r="I937">
        <v>1E-4</v>
      </c>
      <c r="J937" t="b">
        <v>1</v>
      </c>
      <c r="K937">
        <v>1</v>
      </c>
      <c r="L937">
        <v>1500</v>
      </c>
      <c r="M937">
        <v>0.75</v>
      </c>
      <c r="N937">
        <v>0.154</v>
      </c>
      <c r="O937" t="s">
        <v>407</v>
      </c>
      <c r="P937" t="s">
        <v>411</v>
      </c>
      <c r="Q937" s="1">
        <v>-3.71528680345096E-5</v>
      </c>
      <c r="R937" s="1">
        <v>4.6812781846785497E-6</v>
      </c>
      <c r="S937">
        <v>1.12536708325345E-4</v>
      </c>
      <c r="T937">
        <v>-2.2208957343912601E-4</v>
      </c>
      <c r="U937">
        <v>1.38022028601791</v>
      </c>
      <c r="V937" s="1">
        <v>2.1785823245313101E-15</v>
      </c>
      <c r="W937">
        <v>1.4855681388891101E-2</v>
      </c>
      <c r="X937">
        <v>2.1100345201444699</v>
      </c>
      <c r="Y937">
        <v>0.54849071760165602</v>
      </c>
      <c r="Z937">
        <v>2.5835962894532702E-4</v>
      </c>
      <c r="AA937">
        <v>0.56178192559509599</v>
      </c>
      <c r="AB937" s="9">
        <f t="shared" si="134"/>
        <v>-1.9734856007789239</v>
      </c>
      <c r="AC937" s="9">
        <f t="shared" si="135"/>
        <v>-1.32919608403899</v>
      </c>
      <c r="AD937" s="2">
        <f t="shared" si="136"/>
        <v>-0.32647287443376138</v>
      </c>
      <c r="AE937" s="8">
        <f t="shared" si="137"/>
        <v>1.2061293541775022</v>
      </c>
      <c r="AF937" s="2">
        <f t="shared" si="138"/>
        <v>0.70922588558706523</v>
      </c>
      <c r="AG937" s="8">
        <f t="shared" si="139"/>
        <v>0.49690346859043699</v>
      </c>
      <c r="AH937" s="7">
        <f t="shared" si="140"/>
        <v>1.4272910744594356</v>
      </c>
      <c r="AI937">
        <f t="shared" si="141"/>
        <v>1</v>
      </c>
      <c r="AJ937" s="10">
        <f t="shared" si="142"/>
        <v>0.49690346859043699</v>
      </c>
    </row>
    <row r="938" spans="1:36" hidden="1" x14ac:dyDescent="0.25">
      <c r="A938" t="b">
        <v>0</v>
      </c>
      <c r="B938">
        <v>1000</v>
      </c>
      <c r="C938">
        <v>0.49690346859043699</v>
      </c>
      <c r="D938" t="s">
        <v>52</v>
      </c>
      <c r="E938" t="b">
        <v>1</v>
      </c>
      <c r="F938" t="s">
        <v>53</v>
      </c>
      <c r="G938">
        <v>7.4999999999999997E-2</v>
      </c>
      <c r="H938">
        <v>0.5</v>
      </c>
      <c r="I938">
        <v>1E-4</v>
      </c>
      <c r="J938" t="b">
        <v>1</v>
      </c>
      <c r="K938">
        <v>1</v>
      </c>
      <c r="L938">
        <v>1500</v>
      </c>
      <c r="M938">
        <v>0.75</v>
      </c>
      <c r="N938">
        <v>0.154</v>
      </c>
      <c r="O938" t="s">
        <v>408</v>
      </c>
      <c r="P938" t="s">
        <v>411</v>
      </c>
      <c r="Q938" s="1">
        <v>-1.85759013432147E-5</v>
      </c>
      <c r="R938" s="1">
        <v>2.3604461438577399E-6</v>
      </c>
      <c r="S938" s="1">
        <v>5.62666278094004E-5</v>
      </c>
      <c r="T938">
        <v>-1.1103515900824E-4</v>
      </c>
      <c r="U938">
        <v>1.3801599425775799</v>
      </c>
      <c r="V938" s="1">
        <v>2.1777766659266101E-15</v>
      </c>
      <c r="W938">
        <v>1.47075512362958E-2</v>
      </c>
      <c r="X938">
        <v>2.11002959913474</v>
      </c>
      <c r="Y938">
        <v>0.54993566687107898</v>
      </c>
      <c r="Z938">
        <v>2.5835972479823201E-4</v>
      </c>
      <c r="AA938">
        <v>0.56655735539343199</v>
      </c>
      <c r="AB938" s="9">
        <f t="shared" si="134"/>
        <v>-1.9733750418518858</v>
      </c>
      <c r="AC938" s="9">
        <f t="shared" si="135"/>
        <v>-1.32919608403899</v>
      </c>
      <c r="AD938" s="2">
        <f t="shared" si="136"/>
        <v>-0.32643513987507167</v>
      </c>
      <c r="AE938" s="8">
        <f t="shared" si="137"/>
        <v>1.2059500050784651</v>
      </c>
      <c r="AF938" s="2">
        <f t="shared" si="138"/>
        <v>0.70904653648802807</v>
      </c>
      <c r="AG938" s="8">
        <f t="shared" si="139"/>
        <v>0.49690346859043699</v>
      </c>
      <c r="AH938" s="7">
        <f t="shared" si="140"/>
        <v>1.4269301409776349</v>
      </c>
      <c r="AI938">
        <f t="shared" si="141"/>
        <v>1</v>
      </c>
      <c r="AJ938" s="10">
        <f t="shared" si="142"/>
        <v>0.49690346859043699</v>
      </c>
    </row>
    <row r="939" spans="1:36" hidden="1" x14ac:dyDescent="0.25">
      <c r="A939" t="b">
        <v>0</v>
      </c>
      <c r="B939">
        <v>1000</v>
      </c>
      <c r="C939">
        <v>0.49690346859043699</v>
      </c>
      <c r="D939" t="s">
        <v>52</v>
      </c>
      <c r="E939" t="b">
        <v>1</v>
      </c>
      <c r="F939" t="s">
        <v>53</v>
      </c>
      <c r="G939">
        <v>7.4999999999999997E-2</v>
      </c>
      <c r="H939">
        <v>0.5</v>
      </c>
      <c r="I939">
        <v>1E-4</v>
      </c>
      <c r="J939" t="b">
        <v>1</v>
      </c>
      <c r="K939">
        <v>1</v>
      </c>
      <c r="L939">
        <v>1500</v>
      </c>
      <c r="M939">
        <v>0.75</v>
      </c>
      <c r="N939">
        <v>0.154</v>
      </c>
      <c r="O939" t="s">
        <v>409</v>
      </c>
      <c r="P939" t="s">
        <v>410</v>
      </c>
      <c r="Q939" s="1">
        <v>-2.6819072762455602E-6</v>
      </c>
      <c r="R939" s="1">
        <v>9.4501915625565602E-7</v>
      </c>
      <c r="S939" s="1">
        <v>8.0422393100754693E-6</v>
      </c>
      <c r="T939" s="1">
        <v>-1.5874330077331601E-5</v>
      </c>
      <c r="U939">
        <v>1.38022890683415</v>
      </c>
      <c r="V939">
        <v>0</v>
      </c>
      <c r="W939">
        <v>2.3906325952419101E-2</v>
      </c>
      <c r="X939">
        <v>2</v>
      </c>
      <c r="Y939">
        <v>1.60733658372032</v>
      </c>
      <c r="Z939">
        <v>2.5000000000000001E-4</v>
      </c>
      <c r="AA939">
        <v>1.4114078619055299</v>
      </c>
      <c r="AB939" s="9">
        <f t="shared" si="134"/>
        <v>-1.9738693994648904</v>
      </c>
      <c r="AC939" s="9">
        <f t="shared" si="135"/>
        <v>-1.32919608403899</v>
      </c>
      <c r="AD939" s="2">
        <f t="shared" si="136"/>
        <v>-0.32660383488424771</v>
      </c>
      <c r="AE939" s="8">
        <f t="shared" si="137"/>
        <v>1.2067521802239396</v>
      </c>
      <c r="AF939" s="2">
        <f t="shared" si="138"/>
        <v>0.7098487116335026</v>
      </c>
      <c r="AG939" s="8">
        <f t="shared" si="139"/>
        <v>0.49690346859043699</v>
      </c>
      <c r="AH939" s="7">
        <f t="shared" si="140"/>
        <v>1.4285444890274686</v>
      </c>
      <c r="AI939">
        <f t="shared" si="141"/>
        <v>1</v>
      </c>
      <c r="AJ939" s="10">
        <f t="shared" si="142"/>
        <v>0.49690346859043699</v>
      </c>
    </row>
    <row r="940" spans="1:36" hidden="1" x14ac:dyDescent="0.25">
      <c r="A940" t="b">
        <v>0</v>
      </c>
      <c r="B940">
        <v>1000</v>
      </c>
      <c r="C940">
        <v>0.49690346859043699</v>
      </c>
      <c r="D940" t="s">
        <v>52</v>
      </c>
      <c r="E940" t="b">
        <v>1</v>
      </c>
      <c r="F940" t="s">
        <v>53</v>
      </c>
      <c r="G940">
        <v>7.4999999999999997E-2</v>
      </c>
      <c r="H940">
        <v>0.5</v>
      </c>
      <c r="I940">
        <v>1E-4</v>
      </c>
      <c r="J940" t="b">
        <v>1</v>
      </c>
      <c r="K940">
        <v>1</v>
      </c>
      <c r="L940">
        <v>1500</v>
      </c>
      <c r="M940">
        <v>0.75</v>
      </c>
      <c r="N940">
        <v>0.154</v>
      </c>
      <c r="O940" t="s">
        <v>409</v>
      </c>
      <c r="P940" t="s">
        <v>411</v>
      </c>
      <c r="Q940" s="1">
        <v>-2.1230947673136601E-5</v>
      </c>
      <c r="R940" s="1">
        <v>2.5938922983334799E-6</v>
      </c>
      <c r="S940" s="1">
        <v>6.4308867119475203E-5</v>
      </c>
      <c r="T940">
        <v>-1.26909489085495E-4</v>
      </c>
      <c r="U940">
        <v>1.3801685684552301</v>
      </c>
      <c r="V940" s="1">
        <v>2.1783421820956699E-15</v>
      </c>
      <c r="W940">
        <v>1.26650003475898E-2</v>
      </c>
      <c r="X940">
        <v>2.1100323382308899</v>
      </c>
      <c r="Y940">
        <v>0.54841548869080103</v>
      </c>
      <c r="Z940">
        <v>2.5835966813905298E-4</v>
      </c>
      <c r="AA940">
        <v>0.54478100773520399</v>
      </c>
      <c r="AB940" s="9">
        <f t="shared" si="134"/>
        <v>-1.9734368644640907</v>
      </c>
      <c r="AC940" s="9">
        <f t="shared" si="135"/>
        <v>-1.32919608403899</v>
      </c>
      <c r="AD940" s="2">
        <f t="shared" si="136"/>
        <v>-0.32645624089932646</v>
      </c>
      <c r="AE940" s="8">
        <f t="shared" si="137"/>
        <v>1.2060502903537262</v>
      </c>
      <c r="AF940" s="2">
        <f t="shared" si="138"/>
        <v>0.70914682176328925</v>
      </c>
      <c r="AG940" s="8">
        <f t="shared" si="139"/>
        <v>0.49690346859043699</v>
      </c>
      <c r="AH940" s="7">
        <f t="shared" si="140"/>
        <v>1.4271319614148028</v>
      </c>
      <c r="AI940">
        <f t="shared" si="141"/>
        <v>1</v>
      </c>
      <c r="AJ940" s="10">
        <f t="shared" si="142"/>
        <v>0.49690346859043699</v>
      </c>
    </row>
    <row r="941" spans="1:36" hidden="1" x14ac:dyDescent="0.25">
      <c r="A941" t="b">
        <v>0</v>
      </c>
      <c r="B941">
        <v>1000</v>
      </c>
      <c r="C941">
        <v>0.49690346859043699</v>
      </c>
      <c r="D941" t="s">
        <v>52</v>
      </c>
      <c r="E941" t="b">
        <v>1</v>
      </c>
      <c r="F941" t="s">
        <v>53</v>
      </c>
      <c r="G941">
        <v>7.4999999999999997E-2</v>
      </c>
      <c r="H941">
        <v>0.5</v>
      </c>
      <c r="I941">
        <v>1E-4</v>
      </c>
      <c r="J941" t="b">
        <v>1</v>
      </c>
      <c r="K941">
        <v>1</v>
      </c>
      <c r="L941">
        <v>1500</v>
      </c>
      <c r="M941">
        <v>0.75</v>
      </c>
      <c r="N941">
        <v>0.154</v>
      </c>
      <c r="O941" t="s">
        <v>410</v>
      </c>
      <c r="P941" t="s">
        <v>411</v>
      </c>
      <c r="Q941" s="1">
        <v>-1.8575901343129902E-5</v>
      </c>
      <c r="R941" s="1">
        <v>2.3847686402380698E-6</v>
      </c>
      <c r="S941" s="1">
        <v>5.62666278094E-5</v>
      </c>
      <c r="T941">
        <v>-1.11035159008037E-4</v>
      </c>
      <c r="U941">
        <v>1.3801599427434099</v>
      </c>
      <c r="V941" s="1">
        <v>2.1774451184675699E-15</v>
      </c>
      <c r="W941">
        <v>1.46413878206305E-2</v>
      </c>
      <c r="X941">
        <v>2.1100295988484001</v>
      </c>
      <c r="Y941">
        <v>0.55188476789980101</v>
      </c>
      <c r="Z941">
        <v>2.58359724797429E-4</v>
      </c>
      <c r="AA941">
        <v>0.57238097700165602</v>
      </c>
      <c r="AB941" s="9">
        <f t="shared" si="134"/>
        <v>-1.973375041848292</v>
      </c>
      <c r="AC941" s="9">
        <f t="shared" si="135"/>
        <v>-1.32919608403899</v>
      </c>
      <c r="AD941" s="2">
        <f t="shared" si="136"/>
        <v>-0.32643513987384498</v>
      </c>
      <c r="AE941" s="8">
        <f t="shared" si="137"/>
        <v>1.2059500050726359</v>
      </c>
      <c r="AF941" s="2">
        <f t="shared" si="138"/>
        <v>0.70904653648219895</v>
      </c>
      <c r="AG941" s="8">
        <f t="shared" si="139"/>
        <v>0.49690346859043699</v>
      </c>
      <c r="AH941" s="7">
        <f t="shared" si="140"/>
        <v>1.4269301409659041</v>
      </c>
      <c r="AI941">
        <f t="shared" si="141"/>
        <v>1</v>
      </c>
      <c r="AJ941" s="10">
        <f t="shared" si="142"/>
        <v>0.49690346859043699</v>
      </c>
    </row>
    <row r="942" spans="1:36" hidden="1" x14ac:dyDescent="0.25">
      <c r="A942" t="b">
        <v>0</v>
      </c>
      <c r="B942">
        <v>1000</v>
      </c>
      <c r="C942">
        <v>0.61680646013290097</v>
      </c>
      <c r="D942" t="s">
        <v>52</v>
      </c>
      <c r="E942" t="b">
        <v>1</v>
      </c>
      <c r="F942" t="s">
        <v>53</v>
      </c>
      <c r="G942">
        <v>7.4999999999999997E-2</v>
      </c>
      <c r="H942">
        <v>0.5</v>
      </c>
      <c r="I942">
        <v>1E-4</v>
      </c>
      <c r="J942" t="b">
        <v>1</v>
      </c>
      <c r="K942">
        <v>1</v>
      </c>
      <c r="L942">
        <v>1500</v>
      </c>
      <c r="M942">
        <v>1</v>
      </c>
      <c r="N942">
        <v>0.154</v>
      </c>
      <c r="O942" t="s">
        <v>412</v>
      </c>
      <c r="P942" t="s">
        <v>413</v>
      </c>
      <c r="Q942" s="1">
        <v>-3.1377804420069502E-6</v>
      </c>
      <c r="R942" s="1">
        <v>1.8917494919508399E-6</v>
      </c>
      <c r="S942" s="1">
        <v>9.4066427522150497E-6</v>
      </c>
      <c r="T942" s="1">
        <v>-2.27829697088091E-5</v>
      </c>
      <c r="U942">
        <v>1.4904272216402501</v>
      </c>
      <c r="V942">
        <v>0</v>
      </c>
      <c r="W942">
        <v>4.3892669511413601E-2</v>
      </c>
      <c r="X942">
        <v>2</v>
      </c>
      <c r="Y942">
        <v>2.7274218024508001</v>
      </c>
      <c r="Z942">
        <v>2.5000000000000001E-4</v>
      </c>
      <c r="AA942">
        <v>2.4148179661632598</v>
      </c>
      <c r="AB942" s="9">
        <f t="shared" si="134"/>
        <v>-2.4220086069968194</v>
      </c>
      <c r="AC942" s="9">
        <f t="shared" si="135"/>
        <v>-1.4778236765044008</v>
      </c>
      <c r="AD942" s="2">
        <f t="shared" si="136"/>
        <v>-0.38983549759683345</v>
      </c>
      <c r="AE942" s="8">
        <f t="shared" si="137"/>
        <v>2.2919111193875659</v>
      </c>
      <c r="AF942" s="2">
        <f t="shared" si="138"/>
        <v>1.6751046592546648</v>
      </c>
      <c r="AG942" s="8">
        <f t="shared" si="139"/>
        <v>0.61680646013290097</v>
      </c>
      <c r="AH942" s="7">
        <f t="shared" si="140"/>
        <v>2.7157702902361565</v>
      </c>
      <c r="AI942">
        <f t="shared" si="141"/>
        <v>1</v>
      </c>
      <c r="AJ942" s="10">
        <f t="shared" si="142"/>
        <v>0.61680646013290097</v>
      </c>
    </row>
    <row r="943" spans="1:36" hidden="1" x14ac:dyDescent="0.25">
      <c r="A943" t="b">
        <v>0</v>
      </c>
      <c r="B943">
        <v>1000</v>
      </c>
      <c r="C943">
        <v>0.61680646013290097</v>
      </c>
      <c r="D943" t="s">
        <v>52</v>
      </c>
      <c r="E943" t="b">
        <v>1</v>
      </c>
      <c r="F943" t="s">
        <v>53</v>
      </c>
      <c r="G943">
        <v>7.4999999999999997E-2</v>
      </c>
      <c r="H943">
        <v>0.5</v>
      </c>
      <c r="I943">
        <v>1E-4</v>
      </c>
      <c r="J943" t="b">
        <v>1</v>
      </c>
      <c r="K943">
        <v>1</v>
      </c>
      <c r="L943">
        <v>1500</v>
      </c>
      <c r="M943">
        <v>1</v>
      </c>
      <c r="N943">
        <v>0.154</v>
      </c>
      <c r="O943" t="s">
        <v>412</v>
      </c>
      <c r="P943" t="s">
        <v>414</v>
      </c>
      <c r="Q943" s="1">
        <v>-2.4628239876697199E-5</v>
      </c>
      <c r="R943" s="1">
        <v>5.6415394219822802E-6</v>
      </c>
      <c r="S943" s="1">
        <v>7.5216592574841606E-5</v>
      </c>
      <c r="T943">
        <v>-1.82126324958263E-4</v>
      </c>
      <c r="U943">
        <v>1.4903470332891799</v>
      </c>
      <c r="V943" s="1">
        <v>2.45396373152087E-15</v>
      </c>
      <c r="W943">
        <v>2.4549612310328501E-2</v>
      </c>
      <c r="X943">
        <v>2.1240050643508601</v>
      </c>
      <c r="Y943">
        <v>1.0190836270533501</v>
      </c>
      <c r="Z943">
        <v>2.5731942356014599E-4</v>
      </c>
      <c r="AA943">
        <v>1.03500196401822</v>
      </c>
      <c r="AB943" s="9">
        <f t="shared" si="134"/>
        <v>-2.4213583562303045</v>
      </c>
      <c r="AC943" s="9">
        <f t="shared" si="135"/>
        <v>-1.4778236765044008</v>
      </c>
      <c r="AD943" s="2">
        <f t="shared" si="136"/>
        <v>-0.38967163918472902</v>
      </c>
      <c r="AE943" s="8">
        <f t="shared" si="137"/>
        <v>2.2895639412495417</v>
      </c>
      <c r="AF943" s="2">
        <f t="shared" si="138"/>
        <v>1.6727574811166406</v>
      </c>
      <c r="AG943" s="8">
        <f t="shared" si="139"/>
        <v>0.61680646013290097</v>
      </c>
      <c r="AH943" s="7">
        <f t="shared" si="140"/>
        <v>2.7119649180655756</v>
      </c>
      <c r="AI943">
        <f t="shared" si="141"/>
        <v>1</v>
      </c>
      <c r="AJ943" s="10">
        <f t="shared" si="142"/>
        <v>0.61680646013290097</v>
      </c>
    </row>
    <row r="944" spans="1:36" hidden="1" x14ac:dyDescent="0.25">
      <c r="A944" t="b">
        <v>0</v>
      </c>
      <c r="B944">
        <v>1000</v>
      </c>
      <c r="C944">
        <v>0.61680646013290097</v>
      </c>
      <c r="D944" t="s">
        <v>52</v>
      </c>
      <c r="E944" t="b">
        <v>1</v>
      </c>
      <c r="F944" t="s">
        <v>53</v>
      </c>
      <c r="G944">
        <v>7.4999999999999997E-2</v>
      </c>
      <c r="H944">
        <v>0.5</v>
      </c>
      <c r="I944">
        <v>1E-4</v>
      </c>
      <c r="J944" t="b">
        <v>1</v>
      </c>
      <c r="K944">
        <v>1</v>
      </c>
      <c r="L944">
        <v>1500</v>
      </c>
      <c r="M944">
        <v>1</v>
      </c>
      <c r="N944">
        <v>0.154</v>
      </c>
      <c r="O944" t="s">
        <v>412</v>
      </c>
      <c r="P944" t="s">
        <v>415</v>
      </c>
      <c r="Q944" s="1">
        <v>-3.1377804420069502E-6</v>
      </c>
      <c r="R944" s="1">
        <v>1.89174949195207E-6</v>
      </c>
      <c r="S944" s="1">
        <v>9.4066427522056307E-6</v>
      </c>
      <c r="T944" s="1">
        <v>-2.2782969708454698E-5</v>
      </c>
      <c r="U944">
        <v>1.49042722179628</v>
      </c>
      <c r="V944">
        <v>0</v>
      </c>
      <c r="W944">
        <v>4.3892669511442099E-2</v>
      </c>
      <c r="X944">
        <v>2</v>
      </c>
      <c r="Y944">
        <v>2.7274218024525698</v>
      </c>
      <c r="Z944">
        <v>2.5000000000000001E-4</v>
      </c>
      <c r="AA944">
        <v>2.4148179661648301</v>
      </c>
      <c r="AB944" s="9">
        <f t="shared" si="134"/>
        <v>-2.4220086069615689</v>
      </c>
      <c r="AC944" s="9">
        <f t="shared" si="135"/>
        <v>-1.4778236765044008</v>
      </c>
      <c r="AD944" s="2">
        <f t="shared" si="136"/>
        <v>-0.38983549758795299</v>
      </c>
      <c r="AE944" s="8">
        <f t="shared" si="137"/>
        <v>2.2919111192602326</v>
      </c>
      <c r="AF944" s="2">
        <f t="shared" si="138"/>
        <v>1.6751046591273315</v>
      </c>
      <c r="AG944" s="8">
        <f t="shared" si="139"/>
        <v>0.61680646013290097</v>
      </c>
      <c r="AH944" s="7">
        <f t="shared" si="140"/>
        <v>2.7157702900297171</v>
      </c>
      <c r="AI944">
        <f t="shared" si="141"/>
        <v>1</v>
      </c>
      <c r="AJ944" s="10">
        <f t="shared" si="142"/>
        <v>0.61680646013290097</v>
      </c>
    </row>
    <row r="945" spans="1:36" hidden="1" x14ac:dyDescent="0.25">
      <c r="A945" t="b">
        <v>0</v>
      </c>
      <c r="B945">
        <v>1000</v>
      </c>
      <c r="C945">
        <v>0.61680646013290097</v>
      </c>
      <c r="D945" t="s">
        <v>52</v>
      </c>
      <c r="E945" t="b">
        <v>1</v>
      </c>
      <c r="F945" t="s">
        <v>53</v>
      </c>
      <c r="G945">
        <v>7.4999999999999997E-2</v>
      </c>
      <c r="H945">
        <v>0.5</v>
      </c>
      <c r="I945">
        <v>1E-4</v>
      </c>
      <c r="J945" t="b">
        <v>1</v>
      </c>
      <c r="K945">
        <v>1</v>
      </c>
      <c r="L945">
        <v>1500</v>
      </c>
      <c r="M945">
        <v>1</v>
      </c>
      <c r="N945">
        <v>0.154</v>
      </c>
      <c r="O945" t="s">
        <v>412</v>
      </c>
      <c r="P945" t="s">
        <v>416</v>
      </c>
      <c r="Q945" s="1">
        <v>-6.15994603780784E-6</v>
      </c>
      <c r="R945" s="1">
        <v>1.4062068841933299E-6</v>
      </c>
      <c r="S945" s="1">
        <v>1.8813180698719599E-5</v>
      </c>
      <c r="T945" s="1">
        <v>-4.5565229718454797E-5</v>
      </c>
      <c r="U945">
        <v>1.4904157573047101</v>
      </c>
      <c r="V945" s="1">
        <v>2.45666875697129E-15</v>
      </c>
      <c r="W945">
        <v>2.40279029623202E-2</v>
      </c>
      <c r="X945">
        <v>2.12401889216508</v>
      </c>
      <c r="Y945">
        <v>1.0198285755352201</v>
      </c>
      <c r="Z945">
        <v>2.5731731332670103E-4</v>
      </c>
      <c r="AA945">
        <v>1.0314884793086601</v>
      </c>
      <c r="AB945" s="9">
        <f t="shared" si="134"/>
        <v>-2.4219843761749393</v>
      </c>
      <c r="AC945" s="9">
        <f t="shared" si="135"/>
        <v>-1.4778236765044008</v>
      </c>
      <c r="AD945" s="2">
        <f t="shared" si="136"/>
        <v>-0.38982939318611942</v>
      </c>
      <c r="AE945" s="8">
        <f t="shared" si="137"/>
        <v>2.2918235945033234</v>
      </c>
      <c r="AF945" s="2">
        <f t="shared" si="138"/>
        <v>1.6750171343704223</v>
      </c>
      <c r="AG945" s="8">
        <f t="shared" si="139"/>
        <v>0.61680646013290097</v>
      </c>
      <c r="AH945" s="7">
        <f t="shared" si="140"/>
        <v>2.7156283901590665</v>
      </c>
      <c r="AI945">
        <f t="shared" si="141"/>
        <v>1</v>
      </c>
      <c r="AJ945" s="10">
        <f t="shared" si="142"/>
        <v>0.61680646013290097</v>
      </c>
    </row>
    <row r="946" spans="1:36" hidden="1" x14ac:dyDescent="0.25">
      <c r="A946" t="b">
        <v>0</v>
      </c>
      <c r="B946">
        <v>1000</v>
      </c>
      <c r="C946">
        <v>0.61680646013290097</v>
      </c>
      <c r="D946" t="s">
        <v>52</v>
      </c>
      <c r="E946" t="b">
        <v>1</v>
      </c>
      <c r="F946" t="s">
        <v>53</v>
      </c>
      <c r="G946">
        <v>7.4999999999999997E-2</v>
      </c>
      <c r="H946">
        <v>0.5</v>
      </c>
      <c r="I946">
        <v>1E-4</v>
      </c>
      <c r="J946" t="b">
        <v>1</v>
      </c>
      <c r="K946">
        <v>1</v>
      </c>
      <c r="L946">
        <v>1500</v>
      </c>
      <c r="M946">
        <v>1</v>
      </c>
      <c r="N946">
        <v>0.154</v>
      </c>
      <c r="O946" t="s">
        <v>412</v>
      </c>
      <c r="P946" t="s">
        <v>417</v>
      </c>
      <c r="Q946" s="1">
        <v>-2.7707976419579299E-5</v>
      </c>
      <c r="R946" s="1">
        <v>6.25166821938232E-6</v>
      </c>
      <c r="S946" s="1">
        <v>8.4622397404058097E-5</v>
      </c>
      <c r="T946">
        <v>-2.0490362172257201E-4</v>
      </c>
      <c r="U946">
        <v>1.4903355700590499</v>
      </c>
      <c r="V946" s="1">
        <v>2.4557693486517399E-15</v>
      </c>
      <c r="W946">
        <v>2.5460093768781E-2</v>
      </c>
      <c r="X946">
        <v>2.12400570335378</v>
      </c>
      <c r="Y946">
        <v>1.0137593677260299</v>
      </c>
      <c r="Z946">
        <v>2.5731932333444401E-4</v>
      </c>
      <c r="AA946">
        <v>1.01945735537771</v>
      </c>
      <c r="AB946" s="9">
        <f t="shared" si="134"/>
        <v>-2.4213875759651522</v>
      </c>
      <c r="AC946" s="9">
        <f t="shared" si="135"/>
        <v>-1.4778236765044008</v>
      </c>
      <c r="AD946" s="2">
        <f t="shared" si="136"/>
        <v>-0.38967900423155177</v>
      </c>
      <c r="AE946" s="8">
        <f t="shared" si="137"/>
        <v>2.2896693424593737</v>
      </c>
      <c r="AF946" s="2">
        <f t="shared" si="138"/>
        <v>1.6728628823264726</v>
      </c>
      <c r="AG946" s="8">
        <f t="shared" si="139"/>
        <v>0.61680646013290097</v>
      </c>
      <c r="AH946" s="7">
        <f t="shared" si="140"/>
        <v>2.7121358002087512</v>
      </c>
      <c r="AI946">
        <f t="shared" si="141"/>
        <v>1</v>
      </c>
      <c r="AJ946" s="10">
        <f t="shared" si="142"/>
        <v>0.61680646013290097</v>
      </c>
    </row>
    <row r="947" spans="1:36" hidden="1" x14ac:dyDescent="0.25">
      <c r="A947" t="b">
        <v>0</v>
      </c>
      <c r="B947">
        <v>1000</v>
      </c>
      <c r="C947">
        <v>0.61680646013290097</v>
      </c>
      <c r="D947" t="s">
        <v>52</v>
      </c>
      <c r="E947" t="b">
        <v>1</v>
      </c>
      <c r="F947" t="s">
        <v>53</v>
      </c>
      <c r="G947">
        <v>7.4999999999999997E-2</v>
      </c>
      <c r="H947">
        <v>0.5</v>
      </c>
      <c r="I947">
        <v>1E-4</v>
      </c>
      <c r="J947" t="b">
        <v>1</v>
      </c>
      <c r="K947">
        <v>1</v>
      </c>
      <c r="L947">
        <v>1500</v>
      </c>
      <c r="M947">
        <v>1</v>
      </c>
      <c r="N947">
        <v>0.154</v>
      </c>
      <c r="O947" t="s">
        <v>412</v>
      </c>
      <c r="P947" t="s">
        <v>418</v>
      </c>
      <c r="Q947" s="1">
        <v>-2.4628239876697199E-5</v>
      </c>
      <c r="R947" s="1">
        <v>5.6581343877044803E-6</v>
      </c>
      <c r="S947" s="1">
        <v>7.5216592574842093E-5</v>
      </c>
      <c r="T947">
        <v>-1.82126324958299E-4</v>
      </c>
      <c r="U947">
        <v>1.4903470332272</v>
      </c>
      <c r="V947" s="1">
        <v>2.4539637326547499E-15</v>
      </c>
      <c r="W947">
        <v>2.4533349023126299E-2</v>
      </c>
      <c r="X947">
        <v>2.1240050643508899</v>
      </c>
      <c r="Y947">
        <v>1.0200589033501399</v>
      </c>
      <c r="Z947">
        <v>2.5731942356015E-4</v>
      </c>
      <c r="AA947">
        <v>1.0380329081127</v>
      </c>
      <c r="AB947" s="9">
        <f t="shared" si="134"/>
        <v>-2.4213583562307672</v>
      </c>
      <c r="AC947" s="9">
        <f t="shared" si="135"/>
        <v>-1.4778236765044008</v>
      </c>
      <c r="AD947" s="2">
        <f t="shared" si="136"/>
        <v>-0.3896716391848456</v>
      </c>
      <c r="AE947" s="8">
        <f t="shared" si="137"/>
        <v>2.2895639412512105</v>
      </c>
      <c r="AF947" s="2">
        <f t="shared" si="138"/>
        <v>1.6727574811183095</v>
      </c>
      <c r="AG947" s="8">
        <f t="shared" si="139"/>
        <v>0.61680646013290097</v>
      </c>
      <c r="AH947" s="7">
        <f t="shared" si="140"/>
        <v>2.7119649180682814</v>
      </c>
      <c r="AI947">
        <f t="shared" si="141"/>
        <v>1</v>
      </c>
      <c r="AJ947" s="10">
        <f t="shared" si="142"/>
        <v>0.61680646013290097</v>
      </c>
    </row>
    <row r="948" spans="1:36" hidden="1" x14ac:dyDescent="0.25">
      <c r="A948" t="b">
        <v>0</v>
      </c>
      <c r="B948">
        <v>1000</v>
      </c>
      <c r="C948">
        <v>0.61680646013290097</v>
      </c>
      <c r="D948" t="s">
        <v>52</v>
      </c>
      <c r="E948" t="b">
        <v>1</v>
      </c>
      <c r="F948" t="s">
        <v>53</v>
      </c>
      <c r="G948">
        <v>7.4999999999999997E-2</v>
      </c>
      <c r="H948">
        <v>0.5</v>
      </c>
      <c r="I948">
        <v>1E-4</v>
      </c>
      <c r="J948" t="b">
        <v>1</v>
      </c>
      <c r="K948">
        <v>1</v>
      </c>
      <c r="L948">
        <v>1500</v>
      </c>
      <c r="M948">
        <v>1</v>
      </c>
      <c r="N948">
        <v>0.154</v>
      </c>
      <c r="O948" t="s">
        <v>412</v>
      </c>
      <c r="P948" t="s">
        <v>419</v>
      </c>
      <c r="Q948" s="1">
        <v>-2.7707976419580299E-5</v>
      </c>
      <c r="R948" s="1">
        <v>6.3390506619330098E-6</v>
      </c>
      <c r="S948" s="1">
        <v>8.4622397404062393E-5</v>
      </c>
      <c r="T948">
        <v>-2.0490362172265701E-4</v>
      </c>
      <c r="U948">
        <v>1.49033557003508</v>
      </c>
      <c r="V948" s="1">
        <v>2.4557693486904899E-15</v>
      </c>
      <c r="W948">
        <v>2.5669707188638199E-2</v>
      </c>
      <c r="X948">
        <v>2.1240057033539501</v>
      </c>
      <c r="Y948">
        <v>1.0164621162365699</v>
      </c>
      <c r="Z948">
        <v>2.5731932333448001E-4</v>
      </c>
      <c r="AA948">
        <v>1.0337032013432399</v>
      </c>
      <c r="AB948" s="9">
        <f t="shared" si="134"/>
        <v>-2.4213875759660337</v>
      </c>
      <c r="AC948" s="9">
        <f t="shared" si="135"/>
        <v>-1.4778236765044008</v>
      </c>
      <c r="AD948" s="2">
        <f t="shared" si="136"/>
        <v>-0.38967900423177393</v>
      </c>
      <c r="AE948" s="8">
        <f t="shared" si="137"/>
        <v>2.2896693424625543</v>
      </c>
      <c r="AF948" s="2">
        <f t="shared" si="138"/>
        <v>1.6728628823296532</v>
      </c>
      <c r="AG948" s="8">
        <f t="shared" si="139"/>
        <v>0.61680646013290097</v>
      </c>
      <c r="AH948" s="7">
        <f t="shared" si="140"/>
        <v>2.712135800213908</v>
      </c>
      <c r="AI948">
        <f t="shared" si="141"/>
        <v>1</v>
      </c>
      <c r="AJ948" s="10">
        <f t="shared" si="142"/>
        <v>0.61680646013290097</v>
      </c>
    </row>
    <row r="949" spans="1:36" hidden="1" x14ac:dyDescent="0.25">
      <c r="A949" t="b">
        <v>0</v>
      </c>
      <c r="B949">
        <v>1000</v>
      </c>
      <c r="C949">
        <v>0.61680646013290097</v>
      </c>
      <c r="D949" t="s">
        <v>52</v>
      </c>
      <c r="E949" t="b">
        <v>1</v>
      </c>
      <c r="F949" t="s">
        <v>53</v>
      </c>
      <c r="G949">
        <v>7.4999999999999997E-2</v>
      </c>
      <c r="H949">
        <v>0.5</v>
      </c>
      <c r="I949">
        <v>1E-4</v>
      </c>
      <c r="J949" t="b">
        <v>1</v>
      </c>
      <c r="K949">
        <v>1</v>
      </c>
      <c r="L949">
        <v>1500</v>
      </c>
      <c r="M949">
        <v>1</v>
      </c>
      <c r="N949">
        <v>0.154</v>
      </c>
      <c r="O949" t="s">
        <v>412</v>
      </c>
      <c r="P949" t="s">
        <v>420</v>
      </c>
      <c r="Q949" s="1">
        <v>-4.7839018078434E-5</v>
      </c>
      <c r="R949" s="1">
        <v>2.81013019760169E-6</v>
      </c>
      <c r="S949">
        <v>1.5042648594377499E-4</v>
      </c>
      <c r="T949">
        <v>-3.6420730348694599E-4</v>
      </c>
      <c r="U949">
        <v>1.49025539182927</v>
      </c>
      <c r="V949" s="1">
        <v>8.37273149156768E-15</v>
      </c>
      <c r="W949">
        <v>5.7825123080500803E-3</v>
      </c>
      <c r="X949">
        <v>2.3827493061486802</v>
      </c>
      <c r="Y949">
        <v>0.18662567572241701</v>
      </c>
      <c r="Z949">
        <v>0.25798923312577099</v>
      </c>
      <c r="AA949">
        <v>0.31044965629082899</v>
      </c>
      <c r="AB949" s="9">
        <f t="shared" si="134"/>
        <v>-2.4211647383897272</v>
      </c>
      <c r="AC949" s="9">
        <f t="shared" si="135"/>
        <v>-1.4778236765044008</v>
      </c>
      <c r="AD949" s="2">
        <f t="shared" si="136"/>
        <v>-0.38962283190722724</v>
      </c>
      <c r="AE949" s="8">
        <f t="shared" si="137"/>
        <v>2.2888656950368609</v>
      </c>
      <c r="AF949" s="2">
        <f t="shared" si="138"/>
        <v>1.6720592349039598</v>
      </c>
      <c r="AG949" s="8">
        <f t="shared" si="139"/>
        <v>0.61680646013290097</v>
      </c>
      <c r="AH949" s="7">
        <f t="shared" si="140"/>
        <v>2.710832883533171</v>
      </c>
      <c r="AI949">
        <f t="shared" si="141"/>
        <v>1</v>
      </c>
      <c r="AJ949" s="10">
        <f t="shared" si="142"/>
        <v>0.61680646013290097</v>
      </c>
    </row>
    <row r="950" spans="1:36" hidden="1" x14ac:dyDescent="0.25">
      <c r="A950" t="b">
        <v>0</v>
      </c>
      <c r="B950">
        <v>1000</v>
      </c>
      <c r="C950">
        <v>0.61680646013290097</v>
      </c>
      <c r="D950" t="s">
        <v>52</v>
      </c>
      <c r="E950" t="b">
        <v>1</v>
      </c>
      <c r="F950" t="s">
        <v>53</v>
      </c>
      <c r="G950">
        <v>7.4999999999999997E-2</v>
      </c>
      <c r="H950">
        <v>0.5</v>
      </c>
      <c r="I950">
        <v>1E-4</v>
      </c>
      <c r="J950" t="b">
        <v>1</v>
      </c>
      <c r="K950">
        <v>1</v>
      </c>
      <c r="L950">
        <v>1500</v>
      </c>
      <c r="M950">
        <v>1</v>
      </c>
      <c r="N950">
        <v>0.154</v>
      </c>
      <c r="O950" t="s">
        <v>413</v>
      </c>
      <c r="P950" t="s">
        <v>414</v>
      </c>
      <c r="Q950" s="1">
        <v>-2.1548251082719599E-5</v>
      </c>
      <c r="R950" s="1">
        <v>4.8684664892834002E-6</v>
      </c>
      <c r="S950" s="1">
        <v>6.5809949822631198E-5</v>
      </c>
      <c r="T950">
        <v>-1.5934335524960601E-4</v>
      </c>
      <c r="U950">
        <v>1.4903355686228601</v>
      </c>
      <c r="V950" s="1">
        <v>2.45368026963225E-15</v>
      </c>
      <c r="W950">
        <v>2.3329759363229299E-2</v>
      </c>
      <c r="X950">
        <v>2.1240030097834799</v>
      </c>
      <c r="Y950">
        <v>1.0177096869023501</v>
      </c>
      <c r="Z950">
        <v>2.5731973657307602E-4</v>
      </c>
      <c r="AA950">
        <v>1.0208543576881901</v>
      </c>
      <c r="AB950" s="9">
        <f t="shared" si="134"/>
        <v>-2.4212654116750274</v>
      </c>
      <c r="AC950" s="9">
        <f t="shared" si="135"/>
        <v>-1.4778236765044008</v>
      </c>
      <c r="AD950" s="2">
        <f t="shared" si="136"/>
        <v>-0.38964821065112198</v>
      </c>
      <c r="AE950" s="8">
        <f t="shared" si="137"/>
        <v>2.2892287172488781</v>
      </c>
      <c r="AF950" s="2">
        <f t="shared" si="138"/>
        <v>1.672422257115977</v>
      </c>
      <c r="AG950" s="8">
        <f t="shared" si="139"/>
        <v>0.61680646013290097</v>
      </c>
      <c r="AH950" s="7">
        <f t="shared" si="140"/>
        <v>2.7114214347813843</v>
      </c>
      <c r="AI950">
        <f t="shared" si="141"/>
        <v>1</v>
      </c>
      <c r="AJ950" s="10">
        <f t="shared" si="142"/>
        <v>0.61680646013290097</v>
      </c>
    </row>
    <row r="951" spans="1:36" hidden="1" x14ac:dyDescent="0.25">
      <c r="A951" t="b">
        <v>0</v>
      </c>
      <c r="B951">
        <v>1000</v>
      </c>
      <c r="C951">
        <v>0.61680646013290097</v>
      </c>
      <c r="D951" t="s">
        <v>52</v>
      </c>
      <c r="E951" t="b">
        <v>1</v>
      </c>
      <c r="F951" t="s">
        <v>53</v>
      </c>
      <c r="G951">
        <v>7.4999999999999997E-2</v>
      </c>
      <c r="H951">
        <v>0.5</v>
      </c>
      <c r="I951">
        <v>1E-4</v>
      </c>
      <c r="J951" t="b">
        <v>1</v>
      </c>
      <c r="K951">
        <v>1</v>
      </c>
      <c r="L951">
        <v>1500</v>
      </c>
      <c r="M951">
        <v>1</v>
      </c>
      <c r="N951">
        <v>0.154</v>
      </c>
      <c r="O951" t="s">
        <v>413</v>
      </c>
      <c r="P951" t="s">
        <v>415</v>
      </c>
      <c r="Q951" s="1">
        <v>-1E-10</v>
      </c>
      <c r="R951" s="1">
        <v>3.5857860163923399E-12</v>
      </c>
      <c r="S951" s="1">
        <v>-1.4123723648297599E-17</v>
      </c>
      <c r="T951" s="1">
        <v>7.3936946548978403E-16</v>
      </c>
      <c r="U951">
        <v>1.4904157571299601</v>
      </c>
      <c r="V951">
        <v>0</v>
      </c>
      <c r="W951">
        <v>6.8474549871083895E-2</v>
      </c>
      <c r="X951">
        <v>2</v>
      </c>
      <c r="Y951">
        <v>4.0005665081512898E-3</v>
      </c>
      <c r="Z951">
        <v>2.5000000000000001E-4</v>
      </c>
      <c r="AA951">
        <v>4.7933530941076897E-3</v>
      </c>
      <c r="AB951" s="9">
        <f t="shared" si="134"/>
        <v>-52.349471279757289</v>
      </c>
      <c r="AC951" s="9">
        <f t="shared" si="135"/>
        <v>-1.4778236765044008</v>
      </c>
      <c r="AD951" s="2">
        <f t="shared" si="136"/>
        <v>-0.97177003625104708</v>
      </c>
      <c r="AE951" s="8">
        <f t="shared" si="137"/>
        <v>-1.0612043324033216</v>
      </c>
      <c r="AF951" s="2">
        <f t="shared" si="138"/>
        <v>-1.6780107925362224</v>
      </c>
      <c r="AG951" s="8">
        <f t="shared" si="139"/>
        <v>0.61680646013290097</v>
      </c>
      <c r="AH951" s="7">
        <f t="shared" si="140"/>
        <v>-2.7204818707227347</v>
      </c>
      <c r="AI951">
        <f t="shared" si="141"/>
        <v>1</v>
      </c>
      <c r="AJ951" s="10">
        <f t="shared" si="142"/>
        <v>0.61680646013290097</v>
      </c>
    </row>
    <row r="952" spans="1:36" hidden="1" x14ac:dyDescent="0.25">
      <c r="A952" t="b">
        <v>0</v>
      </c>
      <c r="B952">
        <v>1000</v>
      </c>
      <c r="C952">
        <v>0.61680646013290097</v>
      </c>
      <c r="D952" t="s">
        <v>52</v>
      </c>
      <c r="E952" t="b">
        <v>1</v>
      </c>
      <c r="F952" t="s">
        <v>53</v>
      </c>
      <c r="G952">
        <v>7.4999999999999997E-2</v>
      </c>
      <c r="H952">
        <v>0.5</v>
      </c>
      <c r="I952">
        <v>1E-4</v>
      </c>
      <c r="J952" t="b">
        <v>1</v>
      </c>
      <c r="K952">
        <v>1</v>
      </c>
      <c r="L952">
        <v>1500</v>
      </c>
      <c r="M952">
        <v>1</v>
      </c>
      <c r="N952">
        <v>0.154</v>
      </c>
      <c r="O952" t="s">
        <v>413</v>
      </c>
      <c r="P952" t="s">
        <v>416</v>
      </c>
      <c r="Q952" s="1">
        <v>-3.1377453676989699E-6</v>
      </c>
      <c r="R952" s="1">
        <v>1.90951953535019E-6</v>
      </c>
      <c r="S952" s="1">
        <v>9.4065379465051898E-6</v>
      </c>
      <c r="T952" s="1">
        <v>-2.2782260009624101E-5</v>
      </c>
      <c r="U952">
        <v>1.49040429263839</v>
      </c>
      <c r="V952">
        <v>0</v>
      </c>
      <c r="W952">
        <v>4.5257428475282399E-2</v>
      </c>
      <c r="X952">
        <v>2</v>
      </c>
      <c r="Y952">
        <v>2.7325618293871701</v>
      </c>
      <c r="Z952">
        <v>2.5000000000000001E-4</v>
      </c>
      <c r="AA952">
        <v>2.4375465135819399</v>
      </c>
      <c r="AB952" s="9">
        <f t="shared" si="134"/>
        <v>-2.4219601450806238</v>
      </c>
      <c r="AC952" s="9">
        <f t="shared" si="135"/>
        <v>-1.4778236765044008</v>
      </c>
      <c r="AD952" s="2">
        <f t="shared" si="136"/>
        <v>-0.38982328858462445</v>
      </c>
      <c r="AE952" s="8">
        <f t="shared" si="137"/>
        <v>2.2917360732891647</v>
      </c>
      <c r="AF952" s="2">
        <f t="shared" si="138"/>
        <v>1.6749296131562637</v>
      </c>
      <c r="AG952" s="8">
        <f t="shared" si="139"/>
        <v>0.61680646013290097</v>
      </c>
      <c r="AH952" s="7">
        <f t="shared" si="140"/>
        <v>2.7154864960321148</v>
      </c>
      <c r="AI952">
        <f t="shared" si="141"/>
        <v>1</v>
      </c>
      <c r="AJ952" s="10">
        <f t="shared" si="142"/>
        <v>0.61680646013290097</v>
      </c>
    </row>
    <row r="953" spans="1:36" hidden="1" x14ac:dyDescent="0.25">
      <c r="A953" t="b">
        <v>0</v>
      </c>
      <c r="B953">
        <v>1000</v>
      </c>
      <c r="C953">
        <v>0.61680646013290097</v>
      </c>
      <c r="D953" t="s">
        <v>52</v>
      </c>
      <c r="E953" t="b">
        <v>1</v>
      </c>
      <c r="F953" t="s">
        <v>53</v>
      </c>
      <c r="G953">
        <v>7.4999999999999997E-2</v>
      </c>
      <c r="H953">
        <v>0.5</v>
      </c>
      <c r="I953">
        <v>1E-4</v>
      </c>
      <c r="J953" t="b">
        <v>1</v>
      </c>
      <c r="K953">
        <v>1</v>
      </c>
      <c r="L953">
        <v>1500</v>
      </c>
      <c r="M953">
        <v>1</v>
      </c>
      <c r="N953">
        <v>0.154</v>
      </c>
      <c r="O953" t="s">
        <v>413</v>
      </c>
      <c r="P953" t="s">
        <v>417</v>
      </c>
      <c r="Q953" s="1">
        <v>-2.46279876259208E-5</v>
      </c>
      <c r="R953" s="1">
        <v>5.5776116518799103E-6</v>
      </c>
      <c r="S953" s="1">
        <v>7.5215754651846795E-5</v>
      </c>
      <c r="T953">
        <v>-1.8212065201380601E-4</v>
      </c>
      <c r="U953">
        <v>1.4903241053927301</v>
      </c>
      <c r="V953" s="1">
        <v>2.45689137795101E-15</v>
      </c>
      <c r="W953">
        <v>2.3820886459716001E-2</v>
      </c>
      <c r="X953">
        <v>2.12400398574274</v>
      </c>
      <c r="Y953">
        <v>1.01736498541668</v>
      </c>
      <c r="Z953">
        <v>2.5731958471019698E-4</v>
      </c>
      <c r="AA953">
        <v>1.0233127104091899</v>
      </c>
      <c r="AB953" s="9">
        <f t="shared" si="134"/>
        <v>-2.4213099084997927</v>
      </c>
      <c r="AC953" s="9">
        <f t="shared" si="135"/>
        <v>-1.4778236765044008</v>
      </c>
      <c r="AD953" s="2">
        <f t="shared" si="136"/>
        <v>-0.38965942718995517</v>
      </c>
      <c r="AE953" s="8">
        <f t="shared" si="137"/>
        <v>2.2893891958395143</v>
      </c>
      <c r="AF953" s="2">
        <f t="shared" si="138"/>
        <v>1.6725827357066132</v>
      </c>
      <c r="AG953" s="8">
        <f t="shared" si="139"/>
        <v>0.61680646013290097</v>
      </c>
      <c r="AH953" s="7">
        <f t="shared" si="140"/>
        <v>2.7116816113537916</v>
      </c>
      <c r="AI953">
        <f t="shared" si="141"/>
        <v>1</v>
      </c>
      <c r="AJ953" s="10">
        <f t="shared" si="142"/>
        <v>0.61680646013290097</v>
      </c>
    </row>
    <row r="954" spans="1:36" hidden="1" x14ac:dyDescent="0.25">
      <c r="A954" t="b">
        <v>0</v>
      </c>
      <c r="B954">
        <v>1000</v>
      </c>
      <c r="C954">
        <v>0.61680646013290097</v>
      </c>
      <c r="D954" t="s">
        <v>52</v>
      </c>
      <c r="E954" t="b">
        <v>1</v>
      </c>
      <c r="F954" t="s">
        <v>53</v>
      </c>
      <c r="G954">
        <v>7.4999999999999997E-2</v>
      </c>
      <c r="H954">
        <v>0.5</v>
      </c>
      <c r="I954">
        <v>1E-4</v>
      </c>
      <c r="J954" t="b">
        <v>1</v>
      </c>
      <c r="K954">
        <v>1</v>
      </c>
      <c r="L954">
        <v>1500</v>
      </c>
      <c r="M954">
        <v>1</v>
      </c>
      <c r="N954">
        <v>0.154</v>
      </c>
      <c r="O954" t="s">
        <v>413</v>
      </c>
      <c r="P954" t="s">
        <v>418</v>
      </c>
      <c r="Q954" s="1">
        <v>-2.15482510827197E-5</v>
      </c>
      <c r="R954" s="1">
        <v>4.8350419531800304E-6</v>
      </c>
      <c r="S954" s="1">
        <v>6.5809949822631604E-5</v>
      </c>
      <c r="T954">
        <v>-1.5934335524962201E-4</v>
      </c>
      <c r="U954">
        <v>1.4903355685608799</v>
      </c>
      <c r="V954" s="1">
        <v>2.4536802711425199E-15</v>
      </c>
      <c r="W954">
        <v>2.3005883360221899E-2</v>
      </c>
      <c r="X954">
        <v>2.1240030097834999</v>
      </c>
      <c r="Y954">
        <v>1.01646353796867</v>
      </c>
      <c r="Z954">
        <v>2.57319736573079E-4</v>
      </c>
      <c r="AA954">
        <v>1.0138674538650601</v>
      </c>
      <c r="AB954" s="9">
        <f t="shared" si="134"/>
        <v>-2.4212654116752552</v>
      </c>
      <c r="AC954" s="9">
        <f t="shared" si="135"/>
        <v>-1.4778236765044008</v>
      </c>
      <c r="AD954" s="2">
        <f t="shared" si="136"/>
        <v>-0.38964821065117938</v>
      </c>
      <c r="AE954" s="8">
        <f t="shared" si="137"/>
        <v>2.2892287172496992</v>
      </c>
      <c r="AF954" s="2">
        <f t="shared" si="138"/>
        <v>1.6724222571167981</v>
      </c>
      <c r="AG954" s="8">
        <f t="shared" si="139"/>
        <v>0.61680646013290097</v>
      </c>
      <c r="AH954" s="7">
        <f t="shared" si="140"/>
        <v>2.7114214347827157</v>
      </c>
      <c r="AI954">
        <f t="shared" si="141"/>
        <v>1</v>
      </c>
      <c r="AJ954" s="10">
        <f t="shared" si="142"/>
        <v>0.61680646013290097</v>
      </c>
    </row>
    <row r="955" spans="1:36" hidden="1" x14ac:dyDescent="0.25">
      <c r="A955" t="b">
        <v>0</v>
      </c>
      <c r="B955">
        <v>1000</v>
      </c>
      <c r="C955">
        <v>0.61680646013290097</v>
      </c>
      <c r="D955" t="s">
        <v>52</v>
      </c>
      <c r="E955" t="b">
        <v>1</v>
      </c>
      <c r="F955" t="s">
        <v>53</v>
      </c>
      <c r="G955">
        <v>7.4999999999999997E-2</v>
      </c>
      <c r="H955">
        <v>0.5</v>
      </c>
      <c r="I955">
        <v>1E-4</v>
      </c>
      <c r="J955" t="b">
        <v>1</v>
      </c>
      <c r="K955">
        <v>1</v>
      </c>
      <c r="L955">
        <v>1500</v>
      </c>
      <c r="M955">
        <v>1</v>
      </c>
      <c r="N955">
        <v>0.154</v>
      </c>
      <c r="O955" t="s">
        <v>413</v>
      </c>
      <c r="P955" t="s">
        <v>419</v>
      </c>
      <c r="Q955" s="1">
        <v>-2.46279876259218E-5</v>
      </c>
      <c r="R955" s="1">
        <v>5.6321617385659196E-6</v>
      </c>
      <c r="S955" s="1">
        <v>7.52157546518525E-5</v>
      </c>
      <c r="T955">
        <v>-1.82120652013982E-4</v>
      </c>
      <c r="U955">
        <v>1.4903241053687599</v>
      </c>
      <c r="V955" s="1">
        <v>2.4568913767037401E-15</v>
      </c>
      <c r="W955">
        <v>2.4137472310216599E-2</v>
      </c>
      <c r="X955">
        <v>2.1240039857430202</v>
      </c>
      <c r="Y955">
        <v>1.0194968346951301</v>
      </c>
      <c r="Z955">
        <v>2.57319584710252E-4</v>
      </c>
      <c r="AA955">
        <v>1.0333142638939199</v>
      </c>
      <c r="AB955" s="9">
        <f t="shared" si="134"/>
        <v>-2.4213099085019487</v>
      </c>
      <c r="AC955" s="9">
        <f t="shared" si="135"/>
        <v>-1.4778236765044008</v>
      </c>
      <c r="AD955" s="2">
        <f t="shared" si="136"/>
        <v>-0.38965942719049862</v>
      </c>
      <c r="AE955" s="8">
        <f t="shared" si="137"/>
        <v>2.2893891958472912</v>
      </c>
      <c r="AF955" s="2">
        <f t="shared" si="138"/>
        <v>1.6725827357143901</v>
      </c>
      <c r="AG955" s="8">
        <f t="shared" si="139"/>
        <v>0.61680646013290097</v>
      </c>
      <c r="AH955" s="7">
        <f t="shared" si="140"/>
        <v>2.7116816113664002</v>
      </c>
      <c r="AI955">
        <f t="shared" si="141"/>
        <v>1</v>
      </c>
      <c r="AJ955" s="10">
        <f t="shared" si="142"/>
        <v>0.61680646013290097</v>
      </c>
    </row>
    <row r="956" spans="1:36" hidden="1" x14ac:dyDescent="0.25">
      <c r="A956" t="b">
        <v>0</v>
      </c>
      <c r="B956">
        <v>1000</v>
      </c>
      <c r="C956">
        <v>0.61680646013290097</v>
      </c>
      <c r="D956" t="s">
        <v>52</v>
      </c>
      <c r="E956" t="b">
        <v>1</v>
      </c>
      <c r="F956" t="s">
        <v>53</v>
      </c>
      <c r="G956">
        <v>7.4999999999999997E-2</v>
      </c>
      <c r="H956">
        <v>0.5</v>
      </c>
      <c r="I956">
        <v>1E-4</v>
      </c>
      <c r="J956" t="b">
        <v>1</v>
      </c>
      <c r="K956">
        <v>1</v>
      </c>
      <c r="L956">
        <v>1500</v>
      </c>
      <c r="M956">
        <v>1</v>
      </c>
      <c r="N956">
        <v>0.154</v>
      </c>
      <c r="O956" t="s">
        <v>413</v>
      </c>
      <c r="P956" t="s">
        <v>420</v>
      </c>
      <c r="Q956" s="1">
        <v>-4.4847598365480502E-5</v>
      </c>
      <c r="R956" s="1">
        <v>2.5945010192632302E-6</v>
      </c>
      <c r="S956">
        <v>1.4101984319156601E-4</v>
      </c>
      <c r="T956">
        <v>-3.4142433377837099E-4</v>
      </c>
      <c r="U956">
        <v>1.49024392716295</v>
      </c>
      <c r="V956" s="1">
        <v>8.3720306575449106E-15</v>
      </c>
      <c r="W956">
        <v>5.6981520453794603E-3</v>
      </c>
      <c r="X956">
        <v>2.3827395753046199</v>
      </c>
      <c r="Y956">
        <v>0.18449428219143901</v>
      </c>
      <c r="Z956">
        <v>0.25797557389647802</v>
      </c>
      <c r="AA956">
        <v>0.30566120635486099</v>
      </c>
      <c r="AB956" s="9">
        <f t="shared" si="134"/>
        <v>-2.4211084486498038</v>
      </c>
      <c r="AC956" s="9">
        <f t="shared" si="135"/>
        <v>-1.4778236765044008</v>
      </c>
      <c r="AD956" s="2">
        <f t="shared" si="136"/>
        <v>-0.38960864089811886</v>
      </c>
      <c r="AE956" s="8">
        <f t="shared" si="137"/>
        <v>2.2886627523220491</v>
      </c>
      <c r="AF956" s="2">
        <f t="shared" si="138"/>
        <v>1.671856292189148</v>
      </c>
      <c r="AG956" s="8">
        <f t="shared" si="139"/>
        <v>0.61680646013290097</v>
      </c>
      <c r="AH956" s="7">
        <f t="shared" si="140"/>
        <v>2.7105038618255057</v>
      </c>
      <c r="AI956">
        <f t="shared" si="141"/>
        <v>1</v>
      </c>
      <c r="AJ956" s="10">
        <f t="shared" si="142"/>
        <v>0.61680646013290097</v>
      </c>
    </row>
    <row r="957" spans="1:36" hidden="1" x14ac:dyDescent="0.25">
      <c r="A957" t="b">
        <v>0</v>
      </c>
      <c r="B957">
        <v>1000</v>
      </c>
      <c r="C957">
        <v>0.61680646013290097</v>
      </c>
      <c r="D957" t="s">
        <v>52</v>
      </c>
      <c r="E957" t="b">
        <v>1</v>
      </c>
      <c r="F957" t="s">
        <v>53</v>
      </c>
      <c r="G957">
        <v>7.4999999999999997E-2</v>
      </c>
      <c r="H957">
        <v>0.5</v>
      </c>
      <c r="I957">
        <v>1E-4</v>
      </c>
      <c r="J957" t="b">
        <v>1</v>
      </c>
      <c r="K957">
        <v>1</v>
      </c>
      <c r="L957">
        <v>1500</v>
      </c>
      <c r="M957">
        <v>1</v>
      </c>
      <c r="N957">
        <v>0.154</v>
      </c>
      <c r="O957" t="s">
        <v>414</v>
      </c>
      <c r="P957" t="s">
        <v>417</v>
      </c>
      <c r="Q957" s="1">
        <v>-3.1375000227976301E-6</v>
      </c>
      <c r="R957" s="1">
        <v>1.88643722647813E-6</v>
      </c>
      <c r="S957" s="1">
        <v>9.4058048292147706E-6</v>
      </c>
      <c r="T957" s="1">
        <v>-2.2777296764279999E-5</v>
      </c>
      <c r="U957">
        <v>1.4902439170416599</v>
      </c>
      <c r="V957">
        <v>0</v>
      </c>
      <c r="W957">
        <v>4.41850593577491E-2</v>
      </c>
      <c r="X957">
        <v>2</v>
      </c>
      <c r="Y957">
        <v>2.7242663389959798</v>
      </c>
      <c r="Z957">
        <v>2.5000000000000001E-4</v>
      </c>
      <c r="AA957">
        <v>2.4082939013254001</v>
      </c>
      <c r="AB957" s="9">
        <f t="shared" si="134"/>
        <v>-2.4216212411225979</v>
      </c>
      <c r="AC957" s="9">
        <f t="shared" si="135"/>
        <v>-1.4778236765044008</v>
      </c>
      <c r="AD957" s="2">
        <f t="shared" si="136"/>
        <v>-0.38973789484134114</v>
      </c>
      <c r="AE957" s="8">
        <f t="shared" si="137"/>
        <v>2.2905124607106484</v>
      </c>
      <c r="AF957" s="2">
        <f t="shared" si="138"/>
        <v>1.6737060005777473</v>
      </c>
      <c r="AG957" s="8">
        <f t="shared" si="139"/>
        <v>0.61680646013290097</v>
      </c>
      <c r="AH957" s="7">
        <f t="shared" si="140"/>
        <v>2.7135027091271389</v>
      </c>
      <c r="AI957">
        <f t="shared" si="141"/>
        <v>1</v>
      </c>
      <c r="AJ957" s="10">
        <f t="shared" si="142"/>
        <v>0.61680646013290097</v>
      </c>
    </row>
    <row r="958" spans="1:36" hidden="1" x14ac:dyDescent="0.25">
      <c r="A958" t="b">
        <v>0</v>
      </c>
      <c r="B958">
        <v>1000</v>
      </c>
      <c r="C958">
        <v>0.61680646013290097</v>
      </c>
      <c r="D958" t="s">
        <v>52</v>
      </c>
      <c r="E958" t="b">
        <v>1</v>
      </c>
      <c r="F958" t="s">
        <v>53</v>
      </c>
      <c r="G958">
        <v>7.4999999999999997E-2</v>
      </c>
      <c r="H958">
        <v>0.5</v>
      </c>
      <c r="I958">
        <v>1E-4</v>
      </c>
      <c r="J958" t="b">
        <v>1</v>
      </c>
      <c r="K958">
        <v>1</v>
      </c>
      <c r="L958">
        <v>1500</v>
      </c>
      <c r="M958">
        <v>1</v>
      </c>
      <c r="N958">
        <v>0.154</v>
      </c>
      <c r="O958" t="s">
        <v>414</v>
      </c>
      <c r="P958" t="s">
        <v>418</v>
      </c>
      <c r="Q958" s="1">
        <v>-1E-10</v>
      </c>
      <c r="R958" s="1">
        <v>3.5857859845700499E-12</v>
      </c>
      <c r="S958" s="1">
        <v>-3.3091262004384299E-18</v>
      </c>
      <c r="T958" s="1">
        <v>3.08655409717705E-16</v>
      </c>
      <c r="U958">
        <v>1.49025538020981</v>
      </c>
      <c r="V958">
        <v>0</v>
      </c>
      <c r="W958">
        <v>6.8474549263402198E-2</v>
      </c>
      <c r="X958">
        <v>2</v>
      </c>
      <c r="Y958">
        <v>4.0005664726480098E-3</v>
      </c>
      <c r="Z958">
        <v>2.5000000000000001E-4</v>
      </c>
      <c r="AA958">
        <v>4.7933530515687798E-3</v>
      </c>
      <c r="AB958" s="9">
        <f t="shared" si="134"/>
        <v>-93.273991689047975</v>
      </c>
      <c r="AC958" s="9">
        <f t="shared" si="135"/>
        <v>-1.4778236765044008</v>
      </c>
      <c r="AD958" s="2">
        <f t="shared" si="136"/>
        <v>-0.9841561012910105</v>
      </c>
      <c r="AE958" s="8">
        <f t="shared" si="137"/>
        <v>-1.0333553262211514</v>
      </c>
      <c r="AF958" s="2">
        <f t="shared" si="138"/>
        <v>-1.6501617863540523</v>
      </c>
      <c r="AG958" s="8">
        <f t="shared" si="139"/>
        <v>0.61680646013290097</v>
      </c>
      <c r="AH958" s="7">
        <f t="shared" si="140"/>
        <v>-2.6753315553771895</v>
      </c>
      <c r="AI958">
        <f t="shared" si="141"/>
        <v>1</v>
      </c>
      <c r="AJ958" s="10">
        <f t="shared" si="142"/>
        <v>0.61680646013290097</v>
      </c>
    </row>
    <row r="959" spans="1:36" hidden="1" x14ac:dyDescent="0.25">
      <c r="A959" t="b">
        <v>0</v>
      </c>
      <c r="B959">
        <v>1000</v>
      </c>
      <c r="C959">
        <v>0.61680646013290097</v>
      </c>
      <c r="D959" t="s">
        <v>52</v>
      </c>
      <c r="E959" t="b">
        <v>1</v>
      </c>
      <c r="F959" t="s">
        <v>53</v>
      </c>
      <c r="G959">
        <v>7.4999999999999997E-2</v>
      </c>
      <c r="H959">
        <v>0.5</v>
      </c>
      <c r="I959">
        <v>1E-4</v>
      </c>
      <c r="J959" t="b">
        <v>1</v>
      </c>
      <c r="K959">
        <v>1</v>
      </c>
      <c r="L959">
        <v>1500</v>
      </c>
      <c r="M959">
        <v>1</v>
      </c>
      <c r="N959">
        <v>0.154</v>
      </c>
      <c r="O959" t="s">
        <v>414</v>
      </c>
      <c r="P959" t="s">
        <v>419</v>
      </c>
      <c r="Q959" s="1">
        <v>-3.1375000227976301E-6</v>
      </c>
      <c r="R959" s="1">
        <v>1.8864372264604001E-6</v>
      </c>
      <c r="S959" s="1">
        <v>9.4058048292182993E-6</v>
      </c>
      <c r="T959" s="1">
        <v>-2.27772967643153E-5</v>
      </c>
      <c r="U959">
        <v>1.4902439170177</v>
      </c>
      <c r="V959">
        <v>0</v>
      </c>
      <c r="W959">
        <v>4.41850593573338E-2</v>
      </c>
      <c r="X959">
        <v>2</v>
      </c>
      <c r="Y959">
        <v>2.7242663389703701</v>
      </c>
      <c r="Z959">
        <v>2.5000000000000001E-4</v>
      </c>
      <c r="AA959">
        <v>2.40829390130276</v>
      </c>
      <c r="AB959" s="9">
        <f t="shared" si="134"/>
        <v>-2.4216212411254427</v>
      </c>
      <c r="AC959" s="9">
        <f t="shared" si="135"/>
        <v>-1.4778236765044008</v>
      </c>
      <c r="AD959" s="2">
        <f t="shared" si="136"/>
        <v>-0.38973789484205801</v>
      </c>
      <c r="AE959" s="8">
        <f t="shared" si="137"/>
        <v>2.2905124607209149</v>
      </c>
      <c r="AF959" s="2">
        <f t="shared" si="138"/>
        <v>1.6737060005880138</v>
      </c>
      <c r="AG959" s="8">
        <f t="shared" si="139"/>
        <v>0.61680646013290097</v>
      </c>
      <c r="AH959" s="7">
        <f t="shared" si="140"/>
        <v>2.7135027091437833</v>
      </c>
      <c r="AI959">
        <f t="shared" si="141"/>
        <v>1</v>
      </c>
      <c r="AJ959" s="10">
        <f t="shared" si="142"/>
        <v>0.61680646013290097</v>
      </c>
    </row>
    <row r="960" spans="1:36" hidden="1" x14ac:dyDescent="0.25">
      <c r="A960" t="b">
        <v>0</v>
      </c>
      <c r="B960">
        <v>1000</v>
      </c>
      <c r="C960">
        <v>0.61680646013290097</v>
      </c>
      <c r="D960" t="s">
        <v>52</v>
      </c>
      <c r="E960" t="b">
        <v>1</v>
      </c>
      <c r="F960" t="s">
        <v>53</v>
      </c>
      <c r="G960">
        <v>7.4999999999999997E-2</v>
      </c>
      <c r="H960">
        <v>0.5</v>
      </c>
      <c r="I960">
        <v>1E-4</v>
      </c>
      <c r="J960" t="b">
        <v>1</v>
      </c>
      <c r="K960">
        <v>1</v>
      </c>
      <c r="L960">
        <v>1500</v>
      </c>
      <c r="M960">
        <v>1</v>
      </c>
      <c r="N960">
        <v>0.154</v>
      </c>
      <c r="O960" t="s">
        <v>414</v>
      </c>
      <c r="P960" t="s">
        <v>420</v>
      </c>
      <c r="Q960" s="1">
        <v>-2.4626223074078501E-5</v>
      </c>
      <c r="R960" s="1">
        <v>5.5856502440091599E-6</v>
      </c>
      <c r="S960" s="1">
        <v>7.5209893368936002E-5</v>
      </c>
      <c r="T960">
        <v>-1.82080978528772E-4</v>
      </c>
      <c r="U960">
        <v>1.49016373881188</v>
      </c>
      <c r="V960" s="1">
        <v>2.4544471417769699E-15</v>
      </c>
      <c r="W960">
        <v>2.38166750686481E-2</v>
      </c>
      <c r="X960">
        <v>2.12399644205244</v>
      </c>
      <c r="Y960">
        <v>1.01752922510397</v>
      </c>
      <c r="Z960">
        <v>2.5732071143243299E-4</v>
      </c>
      <c r="AA960">
        <v>1.0248386490270101</v>
      </c>
      <c r="AB960" s="9">
        <f t="shared" si="134"/>
        <v>-2.4209711033040375</v>
      </c>
      <c r="AC960" s="9">
        <f t="shared" si="135"/>
        <v>-1.4778236765044008</v>
      </c>
      <c r="AD960" s="2">
        <f t="shared" si="136"/>
        <v>-0.38957401247477497</v>
      </c>
      <c r="AE960" s="8">
        <f t="shared" si="137"/>
        <v>2.288167683030534</v>
      </c>
      <c r="AF960" s="2">
        <f t="shared" si="138"/>
        <v>1.6713612228976329</v>
      </c>
      <c r="AG960" s="8">
        <f t="shared" si="139"/>
        <v>0.61680646013290097</v>
      </c>
      <c r="AH960" s="7">
        <f t="shared" si="140"/>
        <v>2.7097012287087767</v>
      </c>
      <c r="AI960">
        <f t="shared" si="141"/>
        <v>1</v>
      </c>
      <c r="AJ960" s="10">
        <f t="shared" si="142"/>
        <v>0.61680646013290097</v>
      </c>
    </row>
    <row r="961" spans="1:36" hidden="1" x14ac:dyDescent="0.25">
      <c r="A961" t="b">
        <v>0</v>
      </c>
      <c r="B961">
        <v>1000</v>
      </c>
      <c r="C961">
        <v>0.61680646013290097</v>
      </c>
      <c r="D961" t="s">
        <v>52</v>
      </c>
      <c r="E961" t="b">
        <v>1</v>
      </c>
      <c r="F961" t="s">
        <v>53</v>
      </c>
      <c r="G961">
        <v>7.4999999999999997E-2</v>
      </c>
      <c r="H961">
        <v>0.5</v>
      </c>
      <c r="I961">
        <v>1E-4</v>
      </c>
      <c r="J961" t="b">
        <v>1</v>
      </c>
      <c r="K961">
        <v>1</v>
      </c>
      <c r="L961">
        <v>1500</v>
      </c>
      <c r="M961">
        <v>1</v>
      </c>
      <c r="N961">
        <v>0.154</v>
      </c>
      <c r="O961" t="s">
        <v>415</v>
      </c>
      <c r="P961" t="s">
        <v>416</v>
      </c>
      <c r="Q961" s="1">
        <v>-3.1377453676989699E-6</v>
      </c>
      <c r="R961" s="1">
        <v>1.90951953535235E-6</v>
      </c>
      <c r="S961" s="1">
        <v>9.4065379465144106E-6</v>
      </c>
      <c r="T961" s="1">
        <v>-2.2782260009989701E-5</v>
      </c>
      <c r="U961">
        <v>1.4904042927944201</v>
      </c>
      <c r="V961">
        <v>0</v>
      </c>
      <c r="W961">
        <v>4.5257428475333601E-2</v>
      </c>
      <c r="X961">
        <v>2</v>
      </c>
      <c r="Y961">
        <v>2.73256182939026</v>
      </c>
      <c r="Z961">
        <v>2.5000000000000001E-4</v>
      </c>
      <c r="AA961">
        <v>2.4375465135846999</v>
      </c>
      <c r="AB961" s="9">
        <f t="shared" si="134"/>
        <v>-2.421960145117116</v>
      </c>
      <c r="AC961" s="9">
        <f t="shared" si="135"/>
        <v>-1.4778236765044008</v>
      </c>
      <c r="AD961" s="2">
        <f t="shared" si="136"/>
        <v>-0.3898232885938181</v>
      </c>
      <c r="AE961" s="8">
        <f t="shared" si="137"/>
        <v>2.2917360734209677</v>
      </c>
      <c r="AF961" s="2">
        <f t="shared" si="138"/>
        <v>1.6749296132880667</v>
      </c>
      <c r="AG961" s="8">
        <f t="shared" si="139"/>
        <v>0.61680646013290097</v>
      </c>
      <c r="AH961" s="7">
        <f t="shared" si="140"/>
        <v>2.7154864962458012</v>
      </c>
      <c r="AI961">
        <f t="shared" si="141"/>
        <v>1</v>
      </c>
      <c r="AJ961" s="10">
        <f t="shared" si="142"/>
        <v>0.61680646013290097</v>
      </c>
    </row>
    <row r="962" spans="1:36" hidden="1" x14ac:dyDescent="0.25">
      <c r="A962" t="b">
        <v>0</v>
      </c>
      <c r="B962">
        <v>1000</v>
      </c>
      <c r="C962">
        <v>0.61680646013290097</v>
      </c>
      <c r="D962" t="s">
        <v>52</v>
      </c>
      <c r="E962" t="b">
        <v>1</v>
      </c>
      <c r="F962" t="s">
        <v>53</v>
      </c>
      <c r="G962">
        <v>7.4999999999999997E-2</v>
      </c>
      <c r="H962">
        <v>0.5</v>
      </c>
      <c r="I962">
        <v>1E-4</v>
      </c>
      <c r="J962" t="b">
        <v>1</v>
      </c>
      <c r="K962">
        <v>1</v>
      </c>
      <c r="L962">
        <v>1500</v>
      </c>
      <c r="M962">
        <v>1</v>
      </c>
      <c r="N962">
        <v>0.154</v>
      </c>
      <c r="O962" t="s">
        <v>415</v>
      </c>
      <c r="P962" t="s">
        <v>417</v>
      </c>
      <c r="Q962" s="1">
        <v>-2.4627987625921901E-5</v>
      </c>
      <c r="R962" s="1">
        <v>5.6876618224445199E-6</v>
      </c>
      <c r="S962" s="1">
        <v>7.5215754651857095E-5</v>
      </c>
      <c r="T962">
        <v>-1.82120652014226E-4</v>
      </c>
      <c r="U962">
        <v>1.4903241055487599</v>
      </c>
      <c r="V962" s="1">
        <v>2.4568913779639E-15</v>
      </c>
      <c r="W962">
        <v>2.5048647064777701E-2</v>
      </c>
      <c r="X962">
        <v>2.1240039857432702</v>
      </c>
      <c r="Y962">
        <v>1.0203987556295799</v>
      </c>
      <c r="Z962">
        <v>2.5731958471029098E-4</v>
      </c>
      <c r="AA962">
        <v>1.0434609098724501</v>
      </c>
      <c r="AB962" s="9">
        <f t="shared" si="134"/>
        <v>-2.4213099085050449</v>
      </c>
      <c r="AC962" s="9">
        <f t="shared" si="135"/>
        <v>-1.4778236765044008</v>
      </c>
      <c r="AD962" s="2">
        <f t="shared" si="136"/>
        <v>-0.389659427191279</v>
      </c>
      <c r="AE962" s="8">
        <f t="shared" si="137"/>
        <v>2.2893891958584578</v>
      </c>
      <c r="AF962" s="2">
        <f t="shared" si="138"/>
        <v>1.6725827357255567</v>
      </c>
      <c r="AG962" s="8">
        <f t="shared" si="139"/>
        <v>0.61680646013290097</v>
      </c>
      <c r="AH962" s="7">
        <f t="shared" si="140"/>
        <v>2.7116816113845039</v>
      </c>
      <c r="AI962">
        <f t="shared" si="141"/>
        <v>1</v>
      </c>
      <c r="AJ962" s="10">
        <f t="shared" si="142"/>
        <v>0.61680646013290097</v>
      </c>
    </row>
    <row r="963" spans="1:36" hidden="1" x14ac:dyDescent="0.25">
      <c r="A963" t="b">
        <v>0</v>
      </c>
      <c r="B963">
        <v>1000</v>
      </c>
      <c r="C963">
        <v>0.61680646013290097</v>
      </c>
      <c r="D963" t="s">
        <v>52</v>
      </c>
      <c r="E963" t="b">
        <v>1</v>
      </c>
      <c r="F963" t="s">
        <v>53</v>
      </c>
      <c r="G963">
        <v>7.4999999999999997E-2</v>
      </c>
      <c r="H963">
        <v>0.5</v>
      </c>
      <c r="I963">
        <v>1E-4</v>
      </c>
      <c r="J963" t="b">
        <v>1</v>
      </c>
      <c r="K963">
        <v>1</v>
      </c>
      <c r="L963">
        <v>1500</v>
      </c>
      <c r="M963">
        <v>1</v>
      </c>
      <c r="N963">
        <v>0.154</v>
      </c>
      <c r="O963" t="s">
        <v>415</v>
      </c>
      <c r="P963" t="s">
        <v>418</v>
      </c>
      <c r="Q963" s="1">
        <v>-2.1548251082720802E-5</v>
      </c>
      <c r="R963" s="1">
        <v>4.8266175296392999E-6</v>
      </c>
      <c r="S963" s="1">
        <v>6.5809949822641904E-5</v>
      </c>
      <c r="T963">
        <v>-1.5934335525003099E-4</v>
      </c>
      <c r="U963">
        <v>1.49033556871691</v>
      </c>
      <c r="V963" s="1">
        <v>2.4536802691019899E-15</v>
      </c>
      <c r="W963">
        <v>2.3201685552798001E-2</v>
      </c>
      <c r="X963">
        <v>2.1240030097841101</v>
      </c>
      <c r="Y963">
        <v>1.0156288384677401</v>
      </c>
      <c r="Z963">
        <v>2.5731973657318601E-4</v>
      </c>
      <c r="AA963">
        <v>1.0121139229393601</v>
      </c>
      <c r="AB963" s="9">
        <f t="shared" si="134"/>
        <v>-2.421265411681091</v>
      </c>
      <c r="AC963" s="9">
        <f t="shared" si="135"/>
        <v>-1.4778236765044008</v>
      </c>
      <c r="AD963" s="2">
        <f t="shared" si="136"/>
        <v>-0.38964821065265043</v>
      </c>
      <c r="AE963" s="8">
        <f t="shared" si="137"/>
        <v>2.2892287172707455</v>
      </c>
      <c r="AF963" s="2">
        <f t="shared" si="138"/>
        <v>1.6724222571378444</v>
      </c>
      <c r="AG963" s="8">
        <f t="shared" si="139"/>
        <v>0.61680646013290097</v>
      </c>
      <c r="AH963" s="7">
        <f t="shared" si="140"/>
        <v>2.7114214348168368</v>
      </c>
      <c r="AI963">
        <f t="shared" si="141"/>
        <v>1</v>
      </c>
      <c r="AJ963" s="10">
        <f t="shared" si="142"/>
        <v>0.61680646013290097</v>
      </c>
    </row>
    <row r="964" spans="1:36" hidden="1" x14ac:dyDescent="0.25">
      <c r="A964" t="b">
        <v>0</v>
      </c>
      <c r="B964">
        <v>1000</v>
      </c>
      <c r="C964">
        <v>0.61680646013290097</v>
      </c>
      <c r="D964" t="s">
        <v>52</v>
      </c>
      <c r="E964" t="b">
        <v>1</v>
      </c>
      <c r="F964" t="s">
        <v>53</v>
      </c>
      <c r="G964">
        <v>7.4999999999999997E-2</v>
      </c>
      <c r="H964">
        <v>0.5</v>
      </c>
      <c r="I964">
        <v>1E-4</v>
      </c>
      <c r="J964" t="b">
        <v>1</v>
      </c>
      <c r="K964">
        <v>1</v>
      </c>
      <c r="L964">
        <v>1500</v>
      </c>
      <c r="M964">
        <v>1</v>
      </c>
      <c r="N964">
        <v>0.154</v>
      </c>
      <c r="O964" t="s">
        <v>415</v>
      </c>
      <c r="P964" t="s">
        <v>419</v>
      </c>
      <c r="Q964" s="1">
        <v>-2.4627987625922901E-5</v>
      </c>
      <c r="R964" s="1">
        <v>5.6297435717552199E-6</v>
      </c>
      <c r="S964" s="1">
        <v>7.5215754651862096E-5</v>
      </c>
      <c r="T964">
        <v>-1.82120652014357E-4</v>
      </c>
      <c r="U964">
        <v>1.49032410552479</v>
      </c>
      <c r="V964" s="1">
        <v>2.45689137761856E-15</v>
      </c>
      <c r="W964">
        <v>2.42713246925941E-2</v>
      </c>
      <c r="X964">
        <v>2.1240039857434998</v>
      </c>
      <c r="Y964">
        <v>1.0190856524435501</v>
      </c>
      <c r="Z964">
        <v>2.5731958471033901E-4</v>
      </c>
      <c r="AA964">
        <v>1.03285455164425</v>
      </c>
      <c r="AB964" s="9">
        <f t="shared" si="134"/>
        <v>-2.4213099085066254</v>
      </c>
      <c r="AC964" s="9">
        <f t="shared" si="135"/>
        <v>-1.4778236765044008</v>
      </c>
      <c r="AD964" s="2">
        <f t="shared" si="136"/>
        <v>-0.38965942719167745</v>
      </c>
      <c r="AE964" s="8">
        <f t="shared" si="137"/>
        <v>2.2893891958641577</v>
      </c>
      <c r="AF964" s="2">
        <f t="shared" si="138"/>
        <v>1.6725827357312566</v>
      </c>
      <c r="AG964" s="8">
        <f t="shared" si="139"/>
        <v>0.61680646013290097</v>
      </c>
      <c r="AH964" s="7">
        <f t="shared" si="140"/>
        <v>2.711681611393745</v>
      </c>
      <c r="AI964">
        <f t="shared" si="141"/>
        <v>1</v>
      </c>
      <c r="AJ964" s="10">
        <f t="shared" si="142"/>
        <v>0.61680646013290097</v>
      </c>
    </row>
    <row r="965" spans="1:36" hidden="1" x14ac:dyDescent="0.25">
      <c r="A965" t="b">
        <v>0</v>
      </c>
      <c r="B965">
        <v>1000</v>
      </c>
      <c r="C965">
        <v>0.61680646013290097</v>
      </c>
      <c r="D965" t="s">
        <v>52</v>
      </c>
      <c r="E965" t="b">
        <v>1</v>
      </c>
      <c r="F965" t="s">
        <v>53</v>
      </c>
      <c r="G965">
        <v>7.4999999999999997E-2</v>
      </c>
      <c r="H965">
        <v>0.5</v>
      </c>
      <c r="I965">
        <v>1E-4</v>
      </c>
      <c r="J965" t="b">
        <v>1</v>
      </c>
      <c r="K965">
        <v>1</v>
      </c>
      <c r="L965">
        <v>1500</v>
      </c>
      <c r="M965">
        <v>1</v>
      </c>
      <c r="N965">
        <v>0.154</v>
      </c>
      <c r="O965" t="s">
        <v>415</v>
      </c>
      <c r="P965" t="s">
        <v>420</v>
      </c>
      <c r="Q965" s="1">
        <v>-4.4847598374780199E-5</v>
      </c>
      <c r="R965" s="1">
        <v>2.56300990254827E-6</v>
      </c>
      <c r="S965">
        <v>1.4101984319157601E-4</v>
      </c>
      <c r="T965">
        <v>-3.4142433377875198E-4</v>
      </c>
      <c r="U965">
        <v>1.49024392731898</v>
      </c>
      <c r="V965" s="1">
        <v>8.3683014094251394E-15</v>
      </c>
      <c r="W965">
        <v>5.6788860838653098E-3</v>
      </c>
      <c r="X965">
        <v>2.3827395802162101</v>
      </c>
      <c r="Y965">
        <v>0.18231812452363499</v>
      </c>
      <c r="Z965">
        <v>0.25797557194026399</v>
      </c>
      <c r="AA965">
        <v>0.30200470440381399</v>
      </c>
      <c r="AB965" s="9">
        <f t="shared" si="134"/>
        <v>-2.4211084486523338</v>
      </c>
      <c r="AC965" s="9">
        <f t="shared" si="135"/>
        <v>-1.4778236765044008</v>
      </c>
      <c r="AD965" s="2">
        <f t="shared" si="136"/>
        <v>-0.38960864089875669</v>
      </c>
      <c r="AE965" s="8">
        <f t="shared" si="137"/>
        <v>2.2886627523311702</v>
      </c>
      <c r="AF965" s="2">
        <f t="shared" si="138"/>
        <v>1.6718562921982691</v>
      </c>
      <c r="AG965" s="8">
        <f t="shared" si="139"/>
        <v>0.61680646013290097</v>
      </c>
      <c r="AH965" s="7">
        <f t="shared" si="140"/>
        <v>2.7105038618402935</v>
      </c>
      <c r="AI965">
        <f t="shared" si="141"/>
        <v>1</v>
      </c>
      <c r="AJ965" s="10">
        <f t="shared" si="142"/>
        <v>0.61680646013290097</v>
      </c>
    </row>
    <row r="966" spans="1:36" hidden="1" x14ac:dyDescent="0.25">
      <c r="A966" t="b">
        <v>0</v>
      </c>
      <c r="B966">
        <v>1000</v>
      </c>
      <c r="C966">
        <v>0.61680646013290097</v>
      </c>
      <c r="D966" t="s">
        <v>52</v>
      </c>
      <c r="E966" t="b">
        <v>1</v>
      </c>
      <c r="F966" t="s">
        <v>53</v>
      </c>
      <c r="G966">
        <v>7.4999999999999997E-2</v>
      </c>
      <c r="H966">
        <v>0.5</v>
      </c>
      <c r="I966">
        <v>1E-4</v>
      </c>
      <c r="J966" t="b">
        <v>1</v>
      </c>
      <c r="K966">
        <v>1</v>
      </c>
      <c r="L966">
        <v>1500</v>
      </c>
      <c r="M966">
        <v>1</v>
      </c>
      <c r="N966">
        <v>0.154</v>
      </c>
      <c r="O966" t="s">
        <v>416</v>
      </c>
      <c r="P966" t="s">
        <v>417</v>
      </c>
      <c r="Q966" s="1">
        <v>-2.1548030382222401E-5</v>
      </c>
      <c r="R966" s="1">
        <v>4.8859200002851001E-6</v>
      </c>
      <c r="S966" s="1">
        <v>6.5809216705342398E-5</v>
      </c>
      <c r="T966">
        <v>-1.59338392004224E-4</v>
      </c>
      <c r="U966">
        <v>1.4903126410571901</v>
      </c>
      <c r="V966" s="1">
        <v>2.45577767128462E-15</v>
      </c>
      <c r="W966">
        <v>2.3518013966579002E-2</v>
      </c>
      <c r="X966">
        <v>2.1240019316401</v>
      </c>
      <c r="Y966">
        <v>1.0183503263978699</v>
      </c>
      <c r="Z966">
        <v>2.57319897720282E-4</v>
      </c>
      <c r="AA966">
        <v>1.0245130096208099</v>
      </c>
      <c r="AB966" s="9">
        <f t="shared" si="134"/>
        <v>-2.4212169659708001</v>
      </c>
      <c r="AC966" s="9">
        <f t="shared" si="135"/>
        <v>-1.4778236765044008</v>
      </c>
      <c r="AD966" s="2">
        <f t="shared" si="136"/>
        <v>-0.38963599822956818</v>
      </c>
      <c r="AE966" s="8">
        <f t="shared" si="137"/>
        <v>2.2890540147577561</v>
      </c>
      <c r="AF966" s="2">
        <f t="shared" si="138"/>
        <v>1.672247554624855</v>
      </c>
      <c r="AG966" s="8">
        <f t="shared" si="139"/>
        <v>0.61680646013290097</v>
      </c>
      <c r="AH966" s="7">
        <f t="shared" si="140"/>
        <v>2.7111381976520512</v>
      </c>
      <c r="AI966">
        <f t="shared" si="141"/>
        <v>1</v>
      </c>
      <c r="AJ966" s="10">
        <f t="shared" si="142"/>
        <v>0.61680646013290097</v>
      </c>
    </row>
    <row r="967" spans="1:36" hidden="1" x14ac:dyDescent="0.25">
      <c r="A967" t="b">
        <v>0</v>
      </c>
      <c r="B967">
        <v>1000</v>
      </c>
      <c r="C967">
        <v>0.61680646013290097</v>
      </c>
      <c r="D967" t="s">
        <v>52</v>
      </c>
      <c r="E967" t="b">
        <v>1</v>
      </c>
      <c r="F967" t="s">
        <v>53</v>
      </c>
      <c r="G967">
        <v>7.4999999999999997E-2</v>
      </c>
      <c r="H967">
        <v>0.5</v>
      </c>
      <c r="I967">
        <v>1E-4</v>
      </c>
      <c r="J967" t="b">
        <v>1</v>
      </c>
      <c r="K967">
        <v>1</v>
      </c>
      <c r="L967">
        <v>1500</v>
      </c>
      <c r="M967">
        <v>1</v>
      </c>
      <c r="N967">
        <v>0.154</v>
      </c>
      <c r="O967" t="s">
        <v>416</v>
      </c>
      <c r="P967" t="s">
        <v>418</v>
      </c>
      <c r="Q967" s="1">
        <v>-1.8468293838986902E-5</v>
      </c>
      <c r="R967" s="1">
        <v>4.3771381770634096E-6</v>
      </c>
      <c r="S967" s="1">
        <v>5.6403411876117802E-5</v>
      </c>
      <c r="T967">
        <v>-1.3656109523957501E-4</v>
      </c>
      <c r="U967">
        <v>1.4903241042253399</v>
      </c>
      <c r="V967" s="1">
        <v>2.45628798882264E-15</v>
      </c>
      <c r="W967">
        <v>2.7928315802950701E-2</v>
      </c>
      <c r="X967">
        <v>2.1240004502068399</v>
      </c>
      <c r="Y967">
        <v>1.0212032598401699</v>
      </c>
      <c r="Z967">
        <v>2.5732012721542999E-4</v>
      </c>
      <c r="AA967">
        <v>1.07078702886372</v>
      </c>
      <c r="AB967" s="9">
        <f t="shared" si="134"/>
        <v>-2.4211495492420272</v>
      </c>
      <c r="AC967" s="9">
        <f t="shared" si="135"/>
        <v>-1.4778236765044008</v>
      </c>
      <c r="AD967" s="2">
        <f t="shared" si="136"/>
        <v>-0.38961900268942373</v>
      </c>
      <c r="AE967" s="8">
        <f t="shared" si="137"/>
        <v>2.2888109307802722</v>
      </c>
      <c r="AF967" s="2">
        <f t="shared" si="138"/>
        <v>1.6720044706473711</v>
      </c>
      <c r="AG967" s="8">
        <f t="shared" si="139"/>
        <v>0.61680646013290097</v>
      </c>
      <c r="AH967" s="7">
        <f t="shared" si="140"/>
        <v>2.710744096757856</v>
      </c>
      <c r="AI967">
        <f t="shared" si="141"/>
        <v>1</v>
      </c>
      <c r="AJ967" s="10">
        <f t="shared" si="142"/>
        <v>0.61680646013290097</v>
      </c>
    </row>
    <row r="968" spans="1:36" hidden="1" x14ac:dyDescent="0.25">
      <c r="A968" t="b">
        <v>0</v>
      </c>
      <c r="B968">
        <v>1000</v>
      </c>
      <c r="C968">
        <v>0.61680646013290097</v>
      </c>
      <c r="D968" t="s">
        <v>52</v>
      </c>
      <c r="E968" t="b">
        <v>1</v>
      </c>
      <c r="F968" t="s">
        <v>53</v>
      </c>
      <c r="G968">
        <v>7.4999999999999997E-2</v>
      </c>
      <c r="H968">
        <v>0.5</v>
      </c>
      <c r="I968">
        <v>1E-4</v>
      </c>
      <c r="J968" t="b">
        <v>1</v>
      </c>
      <c r="K968">
        <v>1</v>
      </c>
      <c r="L968">
        <v>1500</v>
      </c>
      <c r="M968">
        <v>1</v>
      </c>
      <c r="N968">
        <v>0.154</v>
      </c>
      <c r="O968" t="s">
        <v>416</v>
      </c>
      <c r="P968" t="s">
        <v>419</v>
      </c>
      <c r="Q968" s="1">
        <v>-2.15480303822234E-5</v>
      </c>
      <c r="R968" s="1">
        <v>4.8186439242602903E-6</v>
      </c>
      <c r="S968" s="1">
        <v>6.5809216705346396E-5</v>
      </c>
      <c r="T968">
        <v>-1.59338392004297E-4</v>
      </c>
      <c r="U968">
        <v>1.4903126410332299</v>
      </c>
      <c r="V968" s="1">
        <v>2.45577767092738E-15</v>
      </c>
      <c r="W968">
        <v>2.2925622763977398E-2</v>
      </c>
      <c r="X968">
        <v>2.1240019316402998</v>
      </c>
      <c r="Y968">
        <v>1.0156696924417801</v>
      </c>
      <c r="Z968">
        <v>2.57319897720327E-4</v>
      </c>
      <c r="AA968">
        <v>1.01048021831041</v>
      </c>
      <c r="AB968" s="9">
        <f t="shared" si="134"/>
        <v>-2.4212169659717619</v>
      </c>
      <c r="AC968" s="9">
        <f t="shared" si="135"/>
        <v>-1.4778236765044008</v>
      </c>
      <c r="AD968" s="2">
        <f t="shared" si="136"/>
        <v>-0.38963599822981076</v>
      </c>
      <c r="AE968" s="8">
        <f t="shared" si="137"/>
        <v>2.2890540147612235</v>
      </c>
      <c r="AF968" s="2">
        <f t="shared" si="138"/>
        <v>1.6722475546283224</v>
      </c>
      <c r="AG968" s="8">
        <f t="shared" si="139"/>
        <v>0.61680646013290097</v>
      </c>
      <c r="AH968" s="7">
        <f t="shared" si="140"/>
        <v>2.7111381976576729</v>
      </c>
      <c r="AI968">
        <f t="shared" si="141"/>
        <v>1</v>
      </c>
      <c r="AJ968" s="10">
        <f t="shared" si="142"/>
        <v>0.61680646013290097</v>
      </c>
    </row>
    <row r="969" spans="1:36" hidden="1" x14ac:dyDescent="0.25">
      <c r="A969" t="b">
        <v>0</v>
      </c>
      <c r="B969">
        <v>1000</v>
      </c>
      <c r="C969">
        <v>0.61680646013290097</v>
      </c>
      <c r="D969" t="s">
        <v>52</v>
      </c>
      <c r="E969" t="b">
        <v>1</v>
      </c>
      <c r="F969" t="s">
        <v>53</v>
      </c>
      <c r="G969">
        <v>7.4999999999999997E-2</v>
      </c>
      <c r="H969">
        <v>0.5</v>
      </c>
      <c r="I969">
        <v>1E-4</v>
      </c>
      <c r="J969" t="b">
        <v>1</v>
      </c>
      <c r="K969">
        <v>1</v>
      </c>
      <c r="L969">
        <v>1500</v>
      </c>
      <c r="M969">
        <v>1</v>
      </c>
      <c r="N969">
        <v>0.154</v>
      </c>
      <c r="O969" t="s">
        <v>416</v>
      </c>
      <c r="P969" t="s">
        <v>420</v>
      </c>
      <c r="Q969" s="1">
        <v>-4.1856205679263599E-5</v>
      </c>
      <c r="R969" s="1">
        <v>2.4196574238900598E-6</v>
      </c>
      <c r="S969">
        <v>1.31613305245055E-4</v>
      </c>
      <c r="T969">
        <v>-3.1864207376847798E-4</v>
      </c>
      <c r="U969">
        <v>1.49023246282741</v>
      </c>
      <c r="V969" s="1">
        <v>8.3748387792174007E-15</v>
      </c>
      <c r="W969">
        <v>5.6593147706836397E-3</v>
      </c>
      <c r="X969">
        <v>2.3827289744660098</v>
      </c>
      <c r="Y969">
        <v>0.184796796904689</v>
      </c>
      <c r="Z969">
        <v>0.25796081511195501</v>
      </c>
      <c r="AA969">
        <v>0.30531251053849801</v>
      </c>
      <c r="AB969" s="9">
        <f t="shared" si="134"/>
        <v>-2.4210475770302113</v>
      </c>
      <c r="AC969" s="9">
        <f t="shared" si="135"/>
        <v>-1.4778236765044008</v>
      </c>
      <c r="AD969" s="2">
        <f t="shared" si="136"/>
        <v>-0.38959329402473797</v>
      </c>
      <c r="AE969" s="8">
        <f t="shared" si="137"/>
        <v>2.2884433186340356</v>
      </c>
      <c r="AF969" s="2">
        <f t="shared" si="138"/>
        <v>1.6716368585011345</v>
      </c>
      <c r="AG969" s="8">
        <f t="shared" si="139"/>
        <v>0.61680646013290097</v>
      </c>
      <c r="AH969" s="7">
        <f t="shared" si="140"/>
        <v>2.7101481040599888</v>
      </c>
      <c r="AI969">
        <f t="shared" si="141"/>
        <v>1</v>
      </c>
      <c r="AJ969" s="10">
        <f t="shared" si="142"/>
        <v>0.61680646013290097</v>
      </c>
    </row>
    <row r="970" spans="1:36" hidden="1" x14ac:dyDescent="0.25">
      <c r="A970" t="b">
        <v>0</v>
      </c>
      <c r="B970">
        <v>1000</v>
      </c>
      <c r="C970">
        <v>0.61680646013290097</v>
      </c>
      <c r="D970" t="s">
        <v>52</v>
      </c>
      <c r="E970" t="b">
        <v>1</v>
      </c>
      <c r="F970" t="s">
        <v>53</v>
      </c>
      <c r="G970">
        <v>7.4999999999999997E-2</v>
      </c>
      <c r="H970">
        <v>0.5</v>
      </c>
      <c r="I970">
        <v>1E-4</v>
      </c>
      <c r="J970" t="b">
        <v>1</v>
      </c>
      <c r="K970">
        <v>1</v>
      </c>
      <c r="L970">
        <v>1500</v>
      </c>
      <c r="M970">
        <v>1</v>
      </c>
      <c r="N970">
        <v>0.154</v>
      </c>
      <c r="O970" t="s">
        <v>417</v>
      </c>
      <c r="P970" t="s">
        <v>419</v>
      </c>
      <c r="Q970" s="1">
        <v>-1E-10</v>
      </c>
      <c r="R970" s="1">
        <v>3.5857859580575602E-12</v>
      </c>
      <c r="S970" s="1">
        <v>1.40325962223479E-18</v>
      </c>
      <c r="T970" s="1">
        <v>1.7500662347536E-16</v>
      </c>
      <c r="U970">
        <v>1.49023245378756</v>
      </c>
      <c r="V970">
        <v>0</v>
      </c>
      <c r="W970">
        <v>6.8474548757116796E-2</v>
      </c>
      <c r="X970">
        <v>2</v>
      </c>
      <c r="Y970">
        <v>4.0005664430687298E-3</v>
      </c>
      <c r="Z970">
        <v>2.5000000000000001E-4</v>
      </c>
      <c r="AA970">
        <v>4.7933530161278102E-3</v>
      </c>
      <c r="AB970" s="9">
        <f t="shared" si="134"/>
        <v>124.71435841405427</v>
      </c>
      <c r="AC970" s="9">
        <f t="shared" si="135"/>
        <v>-1.4778236765044008</v>
      </c>
      <c r="AD970" s="2">
        <f t="shared" si="136"/>
        <v>-1.0118496674745181</v>
      </c>
      <c r="AE970" s="8">
        <f t="shared" si="137"/>
        <v>-0.97657122936727048</v>
      </c>
      <c r="AF970" s="2">
        <f t="shared" si="138"/>
        <v>-1.5933776895001714</v>
      </c>
      <c r="AG970" s="8">
        <f t="shared" si="139"/>
        <v>0.61680646013290097</v>
      </c>
      <c r="AH970" s="7">
        <f t="shared" si="140"/>
        <v>-2.5832701057587046</v>
      </c>
      <c r="AI970">
        <f t="shared" si="141"/>
        <v>1</v>
      </c>
      <c r="AJ970" s="10">
        <f t="shared" si="142"/>
        <v>0.61680646013290097</v>
      </c>
    </row>
    <row r="971" spans="1:36" hidden="1" x14ac:dyDescent="0.25">
      <c r="A971" t="b">
        <v>0</v>
      </c>
      <c r="B971">
        <v>1000</v>
      </c>
      <c r="C971">
        <v>0.61680646013290097</v>
      </c>
      <c r="D971" t="s">
        <v>52</v>
      </c>
      <c r="E971" t="b">
        <v>1</v>
      </c>
      <c r="F971" t="s">
        <v>53</v>
      </c>
      <c r="G971">
        <v>7.4999999999999997E-2</v>
      </c>
      <c r="H971">
        <v>0.5</v>
      </c>
      <c r="I971">
        <v>1E-4</v>
      </c>
      <c r="J971" t="b">
        <v>1</v>
      </c>
      <c r="K971">
        <v>1</v>
      </c>
      <c r="L971">
        <v>1500</v>
      </c>
      <c r="M971">
        <v>1</v>
      </c>
      <c r="N971">
        <v>0.154</v>
      </c>
      <c r="O971" t="s">
        <v>417</v>
      </c>
      <c r="P971" t="s">
        <v>420</v>
      </c>
      <c r="Q971" s="1">
        <v>-2.15464865309907E-5</v>
      </c>
      <c r="R971" s="1">
        <v>4.8937301444810498E-6</v>
      </c>
      <c r="S971" s="1">
        <v>6.5804088539720107E-5</v>
      </c>
      <c r="T971">
        <v>-1.5930368176451199E-4</v>
      </c>
      <c r="U971">
        <v>1.49015227558175</v>
      </c>
      <c r="V971" s="1">
        <v>2.4527135278299601E-15</v>
      </c>
      <c r="W971">
        <v>2.31113106582795E-2</v>
      </c>
      <c r="X971">
        <v>2.1239943869606002</v>
      </c>
      <c r="Y971">
        <v>1.01944479590325</v>
      </c>
      <c r="Z971">
        <v>2.5732102433825301E-4</v>
      </c>
      <c r="AA971">
        <v>1.02623737977299</v>
      </c>
      <c r="AB971" s="9">
        <f t="shared" si="134"/>
        <v>-2.4208781748926507</v>
      </c>
      <c r="AC971" s="9">
        <f t="shared" si="135"/>
        <v>-1.4778236765044008</v>
      </c>
      <c r="AD971" s="2">
        <f t="shared" si="136"/>
        <v>-0.38955058051612523</v>
      </c>
      <c r="AE971" s="8">
        <f t="shared" si="137"/>
        <v>2.2878328016981948</v>
      </c>
      <c r="AF971" s="2">
        <f t="shared" si="138"/>
        <v>1.6710263415652937</v>
      </c>
      <c r="AG971" s="8">
        <f t="shared" si="139"/>
        <v>0.61680646013290097</v>
      </c>
      <c r="AH971" s="7">
        <f t="shared" si="140"/>
        <v>2.7091583009770099</v>
      </c>
      <c r="AI971">
        <f t="shared" si="141"/>
        <v>1</v>
      </c>
      <c r="AJ971" s="10">
        <f t="shared" si="142"/>
        <v>0.61680646013290097</v>
      </c>
    </row>
    <row r="972" spans="1:36" hidden="1" x14ac:dyDescent="0.25">
      <c r="A972" t="b">
        <v>0</v>
      </c>
      <c r="B972">
        <v>1000</v>
      </c>
      <c r="C972">
        <v>0.61680646013290097</v>
      </c>
      <c r="D972" t="s">
        <v>52</v>
      </c>
      <c r="E972" t="b">
        <v>1</v>
      </c>
      <c r="F972" t="s">
        <v>53</v>
      </c>
      <c r="G972">
        <v>7.4999999999999997E-2</v>
      </c>
      <c r="H972">
        <v>0.5</v>
      </c>
      <c r="I972">
        <v>1E-4</v>
      </c>
      <c r="J972" t="b">
        <v>1</v>
      </c>
      <c r="K972">
        <v>1</v>
      </c>
      <c r="L972">
        <v>1500</v>
      </c>
      <c r="M972">
        <v>1</v>
      </c>
      <c r="N972">
        <v>0.154</v>
      </c>
      <c r="O972" t="s">
        <v>418</v>
      </c>
      <c r="P972" t="s">
        <v>419</v>
      </c>
      <c r="Q972" s="1">
        <v>-3.1375000227976301E-6</v>
      </c>
      <c r="R972" s="1">
        <v>1.88643722646494E-6</v>
      </c>
      <c r="S972" s="1">
        <v>9.4058048292185094E-6</v>
      </c>
      <c r="T972" s="1">
        <v>-2.2777296764348198E-5</v>
      </c>
      <c r="U972">
        <v>1.49024391695571</v>
      </c>
      <c r="V972">
        <v>0</v>
      </c>
      <c r="W972">
        <v>4.4185059357440097E-2</v>
      </c>
      <c r="X972">
        <v>2</v>
      </c>
      <c r="Y972">
        <v>2.7242663389769302</v>
      </c>
      <c r="Z972">
        <v>2.5000000000000001E-4</v>
      </c>
      <c r="AA972">
        <v>2.4082939013085598</v>
      </c>
      <c r="AB972" s="9">
        <f t="shared" si="134"/>
        <v>-2.4216212411288862</v>
      </c>
      <c r="AC972" s="9">
        <f t="shared" si="135"/>
        <v>-1.4778236765044008</v>
      </c>
      <c r="AD972" s="2">
        <f t="shared" si="136"/>
        <v>-0.38973789484292587</v>
      </c>
      <c r="AE972" s="8">
        <f t="shared" si="137"/>
        <v>2.2905124607333436</v>
      </c>
      <c r="AF972" s="2">
        <f t="shared" si="138"/>
        <v>1.6737060006004425</v>
      </c>
      <c r="AG972" s="8">
        <f t="shared" si="139"/>
        <v>0.61680646013290097</v>
      </c>
      <c r="AH972" s="7">
        <f t="shared" si="140"/>
        <v>2.7135027091639334</v>
      </c>
      <c r="AI972">
        <f t="shared" si="141"/>
        <v>1</v>
      </c>
      <c r="AJ972" s="10">
        <f t="shared" si="142"/>
        <v>0.61680646013290097</v>
      </c>
    </row>
    <row r="973" spans="1:36" hidden="1" x14ac:dyDescent="0.25">
      <c r="A973" t="b">
        <v>0</v>
      </c>
      <c r="B973">
        <v>1000</v>
      </c>
      <c r="C973">
        <v>0.61680646013290097</v>
      </c>
      <c r="D973" t="s">
        <v>52</v>
      </c>
      <c r="E973" t="b">
        <v>1</v>
      </c>
      <c r="F973" t="s">
        <v>53</v>
      </c>
      <c r="G973">
        <v>7.4999999999999997E-2</v>
      </c>
      <c r="H973">
        <v>0.5</v>
      </c>
      <c r="I973">
        <v>1E-4</v>
      </c>
      <c r="J973" t="b">
        <v>1</v>
      </c>
      <c r="K973">
        <v>1</v>
      </c>
      <c r="L973">
        <v>1500</v>
      </c>
      <c r="M973">
        <v>1</v>
      </c>
      <c r="N973">
        <v>0.154</v>
      </c>
      <c r="O973" t="s">
        <v>418</v>
      </c>
      <c r="P973" t="s">
        <v>420</v>
      </c>
      <c r="Q973" s="1">
        <v>-2.4626223074078501E-5</v>
      </c>
      <c r="R973" s="1">
        <v>5.5853173901327804E-6</v>
      </c>
      <c r="S973" s="1">
        <v>7.5209893368937195E-5</v>
      </c>
      <c r="T973">
        <v>-1.8208097852884101E-4</v>
      </c>
      <c r="U973">
        <v>1.4901637387499</v>
      </c>
      <c r="V973" s="1">
        <v>2.4544471400314199E-15</v>
      </c>
      <c r="W973">
        <v>2.4488045597467499E-2</v>
      </c>
      <c r="X973">
        <v>2.1239964420524999</v>
      </c>
      <c r="Y973">
        <v>1.0161557242222401</v>
      </c>
      <c r="Z973">
        <v>2.5732071143244302E-4</v>
      </c>
      <c r="AA973">
        <v>1.02475952871243</v>
      </c>
      <c r="AB973" s="9">
        <f t="shared" si="134"/>
        <v>-2.4209711033049164</v>
      </c>
      <c r="AC973" s="9">
        <f t="shared" si="135"/>
        <v>-1.4778236765044008</v>
      </c>
      <c r="AD973" s="2">
        <f t="shared" si="136"/>
        <v>-0.38957401247499646</v>
      </c>
      <c r="AE973" s="8">
        <f t="shared" si="137"/>
        <v>2.2881676830337008</v>
      </c>
      <c r="AF973" s="2">
        <f t="shared" si="138"/>
        <v>1.6713612229007997</v>
      </c>
      <c r="AG973" s="8">
        <f t="shared" si="139"/>
        <v>0.61680646013290097</v>
      </c>
      <c r="AH973" s="7">
        <f t="shared" si="140"/>
        <v>2.7097012287139108</v>
      </c>
      <c r="AI973">
        <f t="shared" si="141"/>
        <v>1</v>
      </c>
      <c r="AJ973" s="10">
        <f t="shared" si="142"/>
        <v>0.61680646013290097</v>
      </c>
    </row>
    <row r="974" spans="1:36" hidden="1" x14ac:dyDescent="0.25">
      <c r="A974" t="b">
        <v>0</v>
      </c>
      <c r="B974">
        <v>1000</v>
      </c>
      <c r="C974">
        <v>0.61680646013290097</v>
      </c>
      <c r="D974" t="s">
        <v>52</v>
      </c>
      <c r="E974" t="b">
        <v>1</v>
      </c>
      <c r="F974" t="s">
        <v>53</v>
      </c>
      <c r="G974">
        <v>7.4999999999999997E-2</v>
      </c>
      <c r="H974">
        <v>0.5</v>
      </c>
      <c r="I974">
        <v>1E-4</v>
      </c>
      <c r="J974" t="b">
        <v>1</v>
      </c>
      <c r="K974">
        <v>1</v>
      </c>
      <c r="L974">
        <v>1500</v>
      </c>
      <c r="M974">
        <v>1</v>
      </c>
      <c r="N974">
        <v>0.154</v>
      </c>
      <c r="O974" t="s">
        <v>419</v>
      </c>
      <c r="P974" t="s">
        <v>420</v>
      </c>
      <c r="Q974" s="1">
        <v>-2.1546486530989501E-5</v>
      </c>
      <c r="R974" s="1">
        <v>4.7975526171478902E-6</v>
      </c>
      <c r="S974" s="1">
        <v>6.5804088539716393E-5</v>
      </c>
      <c r="T974">
        <v>-1.5930368176448299E-4</v>
      </c>
      <c r="U974">
        <v>1.4901522755577801</v>
      </c>
      <c r="V974" s="1">
        <v>2.4527135274990902E-15</v>
      </c>
      <c r="W974">
        <v>2.2989794449467499E-2</v>
      </c>
      <c r="X974">
        <v>2.1239943869604199</v>
      </c>
      <c r="Y974">
        <v>1.0142813541884099</v>
      </c>
      <c r="Z974">
        <v>2.5732102433820899E-4</v>
      </c>
      <c r="AA974">
        <v>1.00610146193857</v>
      </c>
      <c r="AB974" s="9">
        <f t="shared" si="134"/>
        <v>-2.4208781748923465</v>
      </c>
      <c r="AC974" s="9">
        <f t="shared" si="135"/>
        <v>-1.4778236765044008</v>
      </c>
      <c r="AD974" s="2">
        <f t="shared" si="136"/>
        <v>-0.38955058051604852</v>
      </c>
      <c r="AE974" s="8">
        <f t="shared" si="137"/>
        <v>2.2878328016970992</v>
      </c>
      <c r="AF974" s="2">
        <f t="shared" si="138"/>
        <v>1.6710263415641982</v>
      </c>
      <c r="AG974" s="8">
        <f t="shared" si="139"/>
        <v>0.61680646013290097</v>
      </c>
      <c r="AH974" s="7">
        <f t="shared" si="140"/>
        <v>2.7091583009752336</v>
      </c>
      <c r="AI974">
        <f t="shared" si="141"/>
        <v>1</v>
      </c>
      <c r="AJ974" s="10">
        <f t="shared" si="142"/>
        <v>0.61680646013290097</v>
      </c>
    </row>
    <row r="975" spans="1:36" hidden="1" x14ac:dyDescent="0.25">
      <c r="A975" t="b">
        <v>0</v>
      </c>
      <c r="B975">
        <v>1000</v>
      </c>
      <c r="C975">
        <v>0.69122981659583504</v>
      </c>
      <c r="D975" t="s">
        <v>52</v>
      </c>
      <c r="E975" t="b">
        <v>1</v>
      </c>
      <c r="F975" t="s">
        <v>53</v>
      </c>
      <c r="G975">
        <v>7.4999999999999997E-2</v>
      </c>
      <c r="H975">
        <v>0.5</v>
      </c>
      <c r="I975">
        <v>1E-4</v>
      </c>
      <c r="J975" t="b">
        <v>1</v>
      </c>
      <c r="K975">
        <v>2</v>
      </c>
      <c r="L975">
        <v>1500</v>
      </c>
      <c r="M975">
        <v>0.75</v>
      </c>
      <c r="N975">
        <v>0.154</v>
      </c>
      <c r="O975" t="s">
        <v>421</v>
      </c>
      <c r="P975" t="s">
        <v>422</v>
      </c>
      <c r="Q975" s="1">
        <v>-6.4062269159312103E-6</v>
      </c>
      <c r="R975" s="1">
        <v>2.6457004178023901E-6</v>
      </c>
      <c r="S975" s="1">
        <v>1.9842444752634299E-5</v>
      </c>
      <c r="T975" s="1">
        <v>-6.3114772952825503E-5</v>
      </c>
      <c r="U975">
        <v>2.1660051938159</v>
      </c>
      <c r="V975" s="1">
        <v>2.7153262986074201E-15</v>
      </c>
      <c r="W975">
        <v>4.56769859162112E-2</v>
      </c>
      <c r="X975">
        <v>2.1370223249082598</v>
      </c>
      <c r="Y975">
        <v>1.83537248928403</v>
      </c>
      <c r="Z975">
        <v>2.5454013683022801E-4</v>
      </c>
      <c r="AA975">
        <v>1.8889924296877501</v>
      </c>
      <c r="AB975" s="9">
        <f t="shared" si="134"/>
        <v>-0.79519905107013511</v>
      </c>
      <c r="AC975" s="9">
        <f t="shared" si="135"/>
        <v>-0.77536869098124894</v>
      </c>
      <c r="AD975" s="2">
        <f t="shared" si="136"/>
        <v>-2.4937605323094303E-2</v>
      </c>
      <c r="AE975" s="8">
        <f t="shared" si="137"/>
        <v>0.18197056040902862</v>
      </c>
      <c r="AF975" s="2">
        <f t="shared" si="138"/>
        <v>9.1631062600698587E-3</v>
      </c>
      <c r="AG975" s="8">
        <f t="shared" si="139"/>
        <v>0.17280745414895876</v>
      </c>
      <c r="AH975" s="7">
        <f t="shared" si="140"/>
        <v>5.3024947941026482E-2</v>
      </c>
      <c r="AI975">
        <f t="shared" si="141"/>
        <v>2</v>
      </c>
      <c r="AJ975" s="10">
        <f t="shared" si="142"/>
        <v>0.69122981659583504</v>
      </c>
    </row>
    <row r="976" spans="1:36" hidden="1" x14ac:dyDescent="0.25">
      <c r="A976" t="b">
        <v>0</v>
      </c>
      <c r="B976">
        <v>1000</v>
      </c>
      <c r="C976">
        <v>0.69122981659583504</v>
      </c>
      <c r="D976" t="s">
        <v>52</v>
      </c>
      <c r="E976" t="b">
        <v>1</v>
      </c>
      <c r="F976" t="s">
        <v>53</v>
      </c>
      <c r="G976">
        <v>7.4999999999999997E-2</v>
      </c>
      <c r="H976">
        <v>0.5</v>
      </c>
      <c r="I976">
        <v>1E-4</v>
      </c>
      <c r="J976" t="b">
        <v>1</v>
      </c>
      <c r="K976">
        <v>2</v>
      </c>
      <c r="L976">
        <v>1500</v>
      </c>
      <c r="M976">
        <v>0.75</v>
      </c>
      <c r="N976">
        <v>0.154</v>
      </c>
      <c r="O976" t="s">
        <v>421</v>
      </c>
      <c r="P976" t="s">
        <v>423</v>
      </c>
      <c r="Q976" s="1">
        <v>-4.8616830368688303E-5</v>
      </c>
      <c r="R976" s="1">
        <v>1.25736490384948E-5</v>
      </c>
      <c r="S976">
        <v>1.5865136486516599E-4</v>
      </c>
      <c r="T976">
        <v>-5.0446401179261499E-4</v>
      </c>
      <c r="U976">
        <v>2.1658523600251001</v>
      </c>
      <c r="V976" s="1">
        <v>9.9999999999820297E-15</v>
      </c>
      <c r="W976">
        <v>1.7104226566519099E-2</v>
      </c>
      <c r="X976">
        <v>2.4999999999999898</v>
      </c>
      <c r="Y976">
        <v>0.79693939236675204</v>
      </c>
      <c r="Z976">
        <v>0.49999999990714</v>
      </c>
      <c r="AA976">
        <v>1.43121570547814</v>
      </c>
      <c r="AB976" s="9">
        <f t="shared" si="134"/>
        <v>-0.79492542062488225</v>
      </c>
      <c r="AC976" s="9">
        <f t="shared" si="135"/>
        <v>-0.77536869098124894</v>
      </c>
      <c r="AD976" s="2">
        <f t="shared" si="136"/>
        <v>-2.4601967852858397E-2</v>
      </c>
      <c r="AE976" s="8">
        <f t="shared" si="137"/>
        <v>0.18184314860531445</v>
      </c>
      <c r="AF976" s="2">
        <f t="shared" si="138"/>
        <v>9.0356944563556862E-3</v>
      </c>
      <c r="AG976" s="8">
        <f t="shared" si="139"/>
        <v>0.17280745414895876</v>
      </c>
      <c r="AH976" s="7">
        <f t="shared" si="140"/>
        <v>5.2287642919425129E-2</v>
      </c>
      <c r="AI976">
        <f t="shared" si="141"/>
        <v>2</v>
      </c>
      <c r="AJ976" s="10">
        <f t="shared" si="142"/>
        <v>0.69122981659583504</v>
      </c>
    </row>
    <row r="977" spans="1:36" hidden="1" x14ac:dyDescent="0.25">
      <c r="A977" t="b">
        <v>0</v>
      </c>
      <c r="B977">
        <v>1000</v>
      </c>
      <c r="C977">
        <v>0.69122981659583504</v>
      </c>
      <c r="D977" t="s">
        <v>52</v>
      </c>
      <c r="E977" t="b">
        <v>1</v>
      </c>
      <c r="F977" t="s">
        <v>53</v>
      </c>
      <c r="G977">
        <v>7.4999999999999997E-2</v>
      </c>
      <c r="H977">
        <v>0.5</v>
      </c>
      <c r="I977">
        <v>1E-4</v>
      </c>
      <c r="J977" t="b">
        <v>1</v>
      </c>
      <c r="K977">
        <v>2</v>
      </c>
      <c r="L977">
        <v>1500</v>
      </c>
      <c r="M977">
        <v>0.75</v>
      </c>
      <c r="N977">
        <v>0.154</v>
      </c>
      <c r="O977" t="s">
        <v>421</v>
      </c>
      <c r="P977" t="s">
        <v>424</v>
      </c>
      <c r="Q977" s="1">
        <v>-6.4062269159315398E-6</v>
      </c>
      <c r="R977" s="1">
        <v>2.6252339630789599E-6</v>
      </c>
      <c r="S977" s="1">
        <v>1.98424447526352E-5</v>
      </c>
      <c r="T977" s="1">
        <v>-6.3114772952820706E-5</v>
      </c>
      <c r="U977">
        <v>2.1660051938841698</v>
      </c>
      <c r="V977" s="1">
        <v>2.71532630296048E-15</v>
      </c>
      <c r="W977">
        <v>4.75718776271414E-2</v>
      </c>
      <c r="X977">
        <v>2.1370223249083402</v>
      </c>
      <c r="Y977">
        <v>1.8281436559928701</v>
      </c>
      <c r="Z977">
        <v>2.5454013683025702E-4</v>
      </c>
      <c r="AA977">
        <v>1.8743850402864299</v>
      </c>
      <c r="AB977" s="9">
        <f t="shared" si="134"/>
        <v>-0.79519905107003852</v>
      </c>
      <c r="AC977" s="9">
        <f t="shared" si="135"/>
        <v>-0.77536869098124894</v>
      </c>
      <c r="AD977" s="2">
        <f t="shared" si="136"/>
        <v>-2.4937605322975953E-2</v>
      </c>
      <c r="AE977" s="8">
        <f t="shared" si="137"/>
        <v>0.1819705604089836</v>
      </c>
      <c r="AF977" s="2">
        <f t="shared" si="138"/>
        <v>9.1631062600248392E-3</v>
      </c>
      <c r="AG977" s="8">
        <f t="shared" si="139"/>
        <v>0.17280745414895876</v>
      </c>
      <c r="AH977" s="7">
        <f t="shared" si="140"/>
        <v>5.3024947940765961E-2</v>
      </c>
      <c r="AI977">
        <f t="shared" si="141"/>
        <v>2</v>
      </c>
      <c r="AJ977" s="10">
        <f t="shared" si="142"/>
        <v>0.69122981659583504</v>
      </c>
    </row>
    <row r="978" spans="1:36" hidden="1" x14ac:dyDescent="0.25">
      <c r="A978" t="b">
        <v>0</v>
      </c>
      <c r="B978">
        <v>1000</v>
      </c>
      <c r="C978">
        <v>0.69122981659583504</v>
      </c>
      <c r="D978" t="s">
        <v>52</v>
      </c>
      <c r="E978" t="b">
        <v>1</v>
      </c>
      <c r="F978" t="s">
        <v>53</v>
      </c>
      <c r="G978">
        <v>7.4999999999999997E-2</v>
      </c>
      <c r="H978">
        <v>0.5</v>
      </c>
      <c r="I978">
        <v>1E-4</v>
      </c>
      <c r="J978" t="b">
        <v>1</v>
      </c>
      <c r="K978">
        <v>2</v>
      </c>
      <c r="L978">
        <v>1500</v>
      </c>
      <c r="M978">
        <v>0.75</v>
      </c>
      <c r="N978">
        <v>0.154</v>
      </c>
      <c r="O978" t="s">
        <v>421</v>
      </c>
      <c r="P978" t="s">
        <v>425</v>
      </c>
      <c r="Q978" s="1">
        <v>-1.28123919629823E-5</v>
      </c>
      <c r="R978" s="1">
        <v>5.3656885490828602E-6</v>
      </c>
      <c r="S978" s="1">
        <v>3.96846729991734E-5</v>
      </c>
      <c r="T978">
        <v>-1.2622751119097101E-4</v>
      </c>
      <c r="U978">
        <v>2.1659833399753099</v>
      </c>
      <c r="V978" s="1">
        <v>2.71326514780484E-15</v>
      </c>
      <c r="W978">
        <v>4.7085306375570103E-2</v>
      </c>
      <c r="X978">
        <v>2.1370219002031301</v>
      </c>
      <c r="Y978">
        <v>1.8396896028318399</v>
      </c>
      <c r="Z978">
        <v>2.5454028053376699E-4</v>
      </c>
      <c r="AA978">
        <v>1.91545781375361</v>
      </c>
      <c r="AB978" s="9">
        <f t="shared" si="134"/>
        <v>-0.7951905713926396</v>
      </c>
      <c r="AC978" s="9">
        <f t="shared" si="135"/>
        <v>-0.77536869098124894</v>
      </c>
      <c r="AD978" s="2">
        <f t="shared" si="136"/>
        <v>-2.4927207545577423E-2</v>
      </c>
      <c r="AE978" s="8">
        <f t="shared" si="137"/>
        <v>0.18196661156528673</v>
      </c>
      <c r="AF978" s="2">
        <f t="shared" si="138"/>
        <v>9.1591574163279732E-3</v>
      </c>
      <c r="AG978" s="8">
        <f t="shared" si="139"/>
        <v>0.17280745414895876</v>
      </c>
      <c r="AH978" s="7">
        <f t="shared" si="140"/>
        <v>5.3002096821777415E-2</v>
      </c>
      <c r="AI978">
        <f t="shared" si="141"/>
        <v>2</v>
      </c>
      <c r="AJ978" s="10">
        <f t="shared" si="142"/>
        <v>0.69122981659583504</v>
      </c>
    </row>
    <row r="979" spans="1:36" hidden="1" x14ac:dyDescent="0.25">
      <c r="A979" t="b">
        <v>0</v>
      </c>
      <c r="B979">
        <v>1000</v>
      </c>
      <c r="C979">
        <v>0.69122981659583504</v>
      </c>
      <c r="D979" t="s">
        <v>52</v>
      </c>
      <c r="E979" t="b">
        <v>1</v>
      </c>
      <c r="F979" t="s">
        <v>53</v>
      </c>
      <c r="G979">
        <v>7.4999999999999997E-2</v>
      </c>
      <c r="H979">
        <v>0.5</v>
      </c>
      <c r="I979">
        <v>1E-4</v>
      </c>
      <c r="J979" t="b">
        <v>1</v>
      </c>
      <c r="K979">
        <v>2</v>
      </c>
      <c r="L979">
        <v>1500</v>
      </c>
      <c r="M979">
        <v>0.75</v>
      </c>
      <c r="N979">
        <v>0.154</v>
      </c>
      <c r="O979" t="s">
        <v>421</v>
      </c>
      <c r="P979" t="s">
        <v>426</v>
      </c>
      <c r="Q979" s="1">
        <v>-5.4696714611452897E-5</v>
      </c>
      <c r="R979" s="1">
        <v>1.5042043005265801E-5</v>
      </c>
      <c r="S979">
        <v>1.78492078859623E-4</v>
      </c>
      <c r="T979">
        <v>-5.6756252299876102E-4</v>
      </c>
      <c r="U979">
        <v>2.1658305081920499</v>
      </c>
      <c r="V979" s="1">
        <v>9.9999999999771293E-15</v>
      </c>
      <c r="W979">
        <v>1.8412943504498701E-2</v>
      </c>
      <c r="X979">
        <v>2.4999999999999898</v>
      </c>
      <c r="Y979">
        <v>0.84033421682724996</v>
      </c>
      <c r="Z979">
        <v>0.49999999983507498</v>
      </c>
      <c r="AA979">
        <v>1.52423920904546</v>
      </c>
      <c r="AB979" s="9">
        <f t="shared" si="134"/>
        <v>-0.79494077079623049</v>
      </c>
      <c r="AC979" s="9">
        <f t="shared" si="135"/>
        <v>-0.77536869098124894</v>
      </c>
      <c r="AD979" s="2">
        <f t="shared" si="136"/>
        <v>-2.4620802623291915E-2</v>
      </c>
      <c r="AE979" s="8">
        <f t="shared" si="137"/>
        <v>0.18185029544899245</v>
      </c>
      <c r="AF979" s="2">
        <f t="shared" si="138"/>
        <v>9.0428413000336882E-3</v>
      </c>
      <c r="AG979" s="8">
        <f t="shared" si="139"/>
        <v>0.17280745414895876</v>
      </c>
      <c r="AH979" s="7">
        <f t="shared" si="140"/>
        <v>5.2329000184441261E-2</v>
      </c>
      <c r="AI979">
        <f t="shared" si="141"/>
        <v>2</v>
      </c>
      <c r="AJ979" s="10">
        <f t="shared" si="142"/>
        <v>0.69122981659583504</v>
      </c>
    </row>
    <row r="980" spans="1:36" hidden="1" x14ac:dyDescent="0.25">
      <c r="A980" t="b">
        <v>0</v>
      </c>
      <c r="B980">
        <v>1000</v>
      </c>
      <c r="C980">
        <v>0.69122981659583504</v>
      </c>
      <c r="D980" t="s">
        <v>52</v>
      </c>
      <c r="E980" t="b">
        <v>1</v>
      </c>
      <c r="F980" t="s">
        <v>53</v>
      </c>
      <c r="G980">
        <v>7.4999999999999997E-2</v>
      </c>
      <c r="H980">
        <v>0.5</v>
      </c>
      <c r="I980">
        <v>1E-4</v>
      </c>
      <c r="J980" t="b">
        <v>1</v>
      </c>
      <c r="K980">
        <v>2</v>
      </c>
      <c r="L980">
        <v>1500</v>
      </c>
      <c r="M980">
        <v>0.75</v>
      </c>
      <c r="N980">
        <v>0.154</v>
      </c>
      <c r="O980" t="s">
        <v>421</v>
      </c>
      <c r="P980" t="s">
        <v>427</v>
      </c>
      <c r="Q980" s="1">
        <v>-4.8616830368689197E-5</v>
      </c>
      <c r="R980" s="1">
        <v>1.2628929275541999E-5</v>
      </c>
      <c r="S980">
        <v>1.5865136486517E-4</v>
      </c>
      <c r="T980">
        <v>-5.0446401179287802E-4</v>
      </c>
      <c r="U980">
        <v>2.1658523601183401</v>
      </c>
      <c r="V980" s="1">
        <v>9.9999999999821907E-15</v>
      </c>
      <c r="W980">
        <v>1.7526191739021001E-2</v>
      </c>
      <c r="X980">
        <v>2.4999999999999898</v>
      </c>
      <c r="Y980">
        <v>0.79485947841496196</v>
      </c>
      <c r="Z980">
        <v>0.49999999990717803</v>
      </c>
      <c r="AA980">
        <v>1.43980635369148</v>
      </c>
      <c r="AB980" s="9">
        <f t="shared" si="134"/>
        <v>-0.79492542062527671</v>
      </c>
      <c r="AC980" s="9">
        <f t="shared" si="135"/>
        <v>-0.77536869098124894</v>
      </c>
      <c r="AD980" s="2">
        <f t="shared" si="136"/>
        <v>-2.4601967853342455E-2</v>
      </c>
      <c r="AE980" s="8">
        <f t="shared" si="137"/>
        <v>0.18184314860549805</v>
      </c>
      <c r="AF980" s="2">
        <f t="shared" si="138"/>
        <v>9.0356944565392894E-3</v>
      </c>
      <c r="AG980" s="8">
        <f t="shared" si="139"/>
        <v>0.17280745414895876</v>
      </c>
      <c r="AH980" s="7">
        <f t="shared" si="140"/>
        <v>5.2287642920487598E-2</v>
      </c>
      <c r="AI980">
        <f t="shared" si="141"/>
        <v>2</v>
      </c>
      <c r="AJ980" s="10">
        <f t="shared" si="142"/>
        <v>0.69122981659583504</v>
      </c>
    </row>
    <row r="981" spans="1:36" hidden="1" x14ac:dyDescent="0.25">
      <c r="A981" t="b">
        <v>0</v>
      </c>
      <c r="B981">
        <v>1000</v>
      </c>
      <c r="C981">
        <v>0.69122981659583504</v>
      </c>
      <c r="D981" t="s">
        <v>52</v>
      </c>
      <c r="E981" t="b">
        <v>1</v>
      </c>
      <c r="F981" t="s">
        <v>53</v>
      </c>
      <c r="G981">
        <v>7.4999999999999997E-2</v>
      </c>
      <c r="H981">
        <v>0.5</v>
      </c>
      <c r="I981">
        <v>1E-4</v>
      </c>
      <c r="J981" t="b">
        <v>1</v>
      </c>
      <c r="K981">
        <v>2</v>
      </c>
      <c r="L981">
        <v>1500</v>
      </c>
      <c r="M981">
        <v>0.75</v>
      </c>
      <c r="N981">
        <v>0.154</v>
      </c>
      <c r="O981" t="s">
        <v>421</v>
      </c>
      <c r="P981" t="s">
        <v>428</v>
      </c>
      <c r="Q981" s="1">
        <v>-5.4696714611455499E-5</v>
      </c>
      <c r="R981" s="1">
        <v>1.4900509998192099E-5</v>
      </c>
      <c r="S981">
        <v>1.78492078859632E-4</v>
      </c>
      <c r="T981">
        <v>-5.6756252299915101E-4</v>
      </c>
      <c r="U981">
        <v>2.1658305080260098</v>
      </c>
      <c r="V981" s="1">
        <v>9.9999999999771293E-15</v>
      </c>
      <c r="W981">
        <v>1.8145071126338199E-2</v>
      </c>
      <c r="X981">
        <v>2.4999999999999898</v>
      </c>
      <c r="Y981">
        <v>0.83419039996350397</v>
      </c>
      <c r="Z981">
        <v>0.49999999983507398</v>
      </c>
      <c r="AA981">
        <v>1.5092539982186099</v>
      </c>
      <c r="AB981" s="9">
        <f t="shared" si="134"/>
        <v>-0.79494077079673664</v>
      </c>
      <c r="AC981" s="9">
        <f t="shared" si="135"/>
        <v>-0.77536869098124894</v>
      </c>
      <c r="AD981" s="2">
        <f t="shared" si="136"/>
        <v>-2.4620802623912974E-2</v>
      </c>
      <c r="AE981" s="8">
        <f t="shared" si="137"/>
        <v>0.18185029544922809</v>
      </c>
      <c r="AF981" s="2">
        <f t="shared" si="138"/>
        <v>9.0428413002693331E-3</v>
      </c>
      <c r="AG981" s="8">
        <f t="shared" si="139"/>
        <v>0.17280745414895876</v>
      </c>
      <c r="AH981" s="7">
        <f t="shared" si="140"/>
        <v>5.2329000185804893E-2</v>
      </c>
      <c r="AI981">
        <f t="shared" si="141"/>
        <v>2</v>
      </c>
      <c r="AJ981" s="10">
        <f t="shared" si="142"/>
        <v>0.69122981659583504</v>
      </c>
    </row>
    <row r="982" spans="1:36" hidden="1" x14ac:dyDescent="0.25">
      <c r="A982" t="b">
        <v>0</v>
      </c>
      <c r="B982">
        <v>1000</v>
      </c>
      <c r="C982">
        <v>0.69122981659583504</v>
      </c>
      <c r="D982" t="s">
        <v>52</v>
      </c>
      <c r="E982" t="b">
        <v>1</v>
      </c>
      <c r="F982" t="s">
        <v>53</v>
      </c>
      <c r="G982">
        <v>7.4999999999999997E-2</v>
      </c>
      <c r="H982">
        <v>0.5</v>
      </c>
      <c r="I982">
        <v>1E-4</v>
      </c>
      <c r="J982" t="b">
        <v>1</v>
      </c>
      <c r="K982">
        <v>2</v>
      </c>
      <c r="L982">
        <v>1500</v>
      </c>
      <c r="M982">
        <v>0.75</v>
      </c>
      <c r="N982">
        <v>0.154</v>
      </c>
      <c r="O982" t="s">
        <v>421</v>
      </c>
      <c r="P982" t="s">
        <v>429</v>
      </c>
      <c r="Q982" s="1">
        <v>-9.7229949638678498E-5</v>
      </c>
      <c r="R982" s="1">
        <v>2.4902537054408601E-5</v>
      </c>
      <c r="S982">
        <v>3.1728889398057001E-4</v>
      </c>
      <c r="T982">
        <v>-1.0087980572206E-3</v>
      </c>
      <c r="U982">
        <v>2.1656776891479699</v>
      </c>
      <c r="V982" s="1">
        <v>9.9999999999764004E-15</v>
      </c>
      <c r="W982">
        <v>1.7115874796519302E-2</v>
      </c>
      <c r="X982">
        <v>2.4999999999999898</v>
      </c>
      <c r="Y982">
        <v>0.78700801295307399</v>
      </c>
      <c r="Z982">
        <v>0.49999999983042598</v>
      </c>
      <c r="AA982">
        <v>1.4184138650518801</v>
      </c>
      <c r="AB982" s="9">
        <f t="shared" si="134"/>
        <v>-0.79485768046011118</v>
      </c>
      <c r="AC982" s="9">
        <f t="shared" si="135"/>
        <v>-0.77536869098124894</v>
      </c>
      <c r="AD982" s="2">
        <f t="shared" si="136"/>
        <v>-2.4518841495726473E-2</v>
      </c>
      <c r="AE982" s="8">
        <f t="shared" si="137"/>
        <v>0.18181161068233712</v>
      </c>
      <c r="AF982" s="2">
        <f t="shared" si="138"/>
        <v>9.0041565333783546E-3</v>
      </c>
      <c r="AG982" s="8">
        <f t="shared" si="139"/>
        <v>0.17280745414895876</v>
      </c>
      <c r="AH982" s="7">
        <f t="shared" si="140"/>
        <v>5.2105139663806616E-2</v>
      </c>
      <c r="AI982">
        <f t="shared" si="141"/>
        <v>2</v>
      </c>
      <c r="AJ982" s="10">
        <f t="shared" si="142"/>
        <v>0.69122981659583504</v>
      </c>
    </row>
    <row r="983" spans="1:36" hidden="1" x14ac:dyDescent="0.25">
      <c r="A983" t="b">
        <v>0</v>
      </c>
      <c r="B983">
        <v>1000</v>
      </c>
      <c r="C983">
        <v>0.69122981659583504</v>
      </c>
      <c r="D983" t="s">
        <v>52</v>
      </c>
      <c r="E983" t="b">
        <v>1</v>
      </c>
      <c r="F983" t="s">
        <v>53</v>
      </c>
      <c r="G983">
        <v>7.4999999999999997E-2</v>
      </c>
      <c r="H983">
        <v>0.5</v>
      </c>
      <c r="I983">
        <v>1E-4</v>
      </c>
      <c r="J983" t="b">
        <v>1</v>
      </c>
      <c r="K983">
        <v>2</v>
      </c>
      <c r="L983">
        <v>1500</v>
      </c>
      <c r="M983">
        <v>0.75</v>
      </c>
      <c r="N983">
        <v>0.154</v>
      </c>
      <c r="O983" t="s">
        <v>422</v>
      </c>
      <c r="P983" t="s">
        <v>423</v>
      </c>
      <c r="Q983" s="1">
        <v>-4.25364819134403E-5</v>
      </c>
      <c r="R983" s="1">
        <v>1.0525836649725901E-5</v>
      </c>
      <c r="S983">
        <v>1.3880892011253101E-4</v>
      </c>
      <c r="T983">
        <v>-4.4134923883984699E-4</v>
      </c>
      <c r="U983">
        <v>2.1658305059304599</v>
      </c>
      <c r="V983" s="1">
        <v>9.99999999998238E-15</v>
      </c>
      <c r="W983">
        <v>1.6628095178711499E-2</v>
      </c>
      <c r="X983">
        <v>2.4999999999999898</v>
      </c>
      <c r="Y983">
        <v>0.76124075991222295</v>
      </c>
      <c r="Z983">
        <v>0.49999999989934801</v>
      </c>
      <c r="AA983">
        <v>1.37033696415252</v>
      </c>
      <c r="AB983" s="9">
        <f t="shared" si="134"/>
        <v>-0.79488630572525443</v>
      </c>
      <c r="AC983" s="9">
        <f t="shared" si="135"/>
        <v>-0.77536869098124894</v>
      </c>
      <c r="AD983" s="2">
        <f t="shared" si="136"/>
        <v>-2.4553970301699479E-2</v>
      </c>
      <c r="AE983" s="8">
        <f t="shared" si="137"/>
        <v>0.18182493759849383</v>
      </c>
      <c r="AF983" s="2">
        <f t="shared" si="138"/>
        <v>9.0174834495350686E-3</v>
      </c>
      <c r="AG983" s="8">
        <f t="shared" si="139"/>
        <v>0.17280745414895876</v>
      </c>
      <c r="AH983" s="7">
        <f t="shared" si="140"/>
        <v>5.2182259694434616E-2</v>
      </c>
      <c r="AI983">
        <f t="shared" si="141"/>
        <v>2</v>
      </c>
      <c r="AJ983" s="10">
        <f t="shared" si="142"/>
        <v>0.69122981659583504</v>
      </c>
    </row>
    <row r="984" spans="1:36" hidden="1" x14ac:dyDescent="0.25">
      <c r="A984" t="b">
        <v>0</v>
      </c>
      <c r="B984">
        <v>1000</v>
      </c>
      <c r="C984">
        <v>0.69122981659583504</v>
      </c>
      <c r="D984" t="s">
        <v>52</v>
      </c>
      <c r="E984" t="b">
        <v>1</v>
      </c>
      <c r="F984" t="s">
        <v>53</v>
      </c>
      <c r="G984">
        <v>7.4999999999999997E-2</v>
      </c>
      <c r="H984">
        <v>0.5</v>
      </c>
      <c r="I984">
        <v>1E-4</v>
      </c>
      <c r="J984" t="b">
        <v>1</v>
      </c>
      <c r="K984">
        <v>2</v>
      </c>
      <c r="L984">
        <v>1500</v>
      </c>
      <c r="M984">
        <v>0.75</v>
      </c>
      <c r="N984">
        <v>0.154</v>
      </c>
      <c r="O984" t="s">
        <v>422</v>
      </c>
      <c r="P984" t="s">
        <v>424</v>
      </c>
      <c r="Q984" s="1">
        <v>-1E-10</v>
      </c>
      <c r="R984" s="1">
        <v>3.5857860076743498E-12</v>
      </c>
      <c r="S984" s="1">
        <v>3.44384172811119E-18</v>
      </c>
      <c r="T984" s="1">
        <v>-1.43911566577099E-16</v>
      </c>
      <c r="U984">
        <v>2.1659833397895398</v>
      </c>
      <c r="V984">
        <v>0</v>
      </c>
      <c r="W984">
        <v>6.8474549704604107E-2</v>
      </c>
      <c r="X984">
        <v>2</v>
      </c>
      <c r="Y984">
        <v>4.0005664984248601E-3</v>
      </c>
      <c r="Z984">
        <v>2.5000000000000001E-4</v>
      </c>
      <c r="AA984">
        <v>4.7933530824537801E-3</v>
      </c>
      <c r="AB984" s="9">
        <f t="shared" si="134"/>
        <v>-10.447022390894599</v>
      </c>
      <c r="AC984" s="9">
        <f t="shared" si="135"/>
        <v>-0.77536869098124894</v>
      </c>
      <c r="AD984" s="2">
        <f t="shared" si="136"/>
        <v>-0.92578089124638585</v>
      </c>
      <c r="AE984" s="8">
        <f t="shared" si="137"/>
        <v>-1.4217221157299877</v>
      </c>
      <c r="AF984" s="2">
        <f t="shared" si="138"/>
        <v>-1.5945295698789466</v>
      </c>
      <c r="AG984" s="8">
        <f t="shared" si="139"/>
        <v>0.17280745414895876</v>
      </c>
      <c r="AH984" s="7">
        <f t="shared" si="140"/>
        <v>-9.2272036396327781</v>
      </c>
      <c r="AI984">
        <f t="shared" si="141"/>
        <v>2</v>
      </c>
      <c r="AJ984" s="10">
        <f t="shared" si="142"/>
        <v>0.69122981659583504</v>
      </c>
    </row>
    <row r="985" spans="1:36" hidden="1" x14ac:dyDescent="0.25">
      <c r="A985" t="b">
        <v>0</v>
      </c>
      <c r="B985">
        <v>1000</v>
      </c>
      <c r="C985">
        <v>0.69122981659583504</v>
      </c>
      <c r="D985" t="s">
        <v>52</v>
      </c>
      <c r="E985" t="b">
        <v>1</v>
      </c>
      <c r="F985" t="s">
        <v>53</v>
      </c>
      <c r="G985">
        <v>7.4999999999999997E-2</v>
      </c>
      <c r="H985">
        <v>0.5</v>
      </c>
      <c r="I985">
        <v>1E-4</v>
      </c>
      <c r="J985" t="b">
        <v>1</v>
      </c>
      <c r="K985">
        <v>2</v>
      </c>
      <c r="L985">
        <v>1500</v>
      </c>
      <c r="M985">
        <v>0.75</v>
      </c>
      <c r="N985">
        <v>0.154</v>
      </c>
      <c r="O985" t="s">
        <v>422</v>
      </c>
      <c r="P985" t="s">
        <v>425</v>
      </c>
      <c r="Q985" s="1">
        <v>-6.4061650471943099E-6</v>
      </c>
      <c r="R985" s="1">
        <v>2.61897196325356E-6</v>
      </c>
      <c r="S985" s="1">
        <v>1.9842228246536401E-5</v>
      </c>
      <c r="T985" s="1">
        <v>-6.3112738238197205E-5</v>
      </c>
      <c r="U985">
        <v>2.1659614858806702</v>
      </c>
      <c r="V985" s="1">
        <v>2.7142983068006699E-15</v>
      </c>
      <c r="W985">
        <v>4.6080470005110799E-2</v>
      </c>
      <c r="X985">
        <v>2.1370214760283699</v>
      </c>
      <c r="Y985">
        <v>1.82966071712992</v>
      </c>
      <c r="Z985">
        <v>2.5454042456726902E-4</v>
      </c>
      <c r="AA985">
        <v>1.86992831333053</v>
      </c>
      <c r="AB985" s="9">
        <f t="shared" si="134"/>
        <v>-0.79518209162337872</v>
      </c>
      <c r="AC985" s="9">
        <f t="shared" si="135"/>
        <v>-0.77536869098124894</v>
      </c>
      <c r="AD985" s="2">
        <f t="shared" si="136"/>
        <v>-2.4916809433774278E-2</v>
      </c>
      <c r="AE985" s="8">
        <f t="shared" si="137"/>
        <v>0.18196266270519698</v>
      </c>
      <c r="AF985" s="2">
        <f t="shared" si="138"/>
        <v>9.1552085562382202E-3</v>
      </c>
      <c r="AG985" s="8">
        <f t="shared" si="139"/>
        <v>0.17280745414895876</v>
      </c>
      <c r="AH985" s="7">
        <f t="shared" si="140"/>
        <v>5.297924560792671E-2</v>
      </c>
      <c r="AI985">
        <f t="shared" si="141"/>
        <v>2</v>
      </c>
      <c r="AJ985" s="10">
        <f t="shared" si="142"/>
        <v>0.69122981659583504</v>
      </c>
    </row>
    <row r="986" spans="1:36" hidden="1" x14ac:dyDescent="0.25">
      <c r="A986" t="b">
        <v>0</v>
      </c>
      <c r="B986">
        <v>1000</v>
      </c>
      <c r="C986">
        <v>0.69122981659583504</v>
      </c>
      <c r="D986" t="s">
        <v>52</v>
      </c>
      <c r="E986" t="b">
        <v>1</v>
      </c>
      <c r="F986" t="s">
        <v>53</v>
      </c>
      <c r="G986">
        <v>7.4999999999999997E-2</v>
      </c>
      <c r="H986">
        <v>0.5</v>
      </c>
      <c r="I986">
        <v>1E-4</v>
      </c>
      <c r="J986" t="b">
        <v>1</v>
      </c>
      <c r="K986">
        <v>2</v>
      </c>
      <c r="L986">
        <v>1500</v>
      </c>
      <c r="M986">
        <v>0.75</v>
      </c>
      <c r="N986">
        <v>0.154</v>
      </c>
      <c r="O986" t="s">
        <v>422</v>
      </c>
      <c r="P986" t="s">
        <v>426</v>
      </c>
      <c r="Q986" s="1">
        <v>-4.8616366159856501E-5</v>
      </c>
      <c r="R986" s="1">
        <v>1.2811531609186899E-5</v>
      </c>
      <c r="S986">
        <v>1.58649634106991E-4</v>
      </c>
      <c r="T986">
        <v>-5.0444775004615397E-4</v>
      </c>
      <c r="U986">
        <v>2.16580865409742</v>
      </c>
      <c r="V986" s="1">
        <v>9.9999999999821197E-15</v>
      </c>
      <c r="W986">
        <v>1.7410503999411599E-2</v>
      </c>
      <c r="X986">
        <v>2.4999999999999898</v>
      </c>
      <c r="Y986">
        <v>0.81095064913227799</v>
      </c>
      <c r="Z986">
        <v>0.49999999990662602</v>
      </c>
      <c r="AA986">
        <v>1.45859712547008</v>
      </c>
      <c r="AB986" s="9">
        <f t="shared" si="134"/>
        <v>-0.79490846746290278</v>
      </c>
      <c r="AC986" s="9">
        <f t="shared" si="135"/>
        <v>-0.77536869098124894</v>
      </c>
      <c r="AD986" s="2">
        <f t="shared" si="136"/>
        <v>-2.4581165356080126E-2</v>
      </c>
      <c r="AE986" s="8">
        <f t="shared" si="137"/>
        <v>0.18183525553012364</v>
      </c>
      <c r="AF986" s="2">
        <f t="shared" si="138"/>
        <v>9.0278013811648794E-3</v>
      </c>
      <c r="AG986" s="8">
        <f t="shared" si="139"/>
        <v>0.17280745414895876</v>
      </c>
      <c r="AH986" s="7">
        <f t="shared" si="140"/>
        <v>5.224196737128585E-2</v>
      </c>
      <c r="AI986">
        <f t="shared" si="141"/>
        <v>2</v>
      </c>
      <c r="AJ986" s="10">
        <f t="shared" si="142"/>
        <v>0.69122981659583504</v>
      </c>
    </row>
    <row r="987" spans="1:36" hidden="1" x14ac:dyDescent="0.25">
      <c r="A987" t="b">
        <v>0</v>
      </c>
      <c r="B987">
        <v>1000</v>
      </c>
      <c r="C987">
        <v>0.69122981659583504</v>
      </c>
      <c r="D987" t="s">
        <v>52</v>
      </c>
      <c r="E987" t="b">
        <v>1</v>
      </c>
      <c r="F987" t="s">
        <v>53</v>
      </c>
      <c r="G987">
        <v>7.4999999999999997E-2</v>
      </c>
      <c r="H987">
        <v>0.5</v>
      </c>
      <c r="I987">
        <v>1E-4</v>
      </c>
      <c r="J987" t="b">
        <v>1</v>
      </c>
      <c r="K987">
        <v>2</v>
      </c>
      <c r="L987">
        <v>1500</v>
      </c>
      <c r="M987">
        <v>0.75</v>
      </c>
      <c r="N987">
        <v>0.154</v>
      </c>
      <c r="O987" t="s">
        <v>422</v>
      </c>
      <c r="P987" t="s">
        <v>427</v>
      </c>
      <c r="Q987" s="1">
        <v>-4.2536481913441302E-5</v>
      </c>
      <c r="R987" s="1">
        <v>1.05960817207154E-5</v>
      </c>
      <c r="S987">
        <v>1.3880892011253499E-4</v>
      </c>
      <c r="T987">
        <v>-4.4134923884006898E-4</v>
      </c>
      <c r="U987">
        <v>2.1658305060237102</v>
      </c>
      <c r="V987" s="1">
        <v>9.9999999999824494E-15</v>
      </c>
      <c r="W987">
        <v>1.6310339916887E-2</v>
      </c>
      <c r="X987">
        <v>2.4999999999999898</v>
      </c>
      <c r="Y987">
        <v>0.77214807519554696</v>
      </c>
      <c r="Z987">
        <v>0.499999999899365</v>
      </c>
      <c r="AA987">
        <v>1.37689852721563</v>
      </c>
      <c r="AB987" s="9">
        <f t="shared" si="134"/>
        <v>-0.79488630572563146</v>
      </c>
      <c r="AC987" s="9">
        <f t="shared" si="135"/>
        <v>-0.77536869098124894</v>
      </c>
      <c r="AD987" s="2">
        <f t="shared" si="136"/>
        <v>-2.4553970302162109E-2</v>
      </c>
      <c r="AE987" s="8">
        <f t="shared" si="137"/>
        <v>0.18182493759866936</v>
      </c>
      <c r="AF987" s="2">
        <f t="shared" si="138"/>
        <v>9.0174834497105949E-3</v>
      </c>
      <c r="AG987" s="8">
        <f t="shared" si="139"/>
        <v>0.17280745414895876</v>
      </c>
      <c r="AH987" s="7">
        <f t="shared" si="140"/>
        <v>5.2182259695450352E-2</v>
      </c>
      <c r="AI987">
        <f t="shared" si="141"/>
        <v>2</v>
      </c>
      <c r="AJ987" s="10">
        <f t="shared" si="142"/>
        <v>0.69122981659583504</v>
      </c>
    </row>
    <row r="988" spans="1:36" hidden="1" x14ac:dyDescent="0.25">
      <c r="A988" t="b">
        <v>0</v>
      </c>
      <c r="B988">
        <v>1000</v>
      </c>
      <c r="C988">
        <v>0.69122981659583504</v>
      </c>
      <c r="D988" t="s">
        <v>52</v>
      </c>
      <c r="E988" t="b">
        <v>1</v>
      </c>
      <c r="F988" t="s">
        <v>53</v>
      </c>
      <c r="G988">
        <v>7.4999999999999997E-2</v>
      </c>
      <c r="H988">
        <v>0.5</v>
      </c>
      <c r="I988">
        <v>1E-4</v>
      </c>
      <c r="J988" t="b">
        <v>1</v>
      </c>
      <c r="K988">
        <v>2</v>
      </c>
      <c r="L988">
        <v>1500</v>
      </c>
      <c r="M988">
        <v>0.75</v>
      </c>
      <c r="N988">
        <v>0.154</v>
      </c>
      <c r="O988" t="s">
        <v>422</v>
      </c>
      <c r="P988" t="s">
        <v>428</v>
      </c>
      <c r="Q988" s="1">
        <v>-4.8616366159855003E-5</v>
      </c>
      <c r="R988" s="1">
        <v>1.23389722117769E-5</v>
      </c>
      <c r="S988">
        <v>1.5864963410699699E-4</v>
      </c>
      <c r="T988">
        <v>-5.0444775004643999E-4</v>
      </c>
      <c r="U988">
        <v>2.1658086539313799</v>
      </c>
      <c r="V988" s="1">
        <v>9.9999999999820203E-15</v>
      </c>
      <c r="W988">
        <v>1.68993796283223E-2</v>
      </c>
      <c r="X988">
        <v>2.4999999999999898</v>
      </c>
      <c r="Y988">
        <v>0.78134134930635202</v>
      </c>
      <c r="Z988">
        <v>0.49999999990659699</v>
      </c>
      <c r="AA988">
        <v>1.4049935662576101</v>
      </c>
      <c r="AB988" s="9">
        <f t="shared" si="134"/>
        <v>-0.79490846746332355</v>
      </c>
      <c r="AC988" s="9">
        <f t="shared" si="135"/>
        <v>-0.77536869098124894</v>
      </c>
      <c r="AD988" s="2">
        <f t="shared" si="136"/>
        <v>-2.4581165356596379E-2</v>
      </c>
      <c r="AE988" s="8">
        <f t="shared" si="137"/>
        <v>0.18183525553031948</v>
      </c>
      <c r="AF988" s="2">
        <f t="shared" si="138"/>
        <v>9.0278013813607227E-3</v>
      </c>
      <c r="AG988" s="8">
        <f t="shared" si="139"/>
        <v>0.17280745414895876</v>
      </c>
      <c r="AH988" s="7">
        <f t="shared" si="140"/>
        <v>5.2241967372419158E-2</v>
      </c>
      <c r="AI988">
        <f t="shared" si="141"/>
        <v>2</v>
      </c>
      <c r="AJ988" s="10">
        <f t="shared" si="142"/>
        <v>0.69122981659583504</v>
      </c>
    </row>
    <row r="989" spans="1:36" hidden="1" x14ac:dyDescent="0.25">
      <c r="A989" t="b">
        <v>0</v>
      </c>
      <c r="B989">
        <v>1000</v>
      </c>
      <c r="C989">
        <v>0.69122981659583504</v>
      </c>
      <c r="D989" t="s">
        <v>52</v>
      </c>
      <c r="E989" t="b">
        <v>1</v>
      </c>
      <c r="F989" t="s">
        <v>53</v>
      </c>
      <c r="G989">
        <v>7.4999999999999997E-2</v>
      </c>
      <c r="H989">
        <v>0.5</v>
      </c>
      <c r="I989">
        <v>1E-4</v>
      </c>
      <c r="J989" t="b">
        <v>1</v>
      </c>
      <c r="K989">
        <v>2</v>
      </c>
      <c r="L989">
        <v>1500</v>
      </c>
      <c r="M989">
        <v>0.75</v>
      </c>
      <c r="N989">
        <v>0.154</v>
      </c>
      <c r="O989" t="s">
        <v>422</v>
      </c>
      <c r="P989" t="s">
        <v>429</v>
      </c>
      <c r="Q989" s="1">
        <v>-9.1149601184051899E-5</v>
      </c>
      <c r="R989" s="1">
        <v>2.31213616955679E-5</v>
      </c>
      <c r="S989">
        <v>2.9744644922793901E-4</v>
      </c>
      <c r="T989">
        <v>-9.4568328426802395E-4</v>
      </c>
      <c r="U989">
        <v>2.1656558350533399</v>
      </c>
      <c r="V989" s="1">
        <v>9.9999999999761701E-15</v>
      </c>
      <c r="W989">
        <v>1.6812985619586902E-2</v>
      </c>
      <c r="X989">
        <v>2.4999999999999898</v>
      </c>
      <c r="Y989">
        <v>0.782075070705053</v>
      </c>
      <c r="Z989">
        <v>0.49999999982936599</v>
      </c>
      <c r="AA989">
        <v>1.40369025349919</v>
      </c>
      <c r="AB989" s="9">
        <f t="shared" si="134"/>
        <v>-0.79483490786548983</v>
      </c>
      <c r="AC989" s="9">
        <f t="shared" si="135"/>
        <v>-0.77536869098124894</v>
      </c>
      <c r="AD989" s="2">
        <f t="shared" si="136"/>
        <v>-2.4490893255452173E-2</v>
      </c>
      <c r="AE989" s="8">
        <f t="shared" si="137"/>
        <v>0.1818010087782907</v>
      </c>
      <c r="AF989" s="2">
        <f t="shared" si="138"/>
        <v>8.9935546293319346E-3</v>
      </c>
      <c r="AG989" s="8">
        <f t="shared" si="139"/>
        <v>0.17280745414895876</v>
      </c>
      <c r="AH989" s="7">
        <f t="shared" si="140"/>
        <v>5.2043788698950197E-2</v>
      </c>
      <c r="AI989">
        <f t="shared" si="141"/>
        <v>2</v>
      </c>
      <c r="AJ989" s="10">
        <f t="shared" si="142"/>
        <v>0.69122981659583504</v>
      </c>
    </row>
    <row r="990" spans="1:36" hidden="1" x14ac:dyDescent="0.25">
      <c r="A990" t="b">
        <v>0</v>
      </c>
      <c r="B990">
        <v>1000</v>
      </c>
      <c r="C990">
        <v>0.69122981659583504</v>
      </c>
      <c r="D990" t="s">
        <v>52</v>
      </c>
      <c r="E990" t="b">
        <v>1</v>
      </c>
      <c r="F990" t="s">
        <v>53</v>
      </c>
      <c r="G990">
        <v>7.4999999999999997E-2</v>
      </c>
      <c r="H990">
        <v>0.5</v>
      </c>
      <c r="I990">
        <v>1E-4</v>
      </c>
      <c r="J990" t="b">
        <v>1</v>
      </c>
      <c r="K990">
        <v>2</v>
      </c>
      <c r="L990">
        <v>1500</v>
      </c>
      <c r="M990">
        <v>0.75</v>
      </c>
      <c r="N990">
        <v>0.154</v>
      </c>
      <c r="O990" t="s">
        <v>423</v>
      </c>
      <c r="P990" t="s">
        <v>426</v>
      </c>
      <c r="Q990" s="1">
        <v>-6.4057323127121097E-6</v>
      </c>
      <c r="R990" s="1">
        <v>2.6499198191564299E-6</v>
      </c>
      <c r="S990" s="1">
        <v>1.98407139944513E-5</v>
      </c>
      <c r="T990" s="1">
        <v>-6.3098511205971405E-5</v>
      </c>
      <c r="U990">
        <v>2.1656558203066099</v>
      </c>
      <c r="V990" s="1">
        <v>2.7143209447770799E-15</v>
      </c>
      <c r="W990">
        <v>4.6220600506451798E-2</v>
      </c>
      <c r="X990">
        <v>2.1370155403956699</v>
      </c>
      <c r="Y990">
        <v>1.8345686236643699</v>
      </c>
      <c r="Z990">
        <v>2.5454243641704098E-4</v>
      </c>
      <c r="AA990">
        <v>1.8921107532874499</v>
      </c>
      <c r="AB990" s="9">
        <f t="shared" si="134"/>
        <v>-0.79506351464490743</v>
      </c>
      <c r="AC990" s="9">
        <f t="shared" si="135"/>
        <v>-0.77536869098124894</v>
      </c>
      <c r="AD990" s="2">
        <f t="shared" si="136"/>
        <v>-2.4771384047794776E-2</v>
      </c>
      <c r="AE990" s="8">
        <f t="shared" si="137"/>
        <v>0.18190744652598012</v>
      </c>
      <c r="AF990" s="2">
        <f t="shared" si="138"/>
        <v>9.0999923770213598E-3</v>
      </c>
      <c r="AG990" s="8">
        <f t="shared" si="139"/>
        <v>0.17280745414895876</v>
      </c>
      <c r="AH990" s="7">
        <f t="shared" si="140"/>
        <v>5.2659721317213741E-2</v>
      </c>
      <c r="AI990">
        <f t="shared" si="141"/>
        <v>2</v>
      </c>
      <c r="AJ990" s="10">
        <f t="shared" si="142"/>
        <v>0.69122981659583504</v>
      </c>
    </row>
    <row r="991" spans="1:36" hidden="1" x14ac:dyDescent="0.25">
      <c r="A991" t="b">
        <v>0</v>
      </c>
      <c r="B991">
        <v>1000</v>
      </c>
      <c r="C991">
        <v>0.69122981659583504</v>
      </c>
      <c r="D991" t="s">
        <v>52</v>
      </c>
      <c r="E991" t="b">
        <v>1</v>
      </c>
      <c r="F991" t="s">
        <v>53</v>
      </c>
      <c r="G991">
        <v>7.4999999999999997E-2</v>
      </c>
      <c r="H991">
        <v>0.5</v>
      </c>
      <c r="I991">
        <v>1E-4</v>
      </c>
      <c r="J991" t="b">
        <v>1</v>
      </c>
      <c r="K991">
        <v>2</v>
      </c>
      <c r="L991">
        <v>1500</v>
      </c>
      <c r="M991">
        <v>0.75</v>
      </c>
      <c r="N991">
        <v>0.154</v>
      </c>
      <c r="O991" t="s">
        <v>423</v>
      </c>
      <c r="P991" t="s">
        <v>427</v>
      </c>
      <c r="Q991" s="1">
        <v>-1E-10</v>
      </c>
      <c r="R991" s="1">
        <v>3.58578600017944E-12</v>
      </c>
      <c r="S991" s="1">
        <v>6.5496264955352502E-18</v>
      </c>
      <c r="T991" s="1">
        <v>-2.7462982001949899E-16</v>
      </c>
      <c r="U991">
        <v>2.1656776722329099</v>
      </c>
      <c r="V991">
        <v>0</v>
      </c>
      <c r="W991">
        <v>6.8474549561480594E-2</v>
      </c>
      <c r="X991">
        <v>2</v>
      </c>
      <c r="Y991">
        <v>4.0005664900629899E-3</v>
      </c>
      <c r="Z991">
        <v>2.5000000000000001E-4</v>
      </c>
      <c r="AA991">
        <v>4.79335307243485E-3</v>
      </c>
      <c r="AB991" s="9">
        <f t="shared" si="134"/>
        <v>-10.48265195758524</v>
      </c>
      <c r="AC991" s="9">
        <f t="shared" si="135"/>
        <v>-0.77536869098124894</v>
      </c>
      <c r="AD991" s="2">
        <f t="shared" si="136"/>
        <v>-0.92603315514828355</v>
      </c>
      <c r="AE991" s="8">
        <f t="shared" si="137"/>
        <v>-1.4196204082754691</v>
      </c>
      <c r="AF991" s="2">
        <f t="shared" si="138"/>
        <v>-1.5924278624244279</v>
      </c>
      <c r="AG991" s="8">
        <f t="shared" si="139"/>
        <v>0.17280745414895876</v>
      </c>
      <c r="AH991" s="7">
        <f t="shared" si="140"/>
        <v>-9.2150415053957495</v>
      </c>
      <c r="AI991">
        <f t="shared" si="141"/>
        <v>2</v>
      </c>
      <c r="AJ991" s="10">
        <f t="shared" si="142"/>
        <v>0.69122981659583504</v>
      </c>
    </row>
    <row r="992" spans="1:36" hidden="1" x14ac:dyDescent="0.25">
      <c r="A992" t="b">
        <v>0</v>
      </c>
      <c r="B992">
        <v>1000</v>
      </c>
      <c r="C992">
        <v>0.69122981659583504</v>
      </c>
      <c r="D992" t="s">
        <v>52</v>
      </c>
      <c r="E992" t="b">
        <v>1</v>
      </c>
      <c r="F992" t="s">
        <v>53</v>
      </c>
      <c r="G992">
        <v>7.4999999999999997E-2</v>
      </c>
      <c r="H992">
        <v>0.5</v>
      </c>
      <c r="I992">
        <v>1E-4</v>
      </c>
      <c r="J992" t="b">
        <v>1</v>
      </c>
      <c r="K992">
        <v>2</v>
      </c>
      <c r="L992">
        <v>1500</v>
      </c>
      <c r="M992">
        <v>0.75</v>
      </c>
      <c r="N992">
        <v>0.154</v>
      </c>
      <c r="O992" t="s">
        <v>423</v>
      </c>
      <c r="P992" t="s">
        <v>428</v>
      </c>
      <c r="Q992" s="1">
        <v>-6.40573231275721E-6</v>
      </c>
      <c r="R992" s="1">
        <v>2.6646177232420899E-6</v>
      </c>
      <c r="S992" s="1">
        <v>1.9840713994461498E-5</v>
      </c>
      <c r="T992" s="1">
        <v>-6.3098511206405899E-5</v>
      </c>
      <c r="U992">
        <v>2.1656558201405698</v>
      </c>
      <c r="V992" s="1">
        <v>2.7151798555725999E-15</v>
      </c>
      <c r="W992">
        <v>4.6898195384253299E-2</v>
      </c>
      <c r="X992">
        <v>2.1370155405632598</v>
      </c>
      <c r="Y992">
        <v>1.8357545975749401</v>
      </c>
      <c r="Z992">
        <v>2.5454243654712502E-4</v>
      </c>
      <c r="AA992">
        <v>1.90263473265047</v>
      </c>
      <c r="AB992" s="9">
        <f t="shared" si="134"/>
        <v>-0.7950635146499736</v>
      </c>
      <c r="AC992" s="9">
        <f t="shared" si="135"/>
        <v>-0.77536869098124894</v>
      </c>
      <c r="AD992" s="2">
        <f t="shared" si="136"/>
        <v>-2.4771384054008916E-2</v>
      </c>
      <c r="AE992" s="8">
        <f t="shared" si="137"/>
        <v>0.18190744652833912</v>
      </c>
      <c r="AF992" s="2">
        <f t="shared" si="138"/>
        <v>9.0999923793803617E-3</v>
      </c>
      <c r="AG992" s="8">
        <f t="shared" si="139"/>
        <v>0.17280745414895876</v>
      </c>
      <c r="AH992" s="7">
        <f t="shared" si="140"/>
        <v>5.2659721330864787E-2</v>
      </c>
      <c r="AI992">
        <f t="shared" si="141"/>
        <v>2</v>
      </c>
      <c r="AJ992" s="10">
        <f t="shared" si="142"/>
        <v>0.69122981659583504</v>
      </c>
    </row>
    <row r="993" spans="1:36" hidden="1" x14ac:dyDescent="0.25">
      <c r="A993" t="b">
        <v>0</v>
      </c>
      <c r="B993">
        <v>1000</v>
      </c>
      <c r="C993">
        <v>0.69122981659583504</v>
      </c>
      <c r="D993" t="s">
        <v>52</v>
      </c>
      <c r="E993" t="b">
        <v>1</v>
      </c>
      <c r="F993" t="s">
        <v>53</v>
      </c>
      <c r="G993">
        <v>7.4999999999999997E-2</v>
      </c>
      <c r="H993">
        <v>0.5</v>
      </c>
      <c r="I993">
        <v>1E-4</v>
      </c>
      <c r="J993" t="b">
        <v>1</v>
      </c>
      <c r="K993">
        <v>2</v>
      </c>
      <c r="L993">
        <v>1500</v>
      </c>
      <c r="M993">
        <v>0.75</v>
      </c>
      <c r="N993">
        <v>0.154</v>
      </c>
      <c r="O993" t="s">
        <v>423</v>
      </c>
      <c r="P993" t="s">
        <v>429</v>
      </c>
      <c r="Q993" s="1">
        <v>-4.8613119276099899E-5</v>
      </c>
      <c r="R993" s="1">
        <v>1.2470960494684201E-5</v>
      </c>
      <c r="S993">
        <v>1.58637529115408E-4</v>
      </c>
      <c r="T993">
        <v>-5.0433404542806696E-4</v>
      </c>
      <c r="U993">
        <v>2.1655030012625298</v>
      </c>
      <c r="V993" s="1">
        <v>9.9999999999813403E-15</v>
      </c>
      <c r="W993">
        <v>1.7255105579327201E-2</v>
      </c>
      <c r="X993">
        <v>2.4999999999999898</v>
      </c>
      <c r="Y993">
        <v>0.78660678440491105</v>
      </c>
      <c r="Z993">
        <v>0.49999999990279498</v>
      </c>
      <c r="AA993">
        <v>1.42129599455592</v>
      </c>
      <c r="AB993" s="9">
        <f t="shared" si="134"/>
        <v>-0.79478993438741485</v>
      </c>
      <c r="AC993" s="9">
        <f t="shared" si="135"/>
        <v>-0.77536869098124894</v>
      </c>
      <c r="AD993" s="2">
        <f t="shared" si="136"/>
        <v>-2.4435693717151596E-2</v>
      </c>
      <c r="AE993" s="8">
        <f t="shared" si="137"/>
        <v>0.181780071692173</v>
      </c>
      <c r="AF993" s="2">
        <f t="shared" si="138"/>
        <v>8.9726175432142397E-3</v>
      </c>
      <c r="AG993" s="8">
        <f t="shared" si="139"/>
        <v>0.17280745414895876</v>
      </c>
      <c r="AH993" s="7">
        <f t="shared" si="140"/>
        <v>5.1922630232605065E-2</v>
      </c>
      <c r="AI993">
        <f t="shared" si="141"/>
        <v>2</v>
      </c>
      <c r="AJ993" s="10">
        <f t="shared" si="142"/>
        <v>0.69122981659583504</v>
      </c>
    </row>
    <row r="994" spans="1:36" hidden="1" x14ac:dyDescent="0.25">
      <c r="A994" t="b">
        <v>0</v>
      </c>
      <c r="B994">
        <v>1000</v>
      </c>
      <c r="C994">
        <v>0.69122981659583504</v>
      </c>
      <c r="D994" t="s">
        <v>52</v>
      </c>
      <c r="E994" t="b">
        <v>1</v>
      </c>
      <c r="F994" t="s">
        <v>53</v>
      </c>
      <c r="G994">
        <v>7.4999999999999997E-2</v>
      </c>
      <c r="H994">
        <v>0.5</v>
      </c>
      <c r="I994">
        <v>1E-4</v>
      </c>
      <c r="J994" t="b">
        <v>1</v>
      </c>
      <c r="K994">
        <v>2</v>
      </c>
      <c r="L994">
        <v>1500</v>
      </c>
      <c r="M994">
        <v>0.75</v>
      </c>
      <c r="N994">
        <v>0.154</v>
      </c>
      <c r="O994" t="s">
        <v>424</v>
      </c>
      <c r="P994" t="s">
        <v>425</v>
      </c>
      <c r="Q994" s="1">
        <v>-6.4061650471917798E-6</v>
      </c>
      <c r="R994" s="1">
        <v>2.6451852242596798E-6</v>
      </c>
      <c r="S994" s="1">
        <v>1.98422282465361E-5</v>
      </c>
      <c r="T994" s="1">
        <v>-6.3112738238165695E-5</v>
      </c>
      <c r="U994">
        <v>2.1659614859489502</v>
      </c>
      <c r="V994" s="1">
        <v>2.7167181046025798E-15</v>
      </c>
      <c r="W994">
        <v>4.6226416496735701E-2</v>
      </c>
      <c r="X994">
        <v>2.13702147632381</v>
      </c>
      <c r="Y994">
        <v>1.8338481588911999</v>
      </c>
      <c r="Z994">
        <v>2.5454042468473002E-4</v>
      </c>
      <c r="AA994">
        <v>1.8886980791352801</v>
      </c>
      <c r="AB994" s="9">
        <f t="shared" si="134"/>
        <v>-0.7951820916229938</v>
      </c>
      <c r="AC994" s="9">
        <f t="shared" si="135"/>
        <v>-0.77536869098124894</v>
      </c>
      <c r="AD994" s="2">
        <f t="shared" si="136"/>
        <v>-2.4916809433302323E-2</v>
      </c>
      <c r="AE994" s="8">
        <f t="shared" si="137"/>
        <v>0.18196266270501776</v>
      </c>
      <c r="AF994" s="2">
        <f t="shared" si="138"/>
        <v>9.1552085560590024E-3</v>
      </c>
      <c r="AG994" s="8">
        <f t="shared" si="139"/>
        <v>0.17280745414895876</v>
      </c>
      <c r="AH994" s="7">
        <f t="shared" si="140"/>
        <v>5.2979245606889616E-2</v>
      </c>
      <c r="AI994">
        <f t="shared" si="141"/>
        <v>2</v>
      </c>
      <c r="AJ994" s="10">
        <f t="shared" si="142"/>
        <v>0.69122981659583504</v>
      </c>
    </row>
    <row r="995" spans="1:36" hidden="1" x14ac:dyDescent="0.25">
      <c r="A995" t="b">
        <v>0</v>
      </c>
      <c r="B995">
        <v>1000</v>
      </c>
      <c r="C995">
        <v>0.69122981659583504</v>
      </c>
      <c r="D995" t="s">
        <v>52</v>
      </c>
      <c r="E995" t="b">
        <v>1</v>
      </c>
      <c r="F995" t="s">
        <v>53</v>
      </c>
      <c r="G995">
        <v>7.4999999999999997E-2</v>
      </c>
      <c r="H995">
        <v>0.5</v>
      </c>
      <c r="I995">
        <v>1E-4</v>
      </c>
      <c r="J995" t="b">
        <v>1</v>
      </c>
      <c r="K995">
        <v>2</v>
      </c>
      <c r="L995">
        <v>1500</v>
      </c>
      <c r="M995">
        <v>0.75</v>
      </c>
      <c r="N995">
        <v>0.154</v>
      </c>
      <c r="O995" t="s">
        <v>424</v>
      </c>
      <c r="P995" t="s">
        <v>426</v>
      </c>
      <c r="Q995" s="1">
        <v>-4.8616366159855898E-5</v>
      </c>
      <c r="R995" s="1">
        <v>1.27165325765423E-5</v>
      </c>
      <c r="S995">
        <v>1.5864963410699E-4</v>
      </c>
      <c r="T995">
        <v>-5.0444775004610096E-4</v>
      </c>
      <c r="U995">
        <v>2.1658086541656898</v>
      </c>
      <c r="V995" s="1">
        <v>9.9999999999820297E-15</v>
      </c>
      <c r="W995">
        <v>1.7332016160201101E-2</v>
      </c>
      <c r="X995">
        <v>2.4999999999999898</v>
      </c>
      <c r="Y995">
        <v>0.80464977294001405</v>
      </c>
      <c r="Z995">
        <v>0.49999999990664601</v>
      </c>
      <c r="AA995">
        <v>1.44794498259553</v>
      </c>
      <c r="AB995" s="9">
        <f t="shared" si="134"/>
        <v>-0.79490846746282429</v>
      </c>
      <c r="AC995" s="9">
        <f t="shared" si="135"/>
        <v>-0.77536869098124894</v>
      </c>
      <c r="AD995" s="2">
        <f t="shared" si="136"/>
        <v>-2.4581165355983758E-2</v>
      </c>
      <c r="AE995" s="8">
        <f t="shared" si="137"/>
        <v>0.18183525553008703</v>
      </c>
      <c r="AF995" s="2">
        <f t="shared" si="138"/>
        <v>9.0278013811282698E-3</v>
      </c>
      <c r="AG995" s="8">
        <f t="shared" si="139"/>
        <v>0.17280745414895876</v>
      </c>
      <c r="AH995" s="7">
        <f t="shared" si="140"/>
        <v>5.2241967371073998E-2</v>
      </c>
      <c r="AI995">
        <f t="shared" si="141"/>
        <v>2</v>
      </c>
      <c r="AJ995" s="10">
        <f t="shared" si="142"/>
        <v>0.69122981659583504</v>
      </c>
    </row>
    <row r="996" spans="1:36" hidden="1" x14ac:dyDescent="0.25">
      <c r="A996" t="b">
        <v>0</v>
      </c>
      <c r="B996">
        <v>1000</v>
      </c>
      <c r="C996">
        <v>0.69122981659583504</v>
      </c>
      <c r="D996" t="s">
        <v>52</v>
      </c>
      <c r="E996" t="b">
        <v>1</v>
      </c>
      <c r="F996" t="s">
        <v>53</v>
      </c>
      <c r="G996">
        <v>7.4999999999999997E-2</v>
      </c>
      <c r="H996">
        <v>0.5</v>
      </c>
      <c r="I996">
        <v>1E-4</v>
      </c>
      <c r="J996" t="b">
        <v>1</v>
      </c>
      <c r="K996">
        <v>2</v>
      </c>
      <c r="L996">
        <v>1500</v>
      </c>
      <c r="M996">
        <v>0.75</v>
      </c>
      <c r="N996">
        <v>0.154</v>
      </c>
      <c r="O996" t="s">
        <v>424</v>
      </c>
      <c r="P996" t="s">
        <v>427</v>
      </c>
      <c r="Q996" s="1">
        <v>-4.2536481913440903E-5</v>
      </c>
      <c r="R996" s="1">
        <v>1.03526497935775E-5</v>
      </c>
      <c r="S996">
        <v>1.3880892011253299E-4</v>
      </c>
      <c r="T996">
        <v>-4.41349238839979E-4</v>
      </c>
      <c r="U996">
        <v>2.16583050609198</v>
      </c>
      <c r="V996" s="1">
        <v>9.99999999998238E-15</v>
      </c>
      <c r="W996">
        <v>1.60049008331976E-2</v>
      </c>
      <c r="X996">
        <v>2.4999999999999898</v>
      </c>
      <c r="Y996">
        <v>0.75481825619435206</v>
      </c>
      <c r="Z996">
        <v>0.49999999989935201</v>
      </c>
      <c r="AA996">
        <v>1.3453227355783699</v>
      </c>
      <c r="AB996" s="9">
        <f t="shared" ref="AB996:AB1059" si="143">T996/S996/K996^2</f>
        <v>-0.79488630572548091</v>
      </c>
      <c r="AC996" s="9">
        <f t="shared" ref="AC996:AC1059" si="144">(1+10*C996/K996^2)/(-3-3*C996/K996^2)</f>
        <v>-0.77536869098124894</v>
      </c>
      <c r="AD996" s="2">
        <f t="shared" ref="AD996:AD1059" si="145">(AC996/AB996-1)</f>
        <v>-2.4553970301977368E-2</v>
      </c>
      <c r="AE996" s="8">
        <f t="shared" ref="AE996:AE1059" si="146">-(1+3*AB996)/(10+3*AB996)</f>
        <v>0.18182493759859927</v>
      </c>
      <c r="AF996" s="2">
        <f t="shared" ref="AF996:AF1059" si="147">(AE996-C996/K996^2)</f>
        <v>9.0174834496405121E-3</v>
      </c>
      <c r="AG996" s="8">
        <f t="shared" ref="AG996:AG1059" si="148">C996/K996^2</f>
        <v>0.17280745414895876</v>
      </c>
      <c r="AH996" s="7">
        <f t="shared" ref="AH996:AH1059" si="149">AF996/AG996</f>
        <v>5.2182259695044794E-2</v>
      </c>
      <c r="AI996">
        <f t="shared" ref="AI996:AI1059" si="150">K996</f>
        <v>2</v>
      </c>
      <c r="AJ996" s="10">
        <f t="shared" ref="AJ996:AJ1059" si="151">C996</f>
        <v>0.69122981659583504</v>
      </c>
    </row>
    <row r="997" spans="1:36" hidden="1" x14ac:dyDescent="0.25">
      <c r="A997" t="b">
        <v>0</v>
      </c>
      <c r="B997">
        <v>1000</v>
      </c>
      <c r="C997">
        <v>0.69122981659583504</v>
      </c>
      <c r="D997" t="s">
        <v>52</v>
      </c>
      <c r="E997" t="b">
        <v>1</v>
      </c>
      <c r="F997" t="s">
        <v>53</v>
      </c>
      <c r="G997">
        <v>7.4999999999999997E-2</v>
      </c>
      <c r="H997">
        <v>0.5</v>
      </c>
      <c r="I997">
        <v>1E-4</v>
      </c>
      <c r="J997" t="b">
        <v>1</v>
      </c>
      <c r="K997">
        <v>2</v>
      </c>
      <c r="L997">
        <v>1500</v>
      </c>
      <c r="M997">
        <v>0.75</v>
      </c>
      <c r="N997">
        <v>0.154</v>
      </c>
      <c r="O997" t="s">
        <v>424</v>
      </c>
      <c r="P997" t="s">
        <v>428</v>
      </c>
      <c r="Q997" s="1">
        <v>-4.8616366159856399E-5</v>
      </c>
      <c r="R997" s="1">
        <v>1.2709758248650599E-5</v>
      </c>
      <c r="S997">
        <v>1.5864963410699699E-4</v>
      </c>
      <c r="T997">
        <v>-5.0444775004641505E-4</v>
      </c>
      <c r="U997">
        <v>2.1658086539996502</v>
      </c>
      <c r="V997" s="1">
        <v>9.9999999999819603E-15</v>
      </c>
      <c r="W997">
        <v>1.7084496786962899E-2</v>
      </c>
      <c r="X997">
        <v>2.4999999999999898</v>
      </c>
      <c r="Y997">
        <v>0.80781522936519901</v>
      </c>
      <c r="Z997">
        <v>0.49999999990661298</v>
      </c>
      <c r="AA997">
        <v>1.4456491698770799</v>
      </c>
      <c r="AB997" s="9">
        <f t="shared" si="143"/>
        <v>-0.79490846746328425</v>
      </c>
      <c r="AC997" s="9">
        <f t="shared" si="144"/>
        <v>-0.77536869098124894</v>
      </c>
      <c r="AD997" s="2">
        <f t="shared" si="145"/>
        <v>-2.4581165356548196E-2</v>
      </c>
      <c r="AE997" s="8">
        <f t="shared" si="146"/>
        <v>0.18183525553030117</v>
      </c>
      <c r="AF997" s="2">
        <f t="shared" si="147"/>
        <v>9.0278013813424041E-3</v>
      </c>
      <c r="AG997" s="8">
        <f t="shared" si="148"/>
        <v>0.17280745414895876</v>
      </c>
      <c r="AH997" s="7">
        <f t="shared" si="149"/>
        <v>5.2241967372313146E-2</v>
      </c>
      <c r="AI997">
        <f t="shared" si="150"/>
        <v>2</v>
      </c>
      <c r="AJ997" s="10">
        <f t="shared" si="151"/>
        <v>0.69122981659583504</v>
      </c>
    </row>
    <row r="998" spans="1:36" hidden="1" x14ac:dyDescent="0.25">
      <c r="A998" t="b">
        <v>0</v>
      </c>
      <c r="B998">
        <v>1000</v>
      </c>
      <c r="C998">
        <v>0.69122981659583504</v>
      </c>
      <c r="D998" t="s">
        <v>52</v>
      </c>
      <c r="E998" t="b">
        <v>1</v>
      </c>
      <c r="F998" t="s">
        <v>53</v>
      </c>
      <c r="G998">
        <v>7.4999999999999997E-2</v>
      </c>
      <c r="H998">
        <v>0.5</v>
      </c>
      <c r="I998">
        <v>1E-4</v>
      </c>
      <c r="J998" t="b">
        <v>1</v>
      </c>
      <c r="K998">
        <v>2</v>
      </c>
      <c r="L998">
        <v>1500</v>
      </c>
      <c r="M998">
        <v>0.75</v>
      </c>
      <c r="N998">
        <v>0.154</v>
      </c>
      <c r="O998" t="s">
        <v>424</v>
      </c>
      <c r="P998" t="s">
        <v>429</v>
      </c>
      <c r="Q998" s="1">
        <v>-9.1149601184050205E-5</v>
      </c>
      <c r="R998" s="1">
        <v>2.3372535603130501E-5</v>
      </c>
      <c r="S998">
        <v>2.97446449227935E-4</v>
      </c>
      <c r="T998">
        <v>-9.4568328426785199E-4</v>
      </c>
      <c r="U998">
        <v>2.1656558351216102</v>
      </c>
      <c r="V998" s="1">
        <v>9.9999999999762805E-15</v>
      </c>
      <c r="W998">
        <v>1.67159583339118E-2</v>
      </c>
      <c r="X998">
        <v>2.4999999999999898</v>
      </c>
      <c r="Y998">
        <v>0.79401209791479499</v>
      </c>
      <c r="Z998">
        <v>0.49999999982936599</v>
      </c>
      <c r="AA998">
        <v>1.4174030216922999</v>
      </c>
      <c r="AB998" s="9">
        <f t="shared" si="143"/>
        <v>-0.79483490786535593</v>
      </c>
      <c r="AC998" s="9">
        <f t="shared" si="144"/>
        <v>-0.77536869098124894</v>
      </c>
      <c r="AD998" s="2">
        <f t="shared" si="145"/>
        <v>-2.449089325528786E-2</v>
      </c>
      <c r="AE998" s="8">
        <f t="shared" si="146"/>
        <v>0.18180100877822833</v>
      </c>
      <c r="AF998" s="2">
        <f t="shared" si="147"/>
        <v>8.9935546292695678E-3</v>
      </c>
      <c r="AG998" s="8">
        <f t="shared" si="148"/>
        <v>0.17280745414895876</v>
      </c>
      <c r="AH998" s="7">
        <f t="shared" si="149"/>
        <v>5.2043788698589298E-2</v>
      </c>
      <c r="AI998">
        <f t="shared" si="150"/>
        <v>2</v>
      </c>
      <c r="AJ998" s="10">
        <f t="shared" si="151"/>
        <v>0.69122981659583504</v>
      </c>
    </row>
    <row r="999" spans="1:36" hidden="1" x14ac:dyDescent="0.25">
      <c r="A999" t="b">
        <v>0</v>
      </c>
      <c r="B999">
        <v>1000</v>
      </c>
      <c r="C999">
        <v>0.69122981659583504</v>
      </c>
      <c r="D999" t="s">
        <v>52</v>
      </c>
      <c r="E999" t="b">
        <v>1</v>
      </c>
      <c r="F999" t="s">
        <v>53</v>
      </c>
      <c r="G999">
        <v>7.4999999999999997E-2</v>
      </c>
      <c r="H999">
        <v>0.5</v>
      </c>
      <c r="I999">
        <v>1E-4</v>
      </c>
      <c r="J999" t="b">
        <v>1</v>
      </c>
      <c r="K999">
        <v>2</v>
      </c>
      <c r="L999">
        <v>1500</v>
      </c>
      <c r="M999">
        <v>0.75</v>
      </c>
      <c r="N999">
        <v>0.154</v>
      </c>
      <c r="O999" t="s">
        <v>425</v>
      </c>
      <c r="P999" t="s">
        <v>426</v>
      </c>
      <c r="Q999" s="1">
        <v>-4.25360757710258E-5</v>
      </c>
      <c r="R999" s="1">
        <v>1.0460983503953901E-5</v>
      </c>
      <c r="S999">
        <v>1.3880740586045501E-4</v>
      </c>
      <c r="T999">
        <v>-4.4133501180808798E-4</v>
      </c>
      <c r="U999">
        <v>2.1657868002568201</v>
      </c>
      <c r="V999" s="1">
        <v>9.9999999999822806E-15</v>
      </c>
      <c r="W999">
        <v>1.62005663999557E-2</v>
      </c>
      <c r="X999">
        <v>2.4999999999999898</v>
      </c>
      <c r="Y999">
        <v>0.76160150853200304</v>
      </c>
      <c r="Z999">
        <v>0.49999999989880001</v>
      </c>
      <c r="AA999">
        <v>1.3597953421309801</v>
      </c>
      <c r="AB999" s="9">
        <f t="shared" si="143"/>
        <v>-0.79486935346188969</v>
      </c>
      <c r="AC999" s="9">
        <f t="shared" si="144"/>
        <v>-0.77536869098124894</v>
      </c>
      <c r="AD999" s="2">
        <f t="shared" si="145"/>
        <v>-2.4533166860326916E-2</v>
      </c>
      <c r="AE999" s="8">
        <f t="shared" si="146"/>
        <v>0.1818170451849114</v>
      </c>
      <c r="AF999" s="2">
        <f t="shared" si="147"/>
        <v>9.009591035952641E-3</v>
      </c>
      <c r="AG999" s="8">
        <f t="shared" si="148"/>
        <v>0.17280745414895876</v>
      </c>
      <c r="AH999" s="7">
        <f t="shared" si="149"/>
        <v>5.2136587974882374E-2</v>
      </c>
      <c r="AI999">
        <f t="shared" si="150"/>
        <v>2</v>
      </c>
      <c r="AJ999" s="10">
        <f t="shared" si="151"/>
        <v>0.69122981659583504</v>
      </c>
    </row>
    <row r="1000" spans="1:36" hidden="1" x14ac:dyDescent="0.25">
      <c r="A1000" t="b">
        <v>0</v>
      </c>
      <c r="B1000">
        <v>1000</v>
      </c>
      <c r="C1000">
        <v>0.69122981659583504</v>
      </c>
      <c r="D1000" t="s">
        <v>52</v>
      </c>
      <c r="E1000" t="b">
        <v>1</v>
      </c>
      <c r="F1000" t="s">
        <v>53</v>
      </c>
      <c r="G1000">
        <v>7.4999999999999997E-2</v>
      </c>
      <c r="H1000">
        <v>0.5</v>
      </c>
      <c r="I1000">
        <v>1E-4</v>
      </c>
      <c r="J1000" t="b">
        <v>1</v>
      </c>
      <c r="K1000">
        <v>2</v>
      </c>
      <c r="L1000">
        <v>1500</v>
      </c>
      <c r="M1000">
        <v>0.75</v>
      </c>
      <c r="N1000">
        <v>0.154</v>
      </c>
      <c r="O1000" t="s">
        <v>425</v>
      </c>
      <c r="P1000" t="s">
        <v>427</v>
      </c>
      <c r="Q1000" s="1">
        <v>-3.6456191524679503E-5</v>
      </c>
      <c r="R1000" s="1">
        <v>1.09307316617238E-5</v>
      </c>
      <c r="S1000">
        <v>1.18966691866001E-4</v>
      </c>
      <c r="T1000">
        <v>-3.78236500602137E-4</v>
      </c>
      <c r="U1000">
        <v>2.1658086521831201</v>
      </c>
      <c r="V1000" s="1">
        <v>9.9999999999826198E-15</v>
      </c>
      <c r="W1000">
        <v>2.0250110844650199E-2</v>
      </c>
      <c r="X1000">
        <v>2.4999999999999898</v>
      </c>
      <c r="Y1000">
        <v>0.90826501854145103</v>
      </c>
      <c r="Z1000">
        <v>0.499999999891027</v>
      </c>
      <c r="AA1000">
        <v>1.6643960629366601</v>
      </c>
      <c r="AB1000" s="9">
        <f t="shared" si="143"/>
        <v>-0.79483697215890992</v>
      </c>
      <c r="AC1000" s="9">
        <f t="shared" si="144"/>
        <v>-0.77536869098124894</v>
      </c>
      <c r="AD1000" s="2">
        <f t="shared" si="145"/>
        <v>-2.4493426777546401E-2</v>
      </c>
      <c r="AE1000" s="8">
        <f t="shared" si="146"/>
        <v>0.18180196981336783</v>
      </c>
      <c r="AF1000" s="2">
        <f t="shared" si="147"/>
        <v>8.994515664409064E-3</v>
      </c>
      <c r="AG1000" s="8">
        <f t="shared" si="148"/>
        <v>0.17280745414895876</v>
      </c>
      <c r="AH1000" s="7">
        <f t="shared" si="149"/>
        <v>5.2049350004634967E-2</v>
      </c>
      <c r="AI1000">
        <f t="shared" si="150"/>
        <v>2</v>
      </c>
      <c r="AJ1000" s="10">
        <f t="shared" si="151"/>
        <v>0.69122981659583504</v>
      </c>
    </row>
    <row r="1001" spans="1:36" hidden="1" x14ac:dyDescent="0.25">
      <c r="A1001" t="b">
        <v>0</v>
      </c>
      <c r="B1001">
        <v>1000</v>
      </c>
      <c r="C1001">
        <v>0.69122981659583504</v>
      </c>
      <c r="D1001" t="s">
        <v>52</v>
      </c>
      <c r="E1001" t="b">
        <v>1</v>
      </c>
      <c r="F1001" t="s">
        <v>53</v>
      </c>
      <c r="G1001">
        <v>7.4999999999999997E-2</v>
      </c>
      <c r="H1001">
        <v>0.5</v>
      </c>
      <c r="I1001">
        <v>1E-4</v>
      </c>
      <c r="J1001" t="b">
        <v>1</v>
      </c>
      <c r="K1001">
        <v>2</v>
      </c>
      <c r="L1001">
        <v>1500</v>
      </c>
      <c r="M1001">
        <v>0.75</v>
      </c>
      <c r="N1001">
        <v>0.154</v>
      </c>
      <c r="O1001" t="s">
        <v>425</v>
      </c>
      <c r="P1001" t="s">
        <v>428</v>
      </c>
      <c r="Q1001" s="1">
        <v>-4.25360757710258E-5</v>
      </c>
      <c r="R1001" s="1">
        <v>1.00917087832534E-5</v>
      </c>
      <c r="S1001">
        <v>1.38807405860461E-4</v>
      </c>
      <c r="T1001">
        <v>-4.4133501180841102E-4</v>
      </c>
      <c r="U1001">
        <v>2.1657868000907801</v>
      </c>
      <c r="V1001" s="1">
        <v>9.9999999999822206E-15</v>
      </c>
      <c r="W1001">
        <v>1.58131509292933E-2</v>
      </c>
      <c r="X1001">
        <v>2.4999999999999898</v>
      </c>
      <c r="Y1001">
        <v>0.73438786716704996</v>
      </c>
      <c r="Z1001">
        <v>0.49999999989879301</v>
      </c>
      <c r="AA1001">
        <v>1.31226431269526</v>
      </c>
      <c r="AB1001" s="9">
        <f t="shared" si="143"/>
        <v>-0.79486935346243726</v>
      </c>
      <c r="AC1001" s="9">
        <f t="shared" si="144"/>
        <v>-0.77536869098124894</v>
      </c>
      <c r="AD1001" s="2">
        <f t="shared" si="145"/>
        <v>-2.4533166860998934E-2</v>
      </c>
      <c r="AE1001" s="8">
        <f t="shared" si="146"/>
        <v>0.18181704518516634</v>
      </c>
      <c r="AF1001" s="2">
        <f t="shared" si="147"/>
        <v>9.009591036207576E-3</v>
      </c>
      <c r="AG1001" s="8">
        <f t="shared" si="148"/>
        <v>0.17280745414895876</v>
      </c>
      <c r="AH1001" s="7">
        <f t="shared" si="149"/>
        <v>5.2136587976357632E-2</v>
      </c>
      <c r="AI1001">
        <f t="shared" si="150"/>
        <v>2</v>
      </c>
      <c r="AJ1001" s="10">
        <f t="shared" si="151"/>
        <v>0.69122981659583504</v>
      </c>
    </row>
    <row r="1002" spans="1:36" hidden="1" x14ac:dyDescent="0.25">
      <c r="A1002" t="b">
        <v>0</v>
      </c>
      <c r="B1002">
        <v>1000</v>
      </c>
      <c r="C1002">
        <v>0.69122981659583504</v>
      </c>
      <c r="D1002" t="s">
        <v>52</v>
      </c>
      <c r="E1002" t="b">
        <v>1</v>
      </c>
      <c r="F1002" t="s">
        <v>53</v>
      </c>
      <c r="G1002">
        <v>7.4999999999999997E-2</v>
      </c>
      <c r="H1002">
        <v>0.5</v>
      </c>
      <c r="I1002">
        <v>1E-4</v>
      </c>
      <c r="J1002" t="b">
        <v>1</v>
      </c>
      <c r="K1002">
        <v>2</v>
      </c>
      <c r="L1002">
        <v>1500</v>
      </c>
      <c r="M1002">
        <v>0.75</v>
      </c>
      <c r="N1002">
        <v>0.154</v>
      </c>
      <c r="O1002" t="s">
        <v>425</v>
      </c>
      <c r="P1002" t="s">
        <v>429</v>
      </c>
      <c r="Q1002" s="1">
        <v>-8.5069310795849405E-5</v>
      </c>
      <c r="R1002" s="1">
        <v>2.12332765005844E-5</v>
      </c>
      <c r="S1002">
        <v>2.7760422098139798E-4</v>
      </c>
      <c r="T1002">
        <v>-8.8257054602985897E-4</v>
      </c>
      <c r="U1002">
        <v>2.1656339812127401</v>
      </c>
      <c r="V1002" s="1">
        <v>9.9999999999761196E-15</v>
      </c>
      <c r="W1002">
        <v>1.6414248092272699E-2</v>
      </c>
      <c r="X1002">
        <v>2.4999999999999898</v>
      </c>
      <c r="Y1002">
        <v>0.77249859436547197</v>
      </c>
      <c r="Z1002">
        <v>0.49999999982819399</v>
      </c>
      <c r="AA1002">
        <v>1.3801511279048599</v>
      </c>
      <c r="AB1002" s="9">
        <f t="shared" si="143"/>
        <v>-0.79481009232294708</v>
      </c>
      <c r="AC1002" s="9">
        <f t="shared" si="144"/>
        <v>-0.77536869098124894</v>
      </c>
      <c r="AD1002" s="2">
        <f t="shared" si="145"/>
        <v>-2.4460435932409763E-2</v>
      </c>
      <c r="AE1002" s="8">
        <f t="shared" si="146"/>
        <v>0.18178945598541621</v>
      </c>
      <c r="AF1002" s="2">
        <f t="shared" si="147"/>
        <v>8.9820018364574483E-3</v>
      </c>
      <c r="AG1002" s="8">
        <f t="shared" si="148"/>
        <v>0.17280745414895876</v>
      </c>
      <c r="AH1002" s="7">
        <f t="shared" si="149"/>
        <v>5.1976935142595347E-2</v>
      </c>
      <c r="AI1002">
        <f t="shared" si="150"/>
        <v>2</v>
      </c>
      <c r="AJ1002" s="10">
        <f t="shared" si="151"/>
        <v>0.69122981659583504</v>
      </c>
    </row>
    <row r="1003" spans="1:36" hidden="1" x14ac:dyDescent="0.25">
      <c r="A1003" t="b">
        <v>0</v>
      </c>
      <c r="B1003">
        <v>1000</v>
      </c>
      <c r="C1003">
        <v>0.69122981659583504</v>
      </c>
      <c r="D1003" t="s">
        <v>52</v>
      </c>
      <c r="E1003" t="b">
        <v>1</v>
      </c>
      <c r="F1003" t="s">
        <v>53</v>
      </c>
      <c r="G1003">
        <v>7.4999999999999997E-2</v>
      </c>
      <c r="H1003">
        <v>0.5</v>
      </c>
      <c r="I1003">
        <v>1E-4</v>
      </c>
      <c r="J1003" t="b">
        <v>1</v>
      </c>
      <c r="K1003">
        <v>2</v>
      </c>
      <c r="L1003">
        <v>1500</v>
      </c>
      <c r="M1003">
        <v>0.75</v>
      </c>
      <c r="N1003">
        <v>0.154</v>
      </c>
      <c r="O1003" t="s">
        <v>426</v>
      </c>
      <c r="P1003" t="s">
        <v>428</v>
      </c>
      <c r="Q1003" s="1">
        <v>-1E-10</v>
      </c>
      <c r="R1003" s="1">
        <v>3.5857859863396E-12</v>
      </c>
      <c r="S1003" s="1">
        <v>1.1654998213515899E-17</v>
      </c>
      <c r="T1003" s="1">
        <v>-4.8301593033933705E-16</v>
      </c>
      <c r="U1003">
        <v>2.1656339683075299</v>
      </c>
      <c r="V1003">
        <v>0</v>
      </c>
      <c r="W1003">
        <v>6.8474549297193502E-2</v>
      </c>
      <c r="X1003">
        <v>2</v>
      </c>
      <c r="Y1003">
        <v>4.0005664746222396E-3</v>
      </c>
      <c r="Z1003">
        <v>2.5000000000000001E-4</v>
      </c>
      <c r="AA1003">
        <v>4.7933530539342401E-3</v>
      </c>
      <c r="AB1003" s="9">
        <f t="shared" si="143"/>
        <v>-10.36070365457457</v>
      </c>
      <c r="AC1003" s="9">
        <f t="shared" si="144"/>
        <v>-0.77536869098124894</v>
      </c>
      <c r="AD1003" s="2">
        <f t="shared" si="145"/>
        <v>-0.92516254524480102</v>
      </c>
      <c r="AE1003" s="8">
        <f t="shared" si="146"/>
        <v>-1.4269022212949372</v>
      </c>
      <c r="AF1003" s="2">
        <f t="shared" si="147"/>
        <v>-1.599709675443896</v>
      </c>
      <c r="AG1003" s="8">
        <f t="shared" si="148"/>
        <v>0.17280745414895876</v>
      </c>
      <c r="AH1003" s="7">
        <f t="shared" si="149"/>
        <v>-9.2571798092977975</v>
      </c>
      <c r="AI1003">
        <f t="shared" si="150"/>
        <v>2</v>
      </c>
      <c r="AJ1003" s="10">
        <f t="shared" si="151"/>
        <v>0.69122981659583504</v>
      </c>
    </row>
    <row r="1004" spans="1:36" hidden="1" x14ac:dyDescent="0.25">
      <c r="A1004" t="b">
        <v>0</v>
      </c>
      <c r="B1004">
        <v>1000</v>
      </c>
      <c r="C1004">
        <v>0.69122981659583504</v>
      </c>
      <c r="D1004" t="s">
        <v>52</v>
      </c>
      <c r="E1004" t="b">
        <v>1</v>
      </c>
      <c r="F1004" t="s">
        <v>53</v>
      </c>
      <c r="G1004">
        <v>7.4999999999999997E-2</v>
      </c>
      <c r="H1004">
        <v>0.5</v>
      </c>
      <c r="I1004">
        <v>1E-4</v>
      </c>
      <c r="J1004" t="b">
        <v>1</v>
      </c>
      <c r="K1004">
        <v>2</v>
      </c>
      <c r="L1004">
        <v>1500</v>
      </c>
      <c r="M1004">
        <v>0.75</v>
      </c>
      <c r="N1004">
        <v>0.154</v>
      </c>
      <c r="O1004" t="s">
        <v>426</v>
      </c>
      <c r="P1004" t="s">
        <v>429</v>
      </c>
      <c r="Q1004" s="1">
        <v>-4.2533235029680201E-5</v>
      </c>
      <c r="R1004" s="1">
        <v>1.03026107663067E-5</v>
      </c>
      <c r="S1004">
        <v>1.38796815120952E-4</v>
      </c>
      <c r="T1004">
        <v>-4.4123553422203602E-4</v>
      </c>
      <c r="U1004">
        <v>2.1654811494294899</v>
      </c>
      <c r="V1004" s="1">
        <v>9.9999999999817E-15</v>
      </c>
      <c r="W1004">
        <v>1.6176931295376701E-2</v>
      </c>
      <c r="X1004">
        <v>2.4999999999999898</v>
      </c>
      <c r="Y1004">
        <v>0.74782296052860298</v>
      </c>
      <c r="Z1004">
        <v>0.49999999989471</v>
      </c>
      <c r="AA1004">
        <v>1.3404140579035999</v>
      </c>
      <c r="AB1004" s="9">
        <f t="shared" si="143"/>
        <v>-0.79475082666257368</v>
      </c>
      <c r="AC1004" s="9">
        <f t="shared" si="144"/>
        <v>-0.77536869098124894</v>
      </c>
      <c r="AD1004" s="2">
        <f t="shared" si="145"/>
        <v>-2.4387688607656832E-2</v>
      </c>
      <c r="AE1004" s="8">
        <f t="shared" si="146"/>
        <v>0.18176186596919763</v>
      </c>
      <c r="AF1004" s="2">
        <f t="shared" si="147"/>
        <v>8.9544118202388723E-3</v>
      </c>
      <c r="AG1004" s="8">
        <f t="shared" si="148"/>
        <v>0.17280745414895876</v>
      </c>
      <c r="AH1004" s="7">
        <f t="shared" si="149"/>
        <v>5.1817277584103719E-2</v>
      </c>
      <c r="AI1004">
        <f t="shared" si="150"/>
        <v>2</v>
      </c>
      <c r="AJ1004" s="10">
        <f t="shared" si="151"/>
        <v>0.69122981659583504</v>
      </c>
    </row>
    <row r="1005" spans="1:36" hidden="1" x14ac:dyDescent="0.25">
      <c r="A1005" t="b">
        <v>0</v>
      </c>
      <c r="B1005">
        <v>1000</v>
      </c>
      <c r="C1005">
        <v>0.69122981659583504</v>
      </c>
      <c r="D1005" t="s">
        <v>52</v>
      </c>
      <c r="E1005" t="b">
        <v>1</v>
      </c>
      <c r="F1005" t="s">
        <v>53</v>
      </c>
      <c r="G1005">
        <v>7.4999999999999997E-2</v>
      </c>
      <c r="H1005">
        <v>0.5</v>
      </c>
      <c r="I1005">
        <v>1E-4</v>
      </c>
      <c r="J1005" t="b">
        <v>1</v>
      </c>
      <c r="K1005">
        <v>2</v>
      </c>
      <c r="L1005">
        <v>1500</v>
      </c>
      <c r="M1005">
        <v>0.75</v>
      </c>
      <c r="N1005">
        <v>0.154</v>
      </c>
      <c r="O1005" t="s">
        <v>427</v>
      </c>
      <c r="P1005" t="s">
        <v>428</v>
      </c>
      <c r="Q1005" s="1">
        <v>-6.4057323126205802E-6</v>
      </c>
      <c r="R1005" s="1">
        <v>2.6875230973759602E-6</v>
      </c>
      <c r="S1005" s="1">
        <v>1.9840713994458802E-5</v>
      </c>
      <c r="T1005" s="1">
        <v>-6.3098511206283696E-5</v>
      </c>
      <c r="U1005">
        <v>2.1656558202338201</v>
      </c>
      <c r="V1005" s="1">
        <v>2.7134576681315401E-15</v>
      </c>
      <c r="W1005">
        <v>4.7719041311492599E-2</v>
      </c>
      <c r="X1005">
        <v>2.1370155402023898</v>
      </c>
      <c r="Y1005">
        <v>1.83858109498992</v>
      </c>
      <c r="Z1005">
        <v>2.54542436467758E-4</v>
      </c>
      <c r="AA1005">
        <v>1.91888301622244</v>
      </c>
      <c r="AB1005" s="9">
        <f t="shared" si="143"/>
        <v>-0.79506351464854186</v>
      </c>
      <c r="AC1005" s="9">
        <f t="shared" si="144"/>
        <v>-0.77536869098124894</v>
      </c>
      <c r="AD1005" s="2">
        <f t="shared" si="145"/>
        <v>-2.4771384052252765E-2</v>
      </c>
      <c r="AE1005" s="8">
        <f t="shared" si="146"/>
        <v>0.18190744652767246</v>
      </c>
      <c r="AF1005" s="2">
        <f t="shared" si="147"/>
        <v>9.0999923787137005E-3</v>
      </c>
      <c r="AG1005" s="8">
        <f t="shared" si="148"/>
        <v>0.17280745414895876</v>
      </c>
      <c r="AH1005" s="7">
        <f t="shared" si="149"/>
        <v>5.2659721327006956E-2</v>
      </c>
      <c r="AI1005">
        <f t="shared" si="150"/>
        <v>2</v>
      </c>
      <c r="AJ1005" s="10">
        <f t="shared" si="151"/>
        <v>0.69122981659583504</v>
      </c>
    </row>
    <row r="1006" spans="1:36" hidden="1" x14ac:dyDescent="0.25">
      <c r="A1006" t="b">
        <v>0</v>
      </c>
      <c r="B1006">
        <v>1000</v>
      </c>
      <c r="C1006">
        <v>0.69122981659583504</v>
      </c>
      <c r="D1006" t="s">
        <v>52</v>
      </c>
      <c r="E1006" t="b">
        <v>1</v>
      </c>
      <c r="F1006" t="s">
        <v>53</v>
      </c>
      <c r="G1006">
        <v>7.4999999999999997E-2</v>
      </c>
      <c r="H1006">
        <v>0.5</v>
      </c>
      <c r="I1006">
        <v>1E-4</v>
      </c>
      <c r="J1006" t="b">
        <v>1</v>
      </c>
      <c r="K1006">
        <v>2</v>
      </c>
      <c r="L1006">
        <v>1500</v>
      </c>
      <c r="M1006">
        <v>0.75</v>
      </c>
      <c r="N1006">
        <v>0.154</v>
      </c>
      <c r="O1006" t="s">
        <v>427</v>
      </c>
      <c r="P1006" t="s">
        <v>429</v>
      </c>
      <c r="Q1006" s="1">
        <v>-4.8613119276099499E-5</v>
      </c>
      <c r="R1006" s="1">
        <v>1.23564423560204E-5</v>
      </c>
      <c r="S1006">
        <v>1.5863752911540101E-4</v>
      </c>
      <c r="T1006">
        <v>-5.0433404542774604E-4</v>
      </c>
      <c r="U1006">
        <v>2.1655030013557801</v>
      </c>
      <c r="V1006" s="1">
        <v>9.9999999999813497E-15</v>
      </c>
      <c r="W1006">
        <v>1.70535690786714E-2</v>
      </c>
      <c r="X1006">
        <v>2.4999999999999898</v>
      </c>
      <c r="Y1006">
        <v>0.78040544693805303</v>
      </c>
      <c r="Z1006">
        <v>0.49999999990275001</v>
      </c>
      <c r="AA1006">
        <v>1.4079421401839201</v>
      </c>
      <c r="AB1006" s="9">
        <f t="shared" si="143"/>
        <v>-0.79478993438694412</v>
      </c>
      <c r="AC1006" s="9">
        <f t="shared" si="144"/>
        <v>-0.77536869098124894</v>
      </c>
      <c r="AD1006" s="2">
        <f t="shared" si="145"/>
        <v>-2.4435693716573836E-2</v>
      </c>
      <c r="AE1006" s="8">
        <f t="shared" si="146"/>
        <v>0.18178007169195384</v>
      </c>
      <c r="AF1006" s="2">
        <f t="shared" si="147"/>
        <v>8.9726175429950816E-3</v>
      </c>
      <c r="AG1006" s="8">
        <f t="shared" si="148"/>
        <v>0.17280745414895876</v>
      </c>
      <c r="AH1006" s="7">
        <f t="shared" si="149"/>
        <v>5.1922630231336843E-2</v>
      </c>
      <c r="AI1006">
        <f t="shared" si="150"/>
        <v>2</v>
      </c>
      <c r="AJ1006" s="10">
        <f t="shared" si="151"/>
        <v>0.69122981659583504</v>
      </c>
    </row>
    <row r="1007" spans="1:36" hidden="1" x14ac:dyDescent="0.25">
      <c r="A1007" t="b">
        <v>0</v>
      </c>
      <c r="B1007">
        <v>1000</v>
      </c>
      <c r="C1007">
        <v>0.69122981659583504</v>
      </c>
      <c r="D1007" t="s">
        <v>52</v>
      </c>
      <c r="E1007" t="b">
        <v>1</v>
      </c>
      <c r="F1007" t="s">
        <v>53</v>
      </c>
      <c r="G1007">
        <v>7.4999999999999997E-2</v>
      </c>
      <c r="H1007">
        <v>0.5</v>
      </c>
      <c r="I1007">
        <v>1E-4</v>
      </c>
      <c r="J1007" t="b">
        <v>1</v>
      </c>
      <c r="K1007">
        <v>2</v>
      </c>
      <c r="L1007">
        <v>1500</v>
      </c>
      <c r="M1007">
        <v>0.75</v>
      </c>
      <c r="N1007">
        <v>0.154</v>
      </c>
      <c r="O1007" t="s">
        <v>428</v>
      </c>
      <c r="P1007" t="s">
        <v>429</v>
      </c>
      <c r="Q1007" s="1">
        <v>-4.2533235029679401E-5</v>
      </c>
      <c r="R1007" s="1">
        <v>1.02824273160319E-5</v>
      </c>
      <c r="S1007">
        <v>1.3879681512094099E-4</v>
      </c>
      <c r="T1007">
        <v>-4.41235534221634E-4</v>
      </c>
      <c r="U1007">
        <v>2.1654811492634498</v>
      </c>
      <c r="V1007" s="1">
        <v>9.9999999999816195E-15</v>
      </c>
      <c r="W1007">
        <v>1.5957616600585301E-2</v>
      </c>
      <c r="X1007">
        <v>2.4999999999999898</v>
      </c>
      <c r="Y1007">
        <v>0.74921835124389902</v>
      </c>
      <c r="Z1007">
        <v>0.499999999894713</v>
      </c>
      <c r="AA1007">
        <v>1.3366068618523601</v>
      </c>
      <c r="AB1007" s="9">
        <f t="shared" si="143"/>
        <v>-0.79475082666191255</v>
      </c>
      <c r="AC1007" s="9">
        <f t="shared" si="144"/>
        <v>-0.77536869098124894</v>
      </c>
      <c r="AD1007" s="2">
        <f t="shared" si="145"/>
        <v>-2.4387688606845259E-2</v>
      </c>
      <c r="AE1007" s="8">
        <f t="shared" si="146"/>
        <v>0.18176186596888982</v>
      </c>
      <c r="AF1007" s="2">
        <f t="shared" si="147"/>
        <v>8.9544118199310629E-3</v>
      </c>
      <c r="AG1007" s="8">
        <f t="shared" si="148"/>
        <v>0.17280745414895876</v>
      </c>
      <c r="AH1007" s="7">
        <f t="shared" si="149"/>
        <v>5.1817277582322491E-2</v>
      </c>
      <c r="AI1007">
        <f t="shared" si="150"/>
        <v>2</v>
      </c>
      <c r="AJ1007" s="10">
        <f t="shared" si="151"/>
        <v>0.69122981659583504</v>
      </c>
    </row>
    <row r="1008" spans="1:36" hidden="1" x14ac:dyDescent="0.25">
      <c r="A1008" t="b">
        <v>0</v>
      </c>
      <c r="B1008">
        <v>1000</v>
      </c>
      <c r="C1008">
        <v>0.73016299927019102</v>
      </c>
      <c r="D1008" t="s">
        <v>52</v>
      </c>
      <c r="E1008" t="b">
        <v>1</v>
      </c>
      <c r="F1008" t="s">
        <v>53</v>
      </c>
      <c r="G1008">
        <v>7.4999999999999997E-2</v>
      </c>
      <c r="H1008">
        <v>0.5</v>
      </c>
      <c r="I1008">
        <v>1E-4</v>
      </c>
      <c r="J1008" t="b">
        <v>1</v>
      </c>
      <c r="K1008">
        <v>8</v>
      </c>
      <c r="L1008">
        <v>1500</v>
      </c>
      <c r="M1008">
        <v>0.75</v>
      </c>
      <c r="N1008">
        <v>0.154</v>
      </c>
      <c r="O1008" t="s">
        <v>430</v>
      </c>
      <c r="P1008" t="s">
        <v>431</v>
      </c>
      <c r="Q1008" s="1">
        <v>-5.0665839691234998E-5</v>
      </c>
      <c r="R1008">
        <v>1.12413249479808E-3</v>
      </c>
      <c r="S1008">
        <v>2.6638474142743501E-4</v>
      </c>
      <c r="T1008">
        <v>-5.8821399230897901E-3</v>
      </c>
      <c r="U1008">
        <v>7.9686903554881203</v>
      </c>
      <c r="V1008" s="1">
        <v>9.9999999999999905E-15</v>
      </c>
      <c r="W1008">
        <v>1.4845539748912999</v>
      </c>
      <c r="X1008">
        <v>2.4999999999999898</v>
      </c>
      <c r="Y1008">
        <v>67.931398750478806</v>
      </c>
      <c r="Z1008">
        <v>0.499999999999999</v>
      </c>
      <c r="AA1008">
        <v>122.935112129987</v>
      </c>
      <c r="AB1008" s="9">
        <f t="shared" si="143"/>
        <v>-0.34502139952079219</v>
      </c>
      <c r="AC1008" s="9">
        <f t="shared" si="144"/>
        <v>-0.36717364666353874</v>
      </c>
      <c r="AD1008" s="2">
        <f t="shared" si="145"/>
        <v>6.4205429499486932E-2</v>
      </c>
      <c r="AE1008" s="8">
        <f t="shared" si="146"/>
        <v>3.9112604193722849E-3</v>
      </c>
      <c r="AF1008" s="2">
        <f t="shared" si="147"/>
        <v>-7.4975364442244497E-3</v>
      </c>
      <c r="AG1008" s="8">
        <f t="shared" si="148"/>
        <v>1.1408796863596735E-2</v>
      </c>
      <c r="AH1008" s="7">
        <f t="shared" si="149"/>
        <v>-0.65717152596060668</v>
      </c>
      <c r="AI1008">
        <f t="shared" si="150"/>
        <v>8</v>
      </c>
      <c r="AJ1008" s="10">
        <f t="shared" si="151"/>
        <v>0.73016299927019102</v>
      </c>
    </row>
    <row r="1009" spans="1:36" hidden="1" x14ac:dyDescent="0.25">
      <c r="A1009" t="b">
        <v>0</v>
      </c>
      <c r="B1009">
        <v>1000</v>
      </c>
      <c r="C1009">
        <v>0.73016299927019102</v>
      </c>
      <c r="D1009" t="s">
        <v>52</v>
      </c>
      <c r="E1009" t="b">
        <v>1</v>
      </c>
      <c r="F1009" t="s">
        <v>53</v>
      </c>
      <c r="G1009">
        <v>7.4999999999999997E-2</v>
      </c>
      <c r="H1009">
        <v>0.5</v>
      </c>
      <c r="I1009">
        <v>1E-4</v>
      </c>
      <c r="J1009" t="b">
        <v>1</v>
      </c>
      <c r="K1009">
        <v>8</v>
      </c>
      <c r="L1009">
        <v>1500</v>
      </c>
      <c r="M1009">
        <v>0.75</v>
      </c>
      <c r="N1009">
        <v>0.154</v>
      </c>
      <c r="O1009" t="s">
        <v>430</v>
      </c>
      <c r="P1009" t="s">
        <v>432</v>
      </c>
      <c r="Q1009">
        <v>-4.0491333982596898E-4</v>
      </c>
      <c r="R1009">
        <v>8.7772546088140894E-3</v>
      </c>
      <c r="S1009">
        <v>2.12643520935799E-3</v>
      </c>
      <c r="T1009">
        <v>-4.6878230224526397E-2</v>
      </c>
      <c r="U1009">
        <v>7.9648297324502</v>
      </c>
      <c r="V1009" s="1">
        <v>9.9999999999999905E-15</v>
      </c>
      <c r="W1009">
        <v>1.451079240216</v>
      </c>
      <c r="X1009">
        <v>2.4999999999999898</v>
      </c>
      <c r="Y1009">
        <v>66.441937189545698</v>
      </c>
      <c r="Z1009">
        <v>0.499999999999999</v>
      </c>
      <c r="AA1009">
        <v>120.091806644011</v>
      </c>
      <c r="AB1009" s="9">
        <f t="shared" si="143"/>
        <v>-0.34446022339865784</v>
      </c>
      <c r="AC1009" s="9">
        <f t="shared" si="144"/>
        <v>-0.36717364666353874</v>
      </c>
      <c r="AD1009" s="2">
        <f t="shared" si="145"/>
        <v>6.5939175910577408E-2</v>
      </c>
      <c r="AE1009" s="8">
        <f t="shared" si="146"/>
        <v>3.7227709762385039E-3</v>
      </c>
      <c r="AF1009" s="2">
        <f t="shared" si="147"/>
        <v>-7.6860258873582311E-3</v>
      </c>
      <c r="AG1009" s="8">
        <f t="shared" si="148"/>
        <v>1.1408796863596735E-2</v>
      </c>
      <c r="AH1009" s="7">
        <f t="shared" si="149"/>
        <v>-0.6736929388131061</v>
      </c>
      <c r="AI1009">
        <f t="shared" si="150"/>
        <v>8</v>
      </c>
      <c r="AJ1009" s="10">
        <f t="shared" si="151"/>
        <v>0.73016299927019102</v>
      </c>
    </row>
    <row r="1010" spans="1:36" hidden="1" x14ac:dyDescent="0.25">
      <c r="A1010" t="b">
        <v>0</v>
      </c>
      <c r="B1010">
        <v>1000</v>
      </c>
      <c r="C1010">
        <v>0.73016299927019102</v>
      </c>
      <c r="D1010" t="s">
        <v>52</v>
      </c>
      <c r="E1010" t="b">
        <v>1</v>
      </c>
      <c r="F1010" t="s">
        <v>53</v>
      </c>
      <c r="G1010">
        <v>7.4999999999999997E-2</v>
      </c>
      <c r="H1010">
        <v>0.5</v>
      </c>
      <c r="I1010">
        <v>1E-4</v>
      </c>
      <c r="J1010" t="b">
        <v>1</v>
      </c>
      <c r="K1010">
        <v>8</v>
      </c>
      <c r="L1010">
        <v>1500</v>
      </c>
      <c r="M1010">
        <v>0.75</v>
      </c>
      <c r="N1010">
        <v>0.154</v>
      </c>
      <c r="O1010" t="s">
        <v>430</v>
      </c>
      <c r="P1010" t="s">
        <v>433</v>
      </c>
      <c r="Q1010" s="1">
        <v>-5.0665839691234801E-5</v>
      </c>
      <c r="R1010">
        <v>1.11501440724458E-3</v>
      </c>
      <c r="S1010">
        <v>2.6638474142743598E-4</v>
      </c>
      <c r="T1010">
        <v>-5.8821399230898699E-3</v>
      </c>
      <c r="U1010">
        <v>7.96869035546327</v>
      </c>
      <c r="V1010" s="1">
        <v>9.9999999999999905E-15</v>
      </c>
      <c r="W1010">
        <v>1.4757336797240099</v>
      </c>
      <c r="X1010">
        <v>2.4999999999999898</v>
      </c>
      <c r="Y1010">
        <v>67.368549584729095</v>
      </c>
      <c r="Z1010">
        <v>0.499999999999999</v>
      </c>
      <c r="AA1010">
        <v>121.95030297699</v>
      </c>
      <c r="AB1010" s="9">
        <f t="shared" si="143"/>
        <v>-0.34502139952079558</v>
      </c>
      <c r="AC1010" s="9">
        <f t="shared" si="144"/>
        <v>-0.36717364666353874</v>
      </c>
      <c r="AD1010" s="2">
        <f t="shared" si="145"/>
        <v>6.4205429499476496E-2</v>
      </c>
      <c r="AE1010" s="8">
        <f t="shared" si="146"/>
        <v>3.9112604193734281E-3</v>
      </c>
      <c r="AF1010" s="2">
        <f t="shared" si="147"/>
        <v>-7.4975364442233065E-3</v>
      </c>
      <c r="AG1010" s="8">
        <f t="shared" si="148"/>
        <v>1.1408796863596735E-2</v>
      </c>
      <c r="AH1010" s="7">
        <f t="shared" si="149"/>
        <v>-0.65717152596050654</v>
      </c>
      <c r="AI1010">
        <f t="shared" si="150"/>
        <v>8</v>
      </c>
      <c r="AJ1010" s="10">
        <f t="shared" si="151"/>
        <v>0.73016299927019102</v>
      </c>
    </row>
    <row r="1011" spans="1:36" hidden="1" x14ac:dyDescent="0.25">
      <c r="A1011" t="b">
        <v>0</v>
      </c>
      <c r="B1011">
        <v>1000</v>
      </c>
      <c r="C1011">
        <v>0.73016299927019102</v>
      </c>
      <c r="D1011" t="s">
        <v>52</v>
      </c>
      <c r="E1011" t="b">
        <v>1</v>
      </c>
      <c r="F1011" t="s">
        <v>53</v>
      </c>
      <c r="G1011">
        <v>7.4999999999999997E-2</v>
      </c>
      <c r="H1011">
        <v>0.5</v>
      </c>
      <c r="I1011">
        <v>1E-4</v>
      </c>
      <c r="J1011" t="b">
        <v>1</v>
      </c>
      <c r="K1011">
        <v>8</v>
      </c>
      <c r="L1011">
        <v>1500</v>
      </c>
      <c r="M1011">
        <v>0.75</v>
      </c>
      <c r="N1011">
        <v>0.154</v>
      </c>
      <c r="O1011" t="s">
        <v>430</v>
      </c>
      <c r="P1011" t="s">
        <v>434</v>
      </c>
      <c r="Q1011">
        <v>-1.01334487583824E-4</v>
      </c>
      <c r="R1011">
        <v>2.2083624162022798E-3</v>
      </c>
      <c r="S1011">
        <v>5.3276330189235899E-4</v>
      </c>
      <c r="T1011">
        <v>-1.17634955735684E-2</v>
      </c>
      <c r="U1011">
        <v>7.9681367350685699</v>
      </c>
      <c r="V1011" s="1">
        <v>9.9999999999999905E-15</v>
      </c>
      <c r="W1011">
        <v>1.4648210651418601</v>
      </c>
      <c r="X1011">
        <v>2.4999999999999898</v>
      </c>
      <c r="Y1011">
        <v>66.696171849155803</v>
      </c>
      <c r="Z1011">
        <v>0.499999999999999</v>
      </c>
      <c r="AA1011">
        <v>120.77663336296</v>
      </c>
      <c r="AB1011" s="9">
        <f t="shared" si="143"/>
        <v>-0.3450024010365163</v>
      </c>
      <c r="AC1011" s="9">
        <f t="shared" si="144"/>
        <v>-0.36717364666353874</v>
      </c>
      <c r="AD1011" s="2">
        <f t="shared" si="145"/>
        <v>6.426403283110993E-2</v>
      </c>
      <c r="AE1011" s="8">
        <f t="shared" si="146"/>
        <v>3.904877996298154E-3</v>
      </c>
      <c r="AF1011" s="2">
        <f t="shared" si="147"/>
        <v>-7.5039188672985802E-3</v>
      </c>
      <c r="AG1011" s="8">
        <f t="shared" si="148"/>
        <v>1.1408796863596735E-2</v>
      </c>
      <c r="AH1011" s="7">
        <f t="shared" si="149"/>
        <v>-0.65773095594699693</v>
      </c>
      <c r="AI1011">
        <f t="shared" si="150"/>
        <v>8</v>
      </c>
      <c r="AJ1011" s="10">
        <f t="shared" si="151"/>
        <v>0.73016299927019102</v>
      </c>
    </row>
    <row r="1012" spans="1:36" hidden="1" x14ac:dyDescent="0.25">
      <c r="A1012" t="b">
        <v>0</v>
      </c>
      <c r="B1012">
        <v>1000</v>
      </c>
      <c r="C1012">
        <v>0.73016299927019102</v>
      </c>
      <c r="D1012" t="s">
        <v>52</v>
      </c>
      <c r="E1012" t="b">
        <v>1</v>
      </c>
      <c r="F1012" t="s">
        <v>53</v>
      </c>
      <c r="G1012">
        <v>7.4999999999999997E-2</v>
      </c>
      <c r="H1012">
        <v>0.5</v>
      </c>
      <c r="I1012">
        <v>1E-4</v>
      </c>
      <c r="J1012" t="b">
        <v>1</v>
      </c>
      <c r="K1012">
        <v>8</v>
      </c>
      <c r="L1012">
        <v>1500</v>
      </c>
      <c r="M1012">
        <v>0.75</v>
      </c>
      <c r="N1012">
        <v>0.154</v>
      </c>
      <c r="O1012" t="s">
        <v>430</v>
      </c>
      <c r="P1012" t="s">
        <v>435</v>
      </c>
      <c r="Q1012">
        <v>-4.5560154493266901E-4</v>
      </c>
      <c r="R1012">
        <v>1.0378206747780399E-2</v>
      </c>
      <c r="S1012">
        <v>2.3927706888185098E-3</v>
      </c>
      <c r="T1012">
        <v>-5.2754122104602903E-2</v>
      </c>
      <c r="U1012">
        <v>7.9642760898092098</v>
      </c>
      <c r="V1012" s="1">
        <v>9.9999999999999905E-15</v>
      </c>
      <c r="W1012">
        <v>1.52778408232333</v>
      </c>
      <c r="X1012">
        <v>2.4999999999999898</v>
      </c>
      <c r="Y1012">
        <v>69.531938340624393</v>
      </c>
      <c r="Z1012">
        <v>0.499999999999999</v>
      </c>
      <c r="AA1012">
        <v>126.283805937297</v>
      </c>
      <c r="AB1012" s="9">
        <f t="shared" si="143"/>
        <v>-0.34448898999654276</v>
      </c>
      <c r="AC1012" s="9">
        <f t="shared" si="144"/>
        <v>-0.36717364666353874</v>
      </c>
      <c r="AD1012" s="2">
        <f t="shared" si="145"/>
        <v>6.585016452114667E-2</v>
      </c>
      <c r="AE1012" s="8">
        <f t="shared" si="146"/>
        <v>3.732431462374224E-3</v>
      </c>
      <c r="AF1012" s="2">
        <f t="shared" si="147"/>
        <v>-7.676365401222511E-3</v>
      </c>
      <c r="AG1012" s="8">
        <f t="shared" si="148"/>
        <v>1.1408796863596735E-2</v>
      </c>
      <c r="AH1012" s="7">
        <f t="shared" si="149"/>
        <v>-0.67284618115309858</v>
      </c>
      <c r="AI1012">
        <f t="shared" si="150"/>
        <v>8</v>
      </c>
      <c r="AJ1012" s="10">
        <f t="shared" si="151"/>
        <v>0.73016299927019102</v>
      </c>
    </row>
    <row r="1013" spans="1:36" hidden="1" x14ac:dyDescent="0.25">
      <c r="A1013" t="b">
        <v>0</v>
      </c>
      <c r="B1013">
        <v>1000</v>
      </c>
      <c r="C1013">
        <v>0.73016299927019102</v>
      </c>
      <c r="D1013" t="s">
        <v>52</v>
      </c>
      <c r="E1013" t="b">
        <v>1</v>
      </c>
      <c r="F1013" t="s">
        <v>53</v>
      </c>
      <c r="G1013">
        <v>7.4999999999999997E-2</v>
      </c>
      <c r="H1013">
        <v>0.5</v>
      </c>
      <c r="I1013">
        <v>1E-4</v>
      </c>
      <c r="J1013" t="b">
        <v>1</v>
      </c>
      <c r="K1013">
        <v>8</v>
      </c>
      <c r="L1013">
        <v>1500</v>
      </c>
      <c r="M1013">
        <v>0.75</v>
      </c>
      <c r="N1013">
        <v>0.154</v>
      </c>
      <c r="O1013" t="s">
        <v>430</v>
      </c>
      <c r="P1013" t="s">
        <v>436</v>
      </c>
      <c r="Q1013">
        <v>-4.04913339825968E-4</v>
      </c>
      <c r="R1013">
        <v>8.8055287452468E-3</v>
      </c>
      <c r="S1013">
        <v>2.12643520935799E-3</v>
      </c>
      <c r="T1013">
        <v>-4.68782302245263E-2</v>
      </c>
      <c r="U1013">
        <v>7.9648297324342003</v>
      </c>
      <c r="V1013" s="1">
        <v>9.9999999999999905E-15</v>
      </c>
      <c r="W1013">
        <v>1.45587881165047</v>
      </c>
      <c r="X1013">
        <v>2.4999999999999898</v>
      </c>
      <c r="Y1013">
        <v>66.640153345804904</v>
      </c>
      <c r="Z1013">
        <v>0.499999999999999</v>
      </c>
      <c r="AA1013">
        <v>120.484503355526</v>
      </c>
      <c r="AB1013" s="9">
        <f t="shared" si="143"/>
        <v>-0.34446022339865712</v>
      </c>
      <c r="AC1013" s="9">
        <f t="shared" si="144"/>
        <v>-0.36717364666353874</v>
      </c>
      <c r="AD1013" s="2">
        <f t="shared" si="145"/>
        <v>6.5939175910579628E-2</v>
      </c>
      <c r="AE1013" s="8">
        <f t="shared" si="146"/>
        <v>3.722770976238255E-3</v>
      </c>
      <c r="AF1013" s="2">
        <f t="shared" si="147"/>
        <v>-7.6860258873584792E-3</v>
      </c>
      <c r="AG1013" s="8">
        <f t="shared" si="148"/>
        <v>1.1408796863596735E-2</v>
      </c>
      <c r="AH1013" s="7">
        <f t="shared" si="149"/>
        <v>-0.67369293881312775</v>
      </c>
      <c r="AI1013">
        <f t="shared" si="150"/>
        <v>8</v>
      </c>
      <c r="AJ1013" s="10">
        <f t="shared" si="151"/>
        <v>0.73016299927019102</v>
      </c>
    </row>
    <row r="1014" spans="1:36" hidden="1" x14ac:dyDescent="0.25">
      <c r="A1014" t="b">
        <v>0</v>
      </c>
      <c r="B1014">
        <v>1000</v>
      </c>
      <c r="C1014">
        <v>0.73016299927019102</v>
      </c>
      <c r="D1014" t="s">
        <v>52</v>
      </c>
      <c r="E1014" t="b">
        <v>1</v>
      </c>
      <c r="F1014" t="s">
        <v>53</v>
      </c>
      <c r="G1014">
        <v>7.4999999999999997E-2</v>
      </c>
      <c r="H1014">
        <v>0.5</v>
      </c>
      <c r="I1014">
        <v>1E-4</v>
      </c>
      <c r="J1014" t="b">
        <v>1</v>
      </c>
      <c r="K1014">
        <v>8</v>
      </c>
      <c r="L1014">
        <v>1500</v>
      </c>
      <c r="M1014">
        <v>0.75</v>
      </c>
      <c r="N1014">
        <v>0.154</v>
      </c>
      <c r="O1014" t="s">
        <v>430</v>
      </c>
      <c r="P1014" t="s">
        <v>437</v>
      </c>
      <c r="Q1014">
        <v>-4.55601544932665E-4</v>
      </c>
      <c r="R1014">
        <v>1.02586420064406E-2</v>
      </c>
      <c r="S1014">
        <v>2.3927706888185098E-3</v>
      </c>
      <c r="T1014">
        <v>-5.2754122104602598E-2</v>
      </c>
      <c r="U1014">
        <v>7.9642760898592204</v>
      </c>
      <c r="V1014" s="1">
        <v>9.9999999999999905E-15</v>
      </c>
      <c r="W1014">
        <v>1.50806449696123</v>
      </c>
      <c r="X1014">
        <v>2.4999999999999898</v>
      </c>
      <c r="Y1014">
        <v>68.814746160488497</v>
      </c>
      <c r="Z1014">
        <v>0.499999999999999</v>
      </c>
      <c r="AA1014">
        <v>124.80425246137</v>
      </c>
      <c r="AB1014" s="9">
        <f t="shared" si="143"/>
        <v>-0.34448898999654076</v>
      </c>
      <c r="AC1014" s="9">
        <f t="shared" si="144"/>
        <v>-0.36717364666353874</v>
      </c>
      <c r="AD1014" s="2">
        <f t="shared" si="145"/>
        <v>6.5850164521152887E-2</v>
      </c>
      <c r="AE1014" s="8">
        <f t="shared" si="146"/>
        <v>3.732431462373528E-3</v>
      </c>
      <c r="AF1014" s="2">
        <f t="shared" si="147"/>
        <v>-7.6763654012232067E-3</v>
      </c>
      <c r="AG1014" s="8">
        <f t="shared" si="148"/>
        <v>1.1408796863596735E-2</v>
      </c>
      <c r="AH1014" s="7">
        <f t="shared" si="149"/>
        <v>-0.67284618115315953</v>
      </c>
      <c r="AI1014">
        <f t="shared" si="150"/>
        <v>8</v>
      </c>
      <c r="AJ1014" s="10">
        <f t="shared" si="151"/>
        <v>0.73016299927019102</v>
      </c>
    </row>
    <row r="1015" spans="1:36" hidden="1" x14ac:dyDescent="0.25">
      <c r="A1015" t="b">
        <v>0</v>
      </c>
      <c r="B1015">
        <v>1000</v>
      </c>
      <c r="C1015">
        <v>0.73016299927019102</v>
      </c>
      <c r="D1015" t="s">
        <v>52</v>
      </c>
      <c r="E1015" t="b">
        <v>1</v>
      </c>
      <c r="F1015" t="s">
        <v>53</v>
      </c>
      <c r="G1015">
        <v>7.4999999999999997E-2</v>
      </c>
      <c r="H1015">
        <v>0.5</v>
      </c>
      <c r="I1015">
        <v>1E-4</v>
      </c>
      <c r="J1015" t="b">
        <v>1</v>
      </c>
      <c r="K1015">
        <v>8</v>
      </c>
      <c r="L1015">
        <v>1500</v>
      </c>
      <c r="M1015">
        <v>0.75</v>
      </c>
      <c r="N1015">
        <v>0.154</v>
      </c>
      <c r="O1015" t="s">
        <v>430</v>
      </c>
      <c r="P1015" t="s">
        <v>438</v>
      </c>
      <c r="Q1015">
        <v>-8.1000480503051102E-4</v>
      </c>
      <c r="R1015">
        <v>1.7310057979651999E-2</v>
      </c>
      <c r="S1015">
        <v>4.2524778031378602E-3</v>
      </c>
      <c r="T1015">
        <v>-9.3706684317334005E-2</v>
      </c>
      <c r="U1015">
        <v>7.9604152860059898</v>
      </c>
      <c r="V1015" s="1">
        <v>9.9999999999999795E-15</v>
      </c>
      <c r="W1015">
        <v>1.4278652678595301</v>
      </c>
      <c r="X1015">
        <v>2.4999999999999898</v>
      </c>
      <c r="Y1015">
        <v>65.620387331210395</v>
      </c>
      <c r="Z1015">
        <v>0.499999999999998</v>
      </c>
      <c r="AA1015">
        <v>118.35393408026199</v>
      </c>
      <c r="AB1015" s="9">
        <f t="shared" si="143"/>
        <v>-0.34430913228469995</v>
      </c>
      <c r="AC1015" s="9">
        <f t="shared" si="144"/>
        <v>-0.36717364666353874</v>
      </c>
      <c r="AD1015" s="2">
        <f t="shared" si="145"/>
        <v>6.6406935613699369E-2</v>
      </c>
      <c r="AE1015" s="8">
        <f t="shared" si="146"/>
        <v>3.6720341533253422E-3</v>
      </c>
      <c r="AF1015" s="2">
        <f t="shared" si="147"/>
        <v>-7.7367627102713924E-3</v>
      </c>
      <c r="AG1015" s="8">
        <f t="shared" si="148"/>
        <v>1.1408796863596735E-2</v>
      </c>
      <c r="AH1015" s="7">
        <f t="shared" si="149"/>
        <v>-0.67814010563707261</v>
      </c>
      <c r="AI1015">
        <f t="shared" si="150"/>
        <v>8</v>
      </c>
      <c r="AJ1015" s="10">
        <f t="shared" si="151"/>
        <v>0.73016299927019102</v>
      </c>
    </row>
    <row r="1016" spans="1:36" hidden="1" x14ac:dyDescent="0.25">
      <c r="A1016" t="b">
        <v>0</v>
      </c>
      <c r="B1016">
        <v>1000</v>
      </c>
      <c r="C1016">
        <v>0.73016299927019102</v>
      </c>
      <c r="D1016" t="s">
        <v>52</v>
      </c>
      <c r="E1016" t="b">
        <v>1</v>
      </c>
      <c r="F1016" t="s">
        <v>53</v>
      </c>
      <c r="G1016">
        <v>7.4999999999999997E-2</v>
      </c>
      <c r="H1016">
        <v>0.5</v>
      </c>
      <c r="I1016">
        <v>1E-4</v>
      </c>
      <c r="J1016" t="b">
        <v>1</v>
      </c>
      <c r="K1016">
        <v>8</v>
      </c>
      <c r="L1016">
        <v>1500</v>
      </c>
      <c r="M1016">
        <v>0.75</v>
      </c>
      <c r="N1016">
        <v>0.154</v>
      </c>
      <c r="O1016" t="s">
        <v>431</v>
      </c>
      <c r="P1016" t="s">
        <v>432</v>
      </c>
      <c r="Q1016">
        <v>-3.5424750013518899E-4</v>
      </c>
      <c r="R1016">
        <v>7.2962967411514404E-3</v>
      </c>
      <c r="S1016">
        <v>1.86005046793056E-3</v>
      </c>
      <c r="T1016">
        <v>-4.0996090301436798E-2</v>
      </c>
      <c r="U1016">
        <v>7.9642761151714199</v>
      </c>
      <c r="V1016" s="1">
        <v>9.9999999999999905E-15</v>
      </c>
      <c r="W1016">
        <v>1.3589220926308301</v>
      </c>
      <c r="X1016">
        <v>2.4999999999999898</v>
      </c>
      <c r="Y1016">
        <v>63.671155793847198</v>
      </c>
      <c r="Z1016">
        <v>0.499999999999999</v>
      </c>
      <c r="AA1016">
        <v>113.91910142448</v>
      </c>
      <c r="AB1016" s="9">
        <f t="shared" si="143"/>
        <v>-0.34437985528028359</v>
      </c>
      <c r="AC1016" s="9">
        <f t="shared" si="144"/>
        <v>-0.36717364666353874</v>
      </c>
      <c r="AD1016" s="2">
        <f t="shared" si="145"/>
        <v>6.6187934728945574E-2</v>
      </c>
      <c r="AE1016" s="8">
        <f t="shared" si="146"/>
        <v>3.6957824964695659E-3</v>
      </c>
      <c r="AF1016" s="2">
        <f t="shared" si="147"/>
        <v>-7.7130143671271688E-3</v>
      </c>
      <c r="AG1016" s="8">
        <f t="shared" si="148"/>
        <v>1.1408796863596735E-2</v>
      </c>
      <c r="AH1016" s="7">
        <f t="shared" si="149"/>
        <v>-0.67605852390429588</v>
      </c>
      <c r="AI1016">
        <f t="shared" si="150"/>
        <v>8</v>
      </c>
      <c r="AJ1016" s="10">
        <f t="shared" si="151"/>
        <v>0.73016299927019102</v>
      </c>
    </row>
    <row r="1017" spans="1:36" hidden="1" x14ac:dyDescent="0.25">
      <c r="A1017" t="b">
        <v>0</v>
      </c>
      <c r="B1017">
        <v>1000</v>
      </c>
      <c r="C1017">
        <v>0.73016299927019102</v>
      </c>
      <c r="D1017" t="s">
        <v>52</v>
      </c>
      <c r="E1017" t="b">
        <v>1</v>
      </c>
      <c r="F1017" t="s">
        <v>53</v>
      </c>
      <c r="G1017">
        <v>7.4999999999999997E-2</v>
      </c>
      <c r="H1017">
        <v>0.5</v>
      </c>
      <c r="I1017">
        <v>1E-4</v>
      </c>
      <c r="J1017" t="b">
        <v>1</v>
      </c>
      <c r="K1017">
        <v>8</v>
      </c>
      <c r="L1017">
        <v>1500</v>
      </c>
      <c r="M1017">
        <v>0.75</v>
      </c>
      <c r="N1017">
        <v>0.154</v>
      </c>
      <c r="O1017" t="s">
        <v>431</v>
      </c>
      <c r="P1017" t="s">
        <v>434</v>
      </c>
      <c r="Q1017" s="1">
        <v>-5.0668647892664902E-5</v>
      </c>
      <c r="R1017">
        <v>1.1102668804240799E-3</v>
      </c>
      <c r="S1017">
        <v>2.66378560464921E-4</v>
      </c>
      <c r="T1017">
        <v>-5.88135565047853E-3</v>
      </c>
      <c r="U1017">
        <v>7.9675831177897898</v>
      </c>
      <c r="V1017" s="1">
        <v>9.9999999999999905E-15</v>
      </c>
      <c r="W1017">
        <v>1.45944416562398</v>
      </c>
      <c r="X1017">
        <v>2.4999999999999898</v>
      </c>
      <c r="Y1017">
        <v>67.242776312750493</v>
      </c>
      <c r="Z1017">
        <v>0.499999999999999</v>
      </c>
      <c r="AA1017">
        <v>121.35893027602999</v>
      </c>
      <c r="AB1017" s="9">
        <f t="shared" si="143"/>
        <v>-0.34498340211140494</v>
      </c>
      <c r="AC1017" s="9">
        <f t="shared" si="144"/>
        <v>-0.36717364666353874</v>
      </c>
      <c r="AD1017" s="2">
        <f t="shared" si="145"/>
        <v>6.432264397742804E-2</v>
      </c>
      <c r="AE1017" s="8">
        <f t="shared" si="146"/>
        <v>3.8984955062836097E-3</v>
      </c>
      <c r="AF1017" s="2">
        <f t="shared" si="147"/>
        <v>-7.5103013573131249E-3</v>
      </c>
      <c r="AG1017" s="8">
        <f t="shared" si="148"/>
        <v>1.1408796863596735E-2</v>
      </c>
      <c r="AH1017" s="7">
        <f t="shared" si="149"/>
        <v>-0.6582903918008256</v>
      </c>
      <c r="AI1017">
        <f t="shared" si="150"/>
        <v>8</v>
      </c>
      <c r="AJ1017" s="10">
        <f t="shared" si="151"/>
        <v>0.73016299927019102</v>
      </c>
    </row>
    <row r="1018" spans="1:36" hidden="1" x14ac:dyDescent="0.25">
      <c r="A1018" t="b">
        <v>0</v>
      </c>
      <c r="B1018">
        <v>1000</v>
      </c>
      <c r="C1018">
        <v>0.73016299927019102</v>
      </c>
      <c r="D1018" t="s">
        <v>52</v>
      </c>
      <c r="E1018" t="b">
        <v>1</v>
      </c>
      <c r="F1018" t="s">
        <v>53</v>
      </c>
      <c r="G1018">
        <v>7.4999999999999997E-2</v>
      </c>
      <c r="H1018">
        <v>0.5</v>
      </c>
      <c r="I1018">
        <v>1E-4</v>
      </c>
      <c r="J1018" t="b">
        <v>1</v>
      </c>
      <c r="K1018">
        <v>8</v>
      </c>
      <c r="L1018">
        <v>1500</v>
      </c>
      <c r="M1018">
        <v>0.75</v>
      </c>
      <c r="N1018">
        <v>0.154</v>
      </c>
      <c r="O1018" t="s">
        <v>431</v>
      </c>
      <c r="P1018" t="s">
        <v>435</v>
      </c>
      <c r="Q1018">
        <v>-4.0493570524197998E-4</v>
      </c>
      <c r="R1018">
        <v>8.8886639982827999E-3</v>
      </c>
      <c r="S1018">
        <v>2.1263859473910698E-3</v>
      </c>
      <c r="T1018">
        <v>-4.6871982181512901E-2</v>
      </c>
      <c r="U1018">
        <v>7.9637224725304296</v>
      </c>
      <c r="V1018" s="1">
        <v>9.9999999999999905E-15</v>
      </c>
      <c r="W1018">
        <v>1.46515781393487</v>
      </c>
      <c r="X1018">
        <v>2.4999999999999898</v>
      </c>
      <c r="Y1018">
        <v>67.282014687403603</v>
      </c>
      <c r="Z1018">
        <v>0.499999999999999</v>
      </c>
      <c r="AA1018">
        <v>121.60035855941599</v>
      </c>
      <c r="AB1018" s="9">
        <f t="shared" si="143"/>
        <v>-0.34442229195725865</v>
      </c>
      <c r="AC1018" s="9">
        <f t="shared" si="144"/>
        <v>-0.36717364666353874</v>
      </c>
      <c r="AD1018" s="2">
        <f t="shared" si="145"/>
        <v>6.6056568455515219E-2</v>
      </c>
      <c r="AE1018" s="8">
        <f t="shared" si="146"/>
        <v>3.710033008817839E-3</v>
      </c>
      <c r="AF1018" s="2">
        <f t="shared" si="147"/>
        <v>-7.6987638547788961E-3</v>
      </c>
      <c r="AG1018" s="8">
        <f t="shared" si="148"/>
        <v>1.1408796863596735E-2</v>
      </c>
      <c r="AH1018" s="7">
        <f t="shared" si="149"/>
        <v>-0.67480944282075561</v>
      </c>
      <c r="AI1018">
        <f t="shared" si="150"/>
        <v>8</v>
      </c>
      <c r="AJ1018" s="10">
        <f t="shared" si="151"/>
        <v>0.73016299927019102</v>
      </c>
    </row>
    <row r="1019" spans="1:36" hidden="1" x14ac:dyDescent="0.25">
      <c r="A1019" t="b">
        <v>0</v>
      </c>
      <c r="B1019">
        <v>1000</v>
      </c>
      <c r="C1019">
        <v>0.73016299927019102</v>
      </c>
      <c r="D1019" t="s">
        <v>52</v>
      </c>
      <c r="E1019" t="b">
        <v>1</v>
      </c>
      <c r="F1019" t="s">
        <v>53</v>
      </c>
      <c r="G1019">
        <v>7.4999999999999997E-2</v>
      </c>
      <c r="H1019">
        <v>0.5</v>
      </c>
      <c r="I1019">
        <v>1E-4</v>
      </c>
      <c r="J1019" t="b">
        <v>1</v>
      </c>
      <c r="K1019">
        <v>8</v>
      </c>
      <c r="L1019">
        <v>1500</v>
      </c>
      <c r="M1019">
        <v>0.75</v>
      </c>
      <c r="N1019">
        <v>0.154</v>
      </c>
      <c r="O1019" t="s">
        <v>431</v>
      </c>
      <c r="P1019" t="s">
        <v>436</v>
      </c>
      <c r="Q1019">
        <v>-3.5424750013518199E-4</v>
      </c>
      <c r="R1019">
        <v>7.4192692145326096E-3</v>
      </c>
      <c r="S1019">
        <v>1.86005046793056E-3</v>
      </c>
      <c r="T1019">
        <v>-4.0996090301436798E-2</v>
      </c>
      <c r="U1019">
        <v>7.9642761151554202</v>
      </c>
      <c r="V1019" s="1">
        <v>9.9999999999999905E-15</v>
      </c>
      <c r="W1019">
        <v>1.37973672473758</v>
      </c>
      <c r="X1019">
        <v>2.4999999999999898</v>
      </c>
      <c r="Y1019">
        <v>64.690601771036597</v>
      </c>
      <c r="Z1019">
        <v>0.499999999999999</v>
      </c>
      <c r="AA1019">
        <v>115.84826403041799</v>
      </c>
      <c r="AB1019" s="9">
        <f t="shared" si="143"/>
        <v>-0.34437985528028359</v>
      </c>
      <c r="AC1019" s="9">
        <f t="shared" si="144"/>
        <v>-0.36717364666353874</v>
      </c>
      <c r="AD1019" s="2">
        <f t="shared" si="145"/>
        <v>6.6187934728945574E-2</v>
      </c>
      <c r="AE1019" s="8">
        <f t="shared" si="146"/>
        <v>3.6957824964695659E-3</v>
      </c>
      <c r="AF1019" s="2">
        <f t="shared" si="147"/>
        <v>-7.7130143671271688E-3</v>
      </c>
      <c r="AG1019" s="8">
        <f t="shared" si="148"/>
        <v>1.1408796863596735E-2</v>
      </c>
      <c r="AH1019" s="7">
        <f t="shared" si="149"/>
        <v>-0.67605852390429588</v>
      </c>
      <c r="AI1019">
        <f t="shared" si="150"/>
        <v>8</v>
      </c>
      <c r="AJ1019" s="10">
        <f t="shared" si="151"/>
        <v>0.73016299927019102</v>
      </c>
    </row>
    <row r="1020" spans="1:36" hidden="1" x14ac:dyDescent="0.25">
      <c r="A1020" t="b">
        <v>0</v>
      </c>
      <c r="B1020">
        <v>1000</v>
      </c>
      <c r="C1020">
        <v>0.73016299927019102</v>
      </c>
      <c r="D1020" t="s">
        <v>52</v>
      </c>
      <c r="E1020" t="b">
        <v>1</v>
      </c>
      <c r="F1020" t="s">
        <v>53</v>
      </c>
      <c r="G1020">
        <v>7.4999999999999997E-2</v>
      </c>
      <c r="H1020">
        <v>0.5</v>
      </c>
      <c r="I1020">
        <v>1E-4</v>
      </c>
      <c r="J1020" t="b">
        <v>1</v>
      </c>
      <c r="K1020">
        <v>8</v>
      </c>
      <c r="L1020">
        <v>1500</v>
      </c>
      <c r="M1020">
        <v>0.75</v>
      </c>
      <c r="N1020">
        <v>0.154</v>
      </c>
      <c r="O1020" t="s">
        <v>431</v>
      </c>
      <c r="P1020" t="s">
        <v>437</v>
      </c>
      <c r="Q1020">
        <v>-4.04935705241988E-4</v>
      </c>
      <c r="R1020">
        <v>8.7257445936770907E-3</v>
      </c>
      <c r="S1020">
        <v>2.1263859473910599E-3</v>
      </c>
      <c r="T1020">
        <v>-4.6871982181512402E-2</v>
      </c>
      <c r="U1020">
        <v>7.9637224725804403</v>
      </c>
      <c r="V1020" s="1">
        <v>9.9999999999999905E-15</v>
      </c>
      <c r="W1020">
        <v>1.43798750454684</v>
      </c>
      <c r="X1020">
        <v>2.4999999999999898</v>
      </c>
      <c r="Y1020">
        <v>66.144223135610403</v>
      </c>
      <c r="Z1020">
        <v>0.499999999999999</v>
      </c>
      <c r="AA1020">
        <v>119.345148168264</v>
      </c>
      <c r="AB1020" s="9">
        <f t="shared" si="143"/>
        <v>-0.3444222919572566</v>
      </c>
      <c r="AC1020" s="9">
        <f t="shared" si="144"/>
        <v>-0.36717364666353874</v>
      </c>
      <c r="AD1020" s="2">
        <f t="shared" si="145"/>
        <v>6.6056568455521436E-2</v>
      </c>
      <c r="AE1020" s="8">
        <f t="shared" si="146"/>
        <v>3.7100330088171425E-3</v>
      </c>
      <c r="AF1020" s="2">
        <f t="shared" si="147"/>
        <v>-7.6987638547795917E-3</v>
      </c>
      <c r="AG1020" s="8">
        <f t="shared" si="148"/>
        <v>1.1408796863596735E-2</v>
      </c>
      <c r="AH1020" s="7">
        <f t="shared" si="149"/>
        <v>-0.67480944282081656</v>
      </c>
      <c r="AI1020">
        <f t="shared" si="150"/>
        <v>8</v>
      </c>
      <c r="AJ1020" s="10">
        <f t="shared" si="151"/>
        <v>0.73016299927019102</v>
      </c>
    </row>
    <row r="1021" spans="1:36" hidden="1" x14ac:dyDescent="0.25">
      <c r="A1021" t="b">
        <v>0</v>
      </c>
      <c r="B1021">
        <v>1000</v>
      </c>
      <c r="C1021">
        <v>0.73016299927019102</v>
      </c>
      <c r="D1021" t="s">
        <v>52</v>
      </c>
      <c r="E1021" t="b">
        <v>1</v>
      </c>
      <c r="F1021" t="s">
        <v>53</v>
      </c>
      <c r="G1021">
        <v>7.4999999999999997E-2</v>
      </c>
      <c r="H1021">
        <v>0.5</v>
      </c>
      <c r="I1021">
        <v>1E-4</v>
      </c>
      <c r="J1021" t="b">
        <v>1</v>
      </c>
      <c r="K1021">
        <v>8</v>
      </c>
      <c r="L1021">
        <v>1500</v>
      </c>
      <c r="M1021">
        <v>0.75</v>
      </c>
      <c r="N1021">
        <v>0.154</v>
      </c>
      <c r="O1021" t="s">
        <v>431</v>
      </c>
      <c r="P1021" t="s">
        <v>438</v>
      </c>
      <c r="Q1021">
        <v>-7.5933896533992705E-4</v>
      </c>
      <c r="R1021">
        <v>1.6035311683278299E-2</v>
      </c>
      <c r="S1021">
        <v>3.9860930617104297E-3</v>
      </c>
      <c r="T1021">
        <v>-8.7824544394244405E-2</v>
      </c>
      <c r="U1021">
        <v>7.9598616687272097</v>
      </c>
      <c r="V1021" s="1">
        <v>9.9999999999999795E-15</v>
      </c>
      <c r="W1021">
        <v>1.39697688776885</v>
      </c>
      <c r="X1021">
        <v>2.4999999999999898</v>
      </c>
      <c r="Y1021">
        <v>65.100222290517905</v>
      </c>
      <c r="Z1021">
        <v>0.499999999999998</v>
      </c>
      <c r="AA1021">
        <v>116.85450657974</v>
      </c>
      <c r="AB1021" s="9">
        <f t="shared" si="143"/>
        <v>-0.34426153251204666</v>
      </c>
      <c r="AC1021" s="9">
        <f t="shared" si="144"/>
        <v>-0.36717364666353874</v>
      </c>
      <c r="AD1021" s="2">
        <f t="shared" si="145"/>
        <v>6.6554383768364644E-2</v>
      </c>
      <c r="AE1021" s="8">
        <f t="shared" si="146"/>
        <v>3.6560510776993322E-3</v>
      </c>
      <c r="AF1021" s="2">
        <f t="shared" si="147"/>
        <v>-7.7527457858974028E-3</v>
      </c>
      <c r="AG1021" s="8">
        <f t="shared" si="148"/>
        <v>1.1408796863596735E-2</v>
      </c>
      <c r="AH1021" s="7">
        <f t="shared" si="149"/>
        <v>-0.67954104877043753</v>
      </c>
      <c r="AI1021">
        <f t="shared" si="150"/>
        <v>8</v>
      </c>
      <c r="AJ1021" s="10">
        <f t="shared" si="151"/>
        <v>0.73016299927019102</v>
      </c>
    </row>
    <row r="1022" spans="1:36" hidden="1" x14ac:dyDescent="0.25">
      <c r="A1022" t="b">
        <v>0</v>
      </c>
      <c r="B1022">
        <v>1000</v>
      </c>
      <c r="C1022">
        <v>0.73016299927019102</v>
      </c>
      <c r="D1022" t="s">
        <v>52</v>
      </c>
      <c r="E1022" t="b">
        <v>1</v>
      </c>
      <c r="F1022" t="s">
        <v>53</v>
      </c>
      <c r="G1022">
        <v>7.4999999999999997E-2</v>
      </c>
      <c r="H1022">
        <v>0.5</v>
      </c>
      <c r="I1022">
        <v>1E-4</v>
      </c>
      <c r="J1022" t="b">
        <v>1</v>
      </c>
      <c r="K1022">
        <v>8</v>
      </c>
      <c r="L1022">
        <v>1500</v>
      </c>
      <c r="M1022">
        <v>0.75</v>
      </c>
      <c r="N1022">
        <v>0.154</v>
      </c>
      <c r="O1022" t="s">
        <v>432</v>
      </c>
      <c r="P1022" t="s">
        <v>435</v>
      </c>
      <c r="Q1022" s="1">
        <v>-5.0688205107246E-5</v>
      </c>
      <c r="R1022">
        <v>1.1209001912991499E-3</v>
      </c>
      <c r="S1022">
        <v>2.6633547946050703E-4</v>
      </c>
      <c r="T1022">
        <v>-5.8758918800759499E-3</v>
      </c>
      <c r="U1022">
        <v>7.95986184949252</v>
      </c>
      <c r="V1022" s="1">
        <v>9.9999999999999905E-15</v>
      </c>
      <c r="W1022">
        <v>1.4748894095617699</v>
      </c>
      <c r="X1022">
        <v>2.4999999999999898</v>
      </c>
      <c r="Y1022">
        <v>67.781788871017397</v>
      </c>
      <c r="Z1022">
        <v>0.499999999999999</v>
      </c>
      <c r="AA1022">
        <v>122.499551218603</v>
      </c>
      <c r="AB1022" s="9">
        <f t="shared" si="143"/>
        <v>-0.34471866389021849</v>
      </c>
      <c r="AC1022" s="9">
        <f t="shared" si="144"/>
        <v>-0.36717364666353874</v>
      </c>
      <c r="AD1022" s="2">
        <f t="shared" si="145"/>
        <v>6.5140026130036999E-2</v>
      </c>
      <c r="AE1022" s="8">
        <f t="shared" si="146"/>
        <v>3.8095679156278342E-3</v>
      </c>
      <c r="AF1022" s="2">
        <f t="shared" si="147"/>
        <v>-7.5992289479689008E-3</v>
      </c>
      <c r="AG1022" s="8">
        <f t="shared" si="148"/>
        <v>1.1408796863596735E-2</v>
      </c>
      <c r="AH1022" s="7">
        <f t="shared" si="149"/>
        <v>-0.66608504286868064</v>
      </c>
      <c r="AI1022">
        <f t="shared" si="150"/>
        <v>8</v>
      </c>
      <c r="AJ1022" s="10">
        <f t="shared" si="151"/>
        <v>0.73016299927019102</v>
      </c>
    </row>
    <row r="1023" spans="1:36" hidden="1" x14ac:dyDescent="0.25">
      <c r="A1023" t="b">
        <v>0</v>
      </c>
      <c r="B1023">
        <v>1000</v>
      </c>
      <c r="C1023">
        <v>0.73016299927019102</v>
      </c>
      <c r="D1023" t="s">
        <v>52</v>
      </c>
      <c r="E1023" t="b">
        <v>1</v>
      </c>
      <c r="F1023" t="s">
        <v>53</v>
      </c>
      <c r="G1023">
        <v>7.4999999999999997E-2</v>
      </c>
      <c r="H1023">
        <v>0.5</v>
      </c>
      <c r="I1023">
        <v>1E-4</v>
      </c>
      <c r="J1023" t="b">
        <v>1</v>
      </c>
      <c r="K1023">
        <v>8</v>
      </c>
      <c r="L1023">
        <v>1500</v>
      </c>
      <c r="M1023">
        <v>0.75</v>
      </c>
      <c r="N1023">
        <v>0.154</v>
      </c>
      <c r="O1023" t="s">
        <v>432</v>
      </c>
      <c r="P1023" t="s">
        <v>436</v>
      </c>
      <c r="Q1023" s="1">
        <v>-1E-10</v>
      </c>
      <c r="R1023" s="1">
        <v>3.58578592890749E-12</v>
      </c>
      <c r="S1023" s="1">
        <v>2.6498639921174598E-18</v>
      </c>
      <c r="T1023" s="1">
        <v>2.3423244381115098E-16</v>
      </c>
      <c r="U1023">
        <v>7.9604154921175097</v>
      </c>
      <c r="V1023">
        <v>0</v>
      </c>
      <c r="W1023">
        <v>6.8474548200463906E-2</v>
      </c>
      <c r="X1023">
        <v>2</v>
      </c>
      <c r="Y1023">
        <v>4.0005664105467603E-3</v>
      </c>
      <c r="Z1023">
        <v>2.5000000000000001E-4</v>
      </c>
      <c r="AA1023">
        <v>4.7933529771610099E-3</v>
      </c>
      <c r="AB1023" s="9">
        <f t="shared" si="143"/>
        <v>1.3811584086716415</v>
      </c>
      <c r="AC1023" s="9">
        <f t="shared" si="144"/>
        <v>-0.36717364666353874</v>
      </c>
      <c r="AD1023" s="2">
        <f t="shared" si="145"/>
        <v>-1.2658447027931254</v>
      </c>
      <c r="AE1023" s="8">
        <f t="shared" si="146"/>
        <v>-0.3636641733252538</v>
      </c>
      <c r="AF1023" s="2">
        <f t="shared" si="147"/>
        <v>-0.37507297018885055</v>
      </c>
      <c r="AG1023" s="8">
        <f t="shared" si="148"/>
        <v>1.1408796863596735E-2</v>
      </c>
      <c r="AH1023" s="7">
        <f t="shared" si="149"/>
        <v>-32.875768994155372</v>
      </c>
      <c r="AI1023">
        <f t="shared" si="150"/>
        <v>8</v>
      </c>
      <c r="AJ1023" s="10">
        <f t="shared" si="151"/>
        <v>0.73016299927019102</v>
      </c>
    </row>
    <row r="1024" spans="1:36" hidden="1" x14ac:dyDescent="0.25">
      <c r="A1024" t="b">
        <v>0</v>
      </c>
      <c r="B1024">
        <v>1000</v>
      </c>
      <c r="C1024">
        <v>0.73016299927019102</v>
      </c>
      <c r="D1024" t="s">
        <v>52</v>
      </c>
      <c r="E1024" t="b">
        <v>1</v>
      </c>
      <c r="F1024" t="s">
        <v>53</v>
      </c>
      <c r="G1024">
        <v>7.4999999999999997E-2</v>
      </c>
      <c r="H1024">
        <v>0.5</v>
      </c>
      <c r="I1024">
        <v>1E-4</v>
      </c>
      <c r="J1024" t="b">
        <v>1</v>
      </c>
      <c r="K1024">
        <v>8</v>
      </c>
      <c r="L1024">
        <v>1500</v>
      </c>
      <c r="M1024">
        <v>0.75</v>
      </c>
      <c r="N1024">
        <v>0.154</v>
      </c>
      <c r="O1024" t="s">
        <v>432</v>
      </c>
      <c r="P1024" t="s">
        <v>437</v>
      </c>
      <c r="Q1024" s="1">
        <v>-5.0688205107246501E-5</v>
      </c>
      <c r="R1024">
        <v>1.11237191132263E-3</v>
      </c>
      <c r="S1024">
        <v>2.6633547946050199E-4</v>
      </c>
      <c r="T1024">
        <v>-5.8758918800756099E-3</v>
      </c>
      <c r="U1024">
        <v>7.9598618495425297</v>
      </c>
      <c r="V1024" s="1">
        <v>9.9999999999999905E-15</v>
      </c>
      <c r="W1024">
        <v>1.46962295320948</v>
      </c>
      <c r="X1024">
        <v>2.4999999999999898</v>
      </c>
      <c r="Y1024">
        <v>67.210579823912497</v>
      </c>
      <c r="Z1024">
        <v>0.499999999999999</v>
      </c>
      <c r="AA1024">
        <v>121.596986050441</v>
      </c>
      <c r="AB1024" s="9">
        <f t="shared" si="143"/>
        <v>-0.34471866389020511</v>
      </c>
      <c r="AC1024" s="9">
        <f t="shared" si="144"/>
        <v>-0.36717364666353874</v>
      </c>
      <c r="AD1024" s="2">
        <f t="shared" si="145"/>
        <v>6.5140026130078299E-2</v>
      </c>
      <c r="AE1024" s="8">
        <f t="shared" si="146"/>
        <v>3.8095679156233348E-3</v>
      </c>
      <c r="AF1024" s="2">
        <f t="shared" si="147"/>
        <v>-7.5992289479733998E-3</v>
      </c>
      <c r="AG1024" s="8">
        <f t="shared" si="148"/>
        <v>1.1408796863596735E-2</v>
      </c>
      <c r="AH1024" s="7">
        <f t="shared" si="149"/>
        <v>-0.66608504286907499</v>
      </c>
      <c r="AI1024">
        <f t="shared" si="150"/>
        <v>8</v>
      </c>
      <c r="AJ1024" s="10">
        <f t="shared" si="151"/>
        <v>0.73016299927019102</v>
      </c>
    </row>
    <row r="1025" spans="1:36" hidden="1" x14ac:dyDescent="0.25">
      <c r="A1025" t="b">
        <v>0</v>
      </c>
      <c r="B1025">
        <v>1000</v>
      </c>
      <c r="C1025">
        <v>0.73016299927019102</v>
      </c>
      <c r="D1025" t="s">
        <v>52</v>
      </c>
      <c r="E1025" t="b">
        <v>1</v>
      </c>
      <c r="F1025" t="s">
        <v>53</v>
      </c>
      <c r="G1025">
        <v>7.4999999999999997E-2</v>
      </c>
      <c r="H1025">
        <v>0.5</v>
      </c>
      <c r="I1025">
        <v>1E-4</v>
      </c>
      <c r="J1025" t="b">
        <v>1</v>
      </c>
      <c r="K1025">
        <v>8</v>
      </c>
      <c r="L1025">
        <v>1500</v>
      </c>
      <c r="M1025">
        <v>0.75</v>
      </c>
      <c r="N1025">
        <v>0.154</v>
      </c>
      <c r="O1025" t="s">
        <v>432</v>
      </c>
      <c r="P1025" t="s">
        <v>438</v>
      </c>
      <c r="Q1025">
        <v>-4.05091465206921E-4</v>
      </c>
      <c r="R1025">
        <v>8.8547118265181607E-3</v>
      </c>
      <c r="S1025">
        <v>2.1260425937798702E-3</v>
      </c>
      <c r="T1025">
        <v>-4.6828454092807802E-2</v>
      </c>
      <c r="U1025">
        <v>7.9560010456893</v>
      </c>
      <c r="V1025" s="1">
        <v>9.9999999999999905E-15</v>
      </c>
      <c r="W1025">
        <v>1.4615081330444299</v>
      </c>
      <c r="X1025">
        <v>2.4999999999999898</v>
      </c>
      <c r="Y1025">
        <v>66.977239217746202</v>
      </c>
      <c r="Z1025">
        <v>0.499999999999999</v>
      </c>
      <c r="AA1025">
        <v>121.10146018761201</v>
      </c>
      <c r="AB1025" s="9">
        <f t="shared" si="143"/>
        <v>-0.3441580132687978</v>
      </c>
      <c r="AC1025" s="9">
        <f t="shared" si="144"/>
        <v>-0.36717364666353874</v>
      </c>
      <c r="AD1025" s="2">
        <f t="shared" si="145"/>
        <v>6.6875192520259752E-2</v>
      </c>
      <c r="AE1025" s="8">
        <f t="shared" si="146"/>
        <v>3.6212930913770446E-3</v>
      </c>
      <c r="AF1025" s="2">
        <f t="shared" si="147"/>
        <v>-7.7875037722196904E-3</v>
      </c>
      <c r="AG1025" s="8">
        <f t="shared" si="148"/>
        <v>1.1408796863596735E-2</v>
      </c>
      <c r="AH1025" s="7">
        <f t="shared" si="149"/>
        <v>-0.68258764401951177</v>
      </c>
      <c r="AI1025">
        <f t="shared" si="150"/>
        <v>8</v>
      </c>
      <c r="AJ1025" s="10">
        <f t="shared" si="151"/>
        <v>0.73016299927019102</v>
      </c>
    </row>
    <row r="1026" spans="1:36" hidden="1" x14ac:dyDescent="0.25">
      <c r="A1026" t="b">
        <v>0</v>
      </c>
      <c r="B1026">
        <v>1000</v>
      </c>
      <c r="C1026">
        <v>0.73016299927019102</v>
      </c>
      <c r="D1026" t="s">
        <v>52</v>
      </c>
      <c r="E1026" t="b">
        <v>1</v>
      </c>
      <c r="F1026" t="s">
        <v>53</v>
      </c>
      <c r="G1026">
        <v>7.4999999999999997E-2</v>
      </c>
      <c r="H1026">
        <v>0.5</v>
      </c>
      <c r="I1026">
        <v>1E-4</v>
      </c>
      <c r="J1026" t="b">
        <v>1</v>
      </c>
      <c r="K1026">
        <v>8</v>
      </c>
      <c r="L1026">
        <v>1500</v>
      </c>
      <c r="M1026">
        <v>0.75</v>
      </c>
      <c r="N1026">
        <v>0.154</v>
      </c>
      <c r="O1026" t="s">
        <v>433</v>
      </c>
      <c r="P1026" t="s">
        <v>434</v>
      </c>
      <c r="Q1026" s="1">
        <v>-5.0668647892664699E-5</v>
      </c>
      <c r="R1026">
        <v>1.1104738712745599E-3</v>
      </c>
      <c r="S1026">
        <v>2.6637856046491802E-4</v>
      </c>
      <c r="T1026">
        <v>-5.8813556504784198E-3</v>
      </c>
      <c r="U1026">
        <v>7.9675831177649403</v>
      </c>
      <c r="V1026" s="1">
        <v>9.9999999999999905E-15</v>
      </c>
      <c r="W1026">
        <v>1.4559714042767</v>
      </c>
      <c r="X1026">
        <v>2.4999999999999898</v>
      </c>
      <c r="Y1026">
        <v>67.312373645647099</v>
      </c>
      <c r="Z1026">
        <v>0.499999999999999</v>
      </c>
      <c r="AA1026">
        <v>121.35731250345</v>
      </c>
      <c r="AB1026" s="9">
        <f t="shared" si="143"/>
        <v>-0.34498340211140233</v>
      </c>
      <c r="AC1026" s="9">
        <f t="shared" si="144"/>
        <v>-0.36717364666353874</v>
      </c>
      <c r="AD1026" s="2">
        <f t="shared" si="145"/>
        <v>6.4322643977436034E-2</v>
      </c>
      <c r="AE1026" s="8">
        <f t="shared" si="146"/>
        <v>3.8984955062827142E-3</v>
      </c>
      <c r="AF1026" s="2">
        <f t="shared" si="147"/>
        <v>-7.5103013573140209E-3</v>
      </c>
      <c r="AG1026" s="8">
        <f t="shared" si="148"/>
        <v>1.1408796863596735E-2</v>
      </c>
      <c r="AH1026" s="7">
        <f t="shared" si="149"/>
        <v>-0.6582903918009041</v>
      </c>
      <c r="AI1026">
        <f t="shared" si="150"/>
        <v>8</v>
      </c>
      <c r="AJ1026" s="10">
        <f t="shared" si="151"/>
        <v>0.73016299927019102</v>
      </c>
    </row>
    <row r="1027" spans="1:36" hidden="1" x14ac:dyDescent="0.25">
      <c r="A1027" t="b">
        <v>0</v>
      </c>
      <c r="B1027">
        <v>1000</v>
      </c>
      <c r="C1027">
        <v>0.73016299927019102</v>
      </c>
      <c r="D1027" t="s">
        <v>52</v>
      </c>
      <c r="E1027" t="b">
        <v>1</v>
      </c>
      <c r="F1027" t="s">
        <v>53</v>
      </c>
      <c r="G1027">
        <v>7.4999999999999997E-2</v>
      </c>
      <c r="H1027">
        <v>0.5</v>
      </c>
      <c r="I1027">
        <v>1E-4</v>
      </c>
      <c r="J1027" t="b">
        <v>1</v>
      </c>
      <c r="K1027">
        <v>8</v>
      </c>
      <c r="L1027">
        <v>1500</v>
      </c>
      <c r="M1027">
        <v>0.75</v>
      </c>
      <c r="N1027">
        <v>0.154</v>
      </c>
      <c r="O1027" t="s">
        <v>433</v>
      </c>
      <c r="P1027" t="s">
        <v>435</v>
      </c>
      <c r="Q1027">
        <v>-4.0493570524198399E-4</v>
      </c>
      <c r="R1027">
        <v>8.7020897435922707E-3</v>
      </c>
      <c r="S1027">
        <v>2.1263859473910698E-3</v>
      </c>
      <c r="T1027">
        <v>-4.6871982181512797E-2</v>
      </c>
      <c r="U1027">
        <v>7.96372247250559</v>
      </c>
      <c r="V1027" s="1">
        <v>9.9999999999999905E-15</v>
      </c>
      <c r="W1027">
        <v>1.4319601022105299</v>
      </c>
      <c r="X1027">
        <v>2.4999999999999898</v>
      </c>
      <c r="Y1027">
        <v>66.004336248451395</v>
      </c>
      <c r="Z1027">
        <v>0.499999999999999</v>
      </c>
      <c r="AA1027">
        <v>119.00991415313599</v>
      </c>
      <c r="AB1027" s="9">
        <f t="shared" si="143"/>
        <v>-0.34442229195725788</v>
      </c>
      <c r="AC1027" s="9">
        <f t="shared" si="144"/>
        <v>-0.36717364666353874</v>
      </c>
      <c r="AD1027" s="2">
        <f t="shared" si="145"/>
        <v>6.6056568455517661E-2</v>
      </c>
      <c r="AE1027" s="8">
        <f t="shared" si="146"/>
        <v>3.7100330088175658E-3</v>
      </c>
      <c r="AF1027" s="2">
        <f t="shared" si="147"/>
        <v>-7.6987638547791684E-3</v>
      </c>
      <c r="AG1027" s="8">
        <f t="shared" si="148"/>
        <v>1.1408796863596735E-2</v>
      </c>
      <c r="AH1027" s="7">
        <f t="shared" si="149"/>
        <v>-0.67480944282077948</v>
      </c>
      <c r="AI1027">
        <f t="shared" si="150"/>
        <v>8</v>
      </c>
      <c r="AJ1027" s="10">
        <f t="shared" si="151"/>
        <v>0.73016299927019102</v>
      </c>
    </row>
    <row r="1028" spans="1:36" hidden="1" x14ac:dyDescent="0.25">
      <c r="A1028" t="b">
        <v>0</v>
      </c>
      <c r="B1028">
        <v>1000</v>
      </c>
      <c r="C1028">
        <v>0.73016299927019102</v>
      </c>
      <c r="D1028" t="s">
        <v>52</v>
      </c>
      <c r="E1028" t="b">
        <v>1</v>
      </c>
      <c r="F1028" t="s">
        <v>53</v>
      </c>
      <c r="G1028">
        <v>7.4999999999999997E-2</v>
      </c>
      <c r="H1028">
        <v>0.5</v>
      </c>
      <c r="I1028">
        <v>1E-4</v>
      </c>
      <c r="J1028" t="b">
        <v>1</v>
      </c>
      <c r="K1028">
        <v>8</v>
      </c>
      <c r="L1028">
        <v>1500</v>
      </c>
      <c r="M1028">
        <v>0.75</v>
      </c>
      <c r="N1028">
        <v>0.154</v>
      </c>
      <c r="O1028" t="s">
        <v>433</v>
      </c>
      <c r="P1028" t="s">
        <v>436</v>
      </c>
      <c r="Q1028">
        <v>-3.5424750013517299E-4</v>
      </c>
      <c r="R1028">
        <v>7.4387301881817603E-3</v>
      </c>
      <c r="S1028">
        <v>1.86005046793056E-3</v>
      </c>
      <c r="T1028">
        <v>-4.0996090301436798E-2</v>
      </c>
      <c r="U1028">
        <v>7.9642761151305699</v>
      </c>
      <c r="V1028" s="1">
        <v>9.9999999999999905E-15</v>
      </c>
      <c r="W1028">
        <v>1.3915803042366801</v>
      </c>
      <c r="X1028">
        <v>2.4999999999999898</v>
      </c>
      <c r="Y1028">
        <v>64.730262873232803</v>
      </c>
      <c r="Z1028">
        <v>0.499999999999999</v>
      </c>
      <c r="AA1028">
        <v>116.204512374034</v>
      </c>
      <c r="AB1028" s="9">
        <f t="shared" si="143"/>
        <v>-0.34437985528028359</v>
      </c>
      <c r="AC1028" s="9">
        <f t="shared" si="144"/>
        <v>-0.36717364666353874</v>
      </c>
      <c r="AD1028" s="2">
        <f t="shared" si="145"/>
        <v>6.6187934728945574E-2</v>
      </c>
      <c r="AE1028" s="8">
        <f t="shared" si="146"/>
        <v>3.6957824964695659E-3</v>
      </c>
      <c r="AF1028" s="2">
        <f t="shared" si="147"/>
        <v>-7.7130143671271688E-3</v>
      </c>
      <c r="AG1028" s="8">
        <f t="shared" si="148"/>
        <v>1.1408796863596735E-2</v>
      </c>
      <c r="AH1028" s="7">
        <f t="shared" si="149"/>
        <v>-0.67605852390429588</v>
      </c>
      <c r="AI1028">
        <f t="shared" si="150"/>
        <v>8</v>
      </c>
      <c r="AJ1028" s="10">
        <f t="shared" si="151"/>
        <v>0.73016299927019102</v>
      </c>
    </row>
    <row r="1029" spans="1:36" hidden="1" x14ac:dyDescent="0.25">
      <c r="A1029" t="b">
        <v>0</v>
      </c>
      <c r="B1029">
        <v>1000</v>
      </c>
      <c r="C1029">
        <v>0.73016299927019102</v>
      </c>
      <c r="D1029" t="s">
        <v>52</v>
      </c>
      <c r="E1029" t="b">
        <v>1</v>
      </c>
      <c r="F1029" t="s">
        <v>53</v>
      </c>
      <c r="G1029">
        <v>7.4999999999999997E-2</v>
      </c>
      <c r="H1029">
        <v>0.5</v>
      </c>
      <c r="I1029">
        <v>1E-4</v>
      </c>
      <c r="J1029" t="b">
        <v>1</v>
      </c>
      <c r="K1029">
        <v>8</v>
      </c>
      <c r="L1029">
        <v>1500</v>
      </c>
      <c r="M1029">
        <v>0.75</v>
      </c>
      <c r="N1029">
        <v>0.154</v>
      </c>
      <c r="O1029" t="s">
        <v>433</v>
      </c>
      <c r="P1029" t="s">
        <v>437</v>
      </c>
      <c r="Q1029">
        <v>-4.0493570524196702E-4</v>
      </c>
      <c r="R1029">
        <v>8.9155381803601701E-3</v>
      </c>
      <c r="S1029">
        <v>2.1263859473910599E-3</v>
      </c>
      <c r="T1029">
        <v>-4.6871982181512402E-2</v>
      </c>
      <c r="U1029">
        <v>7.96372247255559</v>
      </c>
      <c r="V1029" s="1">
        <v>9.9999999999999905E-15</v>
      </c>
      <c r="W1029">
        <v>1.4573652796730101</v>
      </c>
      <c r="X1029">
        <v>2.4999999999999898</v>
      </c>
      <c r="Y1029">
        <v>67.648919895677807</v>
      </c>
      <c r="Z1029">
        <v>0.499999999999999</v>
      </c>
      <c r="AA1029">
        <v>121.90030636994101</v>
      </c>
      <c r="AB1029" s="9">
        <f t="shared" si="143"/>
        <v>-0.3444222919572566</v>
      </c>
      <c r="AC1029" s="9">
        <f t="shared" si="144"/>
        <v>-0.36717364666353874</v>
      </c>
      <c r="AD1029" s="2">
        <f t="shared" si="145"/>
        <v>6.6056568455521436E-2</v>
      </c>
      <c r="AE1029" s="8">
        <f t="shared" si="146"/>
        <v>3.7100330088171425E-3</v>
      </c>
      <c r="AF1029" s="2">
        <f t="shared" si="147"/>
        <v>-7.6987638547795917E-3</v>
      </c>
      <c r="AG1029" s="8">
        <f t="shared" si="148"/>
        <v>1.1408796863596735E-2</v>
      </c>
      <c r="AH1029" s="7">
        <f t="shared" si="149"/>
        <v>-0.67480944282081656</v>
      </c>
      <c r="AI1029">
        <f t="shared" si="150"/>
        <v>8</v>
      </c>
      <c r="AJ1029" s="10">
        <f t="shared" si="151"/>
        <v>0.73016299927019102</v>
      </c>
    </row>
    <row r="1030" spans="1:36" hidden="1" x14ac:dyDescent="0.25">
      <c r="A1030" t="b">
        <v>0</v>
      </c>
      <c r="B1030">
        <v>1000</v>
      </c>
      <c r="C1030">
        <v>0.73016299927019102</v>
      </c>
      <c r="D1030" t="s">
        <v>52</v>
      </c>
      <c r="E1030" t="b">
        <v>1</v>
      </c>
      <c r="F1030" t="s">
        <v>53</v>
      </c>
      <c r="G1030">
        <v>7.4999999999999997E-2</v>
      </c>
      <c r="H1030">
        <v>0.5</v>
      </c>
      <c r="I1030">
        <v>1E-4</v>
      </c>
      <c r="J1030" t="b">
        <v>1</v>
      </c>
      <c r="K1030">
        <v>8</v>
      </c>
      <c r="L1030">
        <v>1500</v>
      </c>
      <c r="M1030">
        <v>0.75</v>
      </c>
      <c r="N1030">
        <v>0.154</v>
      </c>
      <c r="O1030" t="s">
        <v>433</v>
      </c>
      <c r="P1030" t="s">
        <v>438</v>
      </c>
      <c r="Q1030">
        <v>-7.5933896533988997E-4</v>
      </c>
      <c r="R1030">
        <v>1.5977218194949599E-2</v>
      </c>
      <c r="S1030">
        <v>3.9860930617104297E-3</v>
      </c>
      <c r="T1030">
        <v>-8.7824544394244405E-2</v>
      </c>
      <c r="U1030">
        <v>7.9598616687023602</v>
      </c>
      <c r="V1030" s="1">
        <v>9.9999999999999795E-15</v>
      </c>
      <c r="W1030">
        <v>1.3930362544308701</v>
      </c>
      <c r="X1030">
        <v>2.4999999999999898</v>
      </c>
      <c r="Y1030">
        <v>64.864784559895796</v>
      </c>
      <c r="Z1030">
        <v>0.499999999999998</v>
      </c>
      <c r="AA1030">
        <v>116.435291185777</v>
      </c>
      <c r="AB1030" s="9">
        <f t="shared" si="143"/>
        <v>-0.34426153251204666</v>
      </c>
      <c r="AC1030" s="9">
        <f t="shared" si="144"/>
        <v>-0.36717364666353874</v>
      </c>
      <c r="AD1030" s="2">
        <f t="shared" si="145"/>
        <v>6.6554383768364644E-2</v>
      </c>
      <c r="AE1030" s="8">
        <f t="shared" si="146"/>
        <v>3.6560510776993322E-3</v>
      </c>
      <c r="AF1030" s="2">
        <f t="shared" si="147"/>
        <v>-7.7527457858974028E-3</v>
      </c>
      <c r="AG1030" s="8">
        <f t="shared" si="148"/>
        <v>1.1408796863596735E-2</v>
      </c>
      <c r="AH1030" s="7">
        <f t="shared" si="149"/>
        <v>-0.67954104877043753</v>
      </c>
      <c r="AI1030">
        <f t="shared" si="150"/>
        <v>8</v>
      </c>
      <c r="AJ1030" s="10">
        <f t="shared" si="151"/>
        <v>0.73016299927019102</v>
      </c>
    </row>
    <row r="1031" spans="1:36" hidden="1" x14ac:dyDescent="0.25">
      <c r="A1031" t="b">
        <v>0</v>
      </c>
      <c r="B1031">
        <v>1000</v>
      </c>
      <c r="C1031">
        <v>0.73016299927019102</v>
      </c>
      <c r="D1031" t="s">
        <v>52</v>
      </c>
      <c r="E1031" t="b">
        <v>1</v>
      </c>
      <c r="F1031" t="s">
        <v>53</v>
      </c>
      <c r="G1031">
        <v>7.4999999999999997E-2</v>
      </c>
      <c r="H1031">
        <v>0.5</v>
      </c>
      <c r="I1031">
        <v>1E-4</v>
      </c>
      <c r="J1031" t="b">
        <v>1</v>
      </c>
      <c r="K1031">
        <v>8</v>
      </c>
      <c r="L1031">
        <v>1500</v>
      </c>
      <c r="M1031">
        <v>0.75</v>
      </c>
      <c r="N1031">
        <v>0.154</v>
      </c>
      <c r="O1031" t="s">
        <v>434</v>
      </c>
      <c r="P1031" t="s">
        <v>435</v>
      </c>
      <c r="Q1031">
        <v>-3.5426705734975598E-4</v>
      </c>
      <c r="R1031">
        <v>7.3537462871923797E-3</v>
      </c>
      <c r="S1031">
        <v>1.8600073869261501E-3</v>
      </c>
      <c r="T1031">
        <v>-4.0990626531034198E-2</v>
      </c>
      <c r="U1031">
        <v>7.9631688521108899</v>
      </c>
      <c r="V1031" s="1">
        <v>9.9999999999999905E-15</v>
      </c>
      <c r="W1031">
        <v>1.3616912596271999</v>
      </c>
      <c r="X1031">
        <v>2.4999999999999898</v>
      </c>
      <c r="Y1031">
        <v>64.251208775051396</v>
      </c>
      <c r="Z1031">
        <v>0.499999999999999</v>
      </c>
      <c r="AA1031">
        <v>114.764377313041</v>
      </c>
      <c r="AB1031" s="9">
        <f t="shared" si="143"/>
        <v>-0.34434193328977297</v>
      </c>
      <c r="AC1031" s="9">
        <f t="shared" si="144"/>
        <v>-0.36717364666353874</v>
      </c>
      <c r="AD1031" s="2">
        <f t="shared" si="145"/>
        <v>6.6305352809157503E-2</v>
      </c>
      <c r="AE1031" s="8">
        <f t="shared" si="146"/>
        <v>3.683048387586256E-3</v>
      </c>
      <c r="AF1031" s="2">
        <f t="shared" si="147"/>
        <v>-7.7257484760104786E-3</v>
      </c>
      <c r="AG1031" s="8">
        <f t="shared" si="148"/>
        <v>1.1408796863596735E-2</v>
      </c>
      <c r="AH1031" s="7">
        <f t="shared" si="149"/>
        <v>-0.67717468970473549</v>
      </c>
      <c r="AI1031">
        <f t="shared" si="150"/>
        <v>8</v>
      </c>
      <c r="AJ1031" s="10">
        <f t="shared" si="151"/>
        <v>0.73016299927019102</v>
      </c>
    </row>
    <row r="1032" spans="1:36" hidden="1" x14ac:dyDescent="0.25">
      <c r="A1032" t="b">
        <v>0</v>
      </c>
      <c r="B1032">
        <v>1000</v>
      </c>
      <c r="C1032">
        <v>0.73016299927019102</v>
      </c>
      <c r="D1032" t="s">
        <v>52</v>
      </c>
      <c r="E1032" t="b">
        <v>1</v>
      </c>
      <c r="F1032" t="s">
        <v>53</v>
      </c>
      <c r="G1032">
        <v>7.4999999999999997E-2</v>
      </c>
      <c r="H1032">
        <v>0.5</v>
      </c>
      <c r="I1032">
        <v>1E-4</v>
      </c>
      <c r="J1032" t="b">
        <v>1</v>
      </c>
      <c r="K1032">
        <v>8</v>
      </c>
      <c r="L1032">
        <v>1500</v>
      </c>
      <c r="M1032">
        <v>0.75</v>
      </c>
      <c r="N1032">
        <v>0.154</v>
      </c>
      <c r="O1032" t="s">
        <v>434</v>
      </c>
      <c r="P1032" t="s">
        <v>436</v>
      </c>
      <c r="Q1032">
        <v>-3.0357885224288302E-4</v>
      </c>
      <c r="R1032">
        <v>7.2489101574633799E-3</v>
      </c>
      <c r="S1032">
        <v>1.59367190746563E-3</v>
      </c>
      <c r="T1032">
        <v>-3.51147346509579E-2</v>
      </c>
      <c r="U1032">
        <v>7.9637224947358698</v>
      </c>
      <c r="V1032" s="1">
        <v>9.9999999999999905E-15</v>
      </c>
      <c r="W1032">
        <v>1.5962449038231299</v>
      </c>
      <c r="X1032">
        <v>2.4999999999999898</v>
      </c>
      <c r="Y1032">
        <v>72.7389589425281</v>
      </c>
      <c r="Z1032">
        <v>0.499999999999999</v>
      </c>
      <c r="AA1032">
        <v>132.40496804269301</v>
      </c>
      <c r="AB1032" s="9">
        <f t="shared" si="143"/>
        <v>-0.34427897382827527</v>
      </c>
      <c r="AC1032" s="9">
        <f t="shared" si="144"/>
        <v>-0.36717364666353874</v>
      </c>
      <c r="AD1032" s="2">
        <f t="shared" si="145"/>
        <v>6.650035167899393E-2</v>
      </c>
      <c r="AE1032" s="8">
        <f t="shared" si="146"/>
        <v>3.6619074725540912E-3</v>
      </c>
      <c r="AF1032" s="2">
        <f t="shared" si="147"/>
        <v>-7.7468893910426434E-3</v>
      </c>
      <c r="AG1032" s="8">
        <f t="shared" si="148"/>
        <v>1.1408796863596735E-2</v>
      </c>
      <c r="AH1032" s="7">
        <f t="shared" si="149"/>
        <v>-0.67902772603143369</v>
      </c>
      <c r="AI1032">
        <f t="shared" si="150"/>
        <v>8</v>
      </c>
      <c r="AJ1032" s="10">
        <f t="shared" si="151"/>
        <v>0.73016299927019102</v>
      </c>
    </row>
    <row r="1033" spans="1:36" hidden="1" x14ac:dyDescent="0.25">
      <c r="A1033" t="b">
        <v>0</v>
      </c>
      <c r="B1033">
        <v>1000</v>
      </c>
      <c r="C1033">
        <v>0.73016299927019102</v>
      </c>
      <c r="D1033" t="s">
        <v>52</v>
      </c>
      <c r="E1033" t="b">
        <v>1</v>
      </c>
      <c r="F1033" t="s">
        <v>53</v>
      </c>
      <c r="G1033">
        <v>7.4999999999999997E-2</v>
      </c>
      <c r="H1033">
        <v>0.5</v>
      </c>
      <c r="I1033">
        <v>1E-4</v>
      </c>
      <c r="J1033" t="b">
        <v>1</v>
      </c>
      <c r="K1033">
        <v>8</v>
      </c>
      <c r="L1033">
        <v>1500</v>
      </c>
      <c r="M1033">
        <v>0.75</v>
      </c>
      <c r="N1033">
        <v>0.154</v>
      </c>
      <c r="O1033" t="s">
        <v>434</v>
      </c>
      <c r="P1033" t="s">
        <v>437</v>
      </c>
      <c r="Q1033">
        <v>-3.54267057349764E-4</v>
      </c>
      <c r="R1033">
        <v>7.35133143688429E-3</v>
      </c>
      <c r="S1033">
        <v>1.8600073869261399E-3</v>
      </c>
      <c r="T1033">
        <v>-4.0990626531033802E-2</v>
      </c>
      <c r="U1033">
        <v>7.9631688521608899</v>
      </c>
      <c r="V1033" s="1">
        <v>9.9999999999999905E-15</v>
      </c>
      <c r="W1033">
        <v>1.3683669031788299</v>
      </c>
      <c r="X1033">
        <v>2.4999999999999898</v>
      </c>
      <c r="Y1033">
        <v>64.120292913839705</v>
      </c>
      <c r="Z1033">
        <v>0.499999999999999</v>
      </c>
      <c r="AA1033">
        <v>114.777340371235</v>
      </c>
      <c r="AB1033" s="9">
        <f t="shared" si="143"/>
        <v>-0.34434193328977153</v>
      </c>
      <c r="AC1033" s="9">
        <f t="shared" si="144"/>
        <v>-0.36717364666353874</v>
      </c>
      <c r="AD1033" s="2">
        <f t="shared" si="145"/>
        <v>6.6305352809161944E-2</v>
      </c>
      <c r="AE1033" s="8">
        <f t="shared" si="146"/>
        <v>3.6830483875857833E-3</v>
      </c>
      <c r="AF1033" s="2">
        <f t="shared" si="147"/>
        <v>-7.7257484760109513E-3</v>
      </c>
      <c r="AG1033" s="8">
        <f t="shared" si="148"/>
        <v>1.1408796863596735E-2</v>
      </c>
      <c r="AH1033" s="7">
        <f t="shared" si="149"/>
        <v>-0.67717468970477701</v>
      </c>
      <c r="AI1033">
        <f t="shared" si="150"/>
        <v>8</v>
      </c>
      <c r="AJ1033" s="10">
        <f t="shared" si="151"/>
        <v>0.73016299927019102</v>
      </c>
    </row>
    <row r="1034" spans="1:36" hidden="1" x14ac:dyDescent="0.25">
      <c r="A1034" t="b">
        <v>0</v>
      </c>
      <c r="B1034">
        <v>1000</v>
      </c>
      <c r="C1034">
        <v>0.73016299927019102</v>
      </c>
      <c r="D1034" t="s">
        <v>52</v>
      </c>
      <c r="E1034" t="b">
        <v>1</v>
      </c>
      <c r="F1034" t="s">
        <v>53</v>
      </c>
      <c r="G1034">
        <v>7.4999999999999997E-2</v>
      </c>
      <c r="H1034">
        <v>0.5</v>
      </c>
      <c r="I1034">
        <v>1E-4</v>
      </c>
      <c r="J1034" t="b">
        <v>1</v>
      </c>
      <c r="K1034">
        <v>8</v>
      </c>
      <c r="L1034">
        <v>1500</v>
      </c>
      <c r="M1034">
        <v>0.75</v>
      </c>
      <c r="N1034">
        <v>0.154</v>
      </c>
      <c r="O1034" t="s">
        <v>434</v>
      </c>
      <c r="P1034" t="s">
        <v>438</v>
      </c>
      <c r="Q1034">
        <v>-7.0867031744772696E-4</v>
      </c>
      <c r="R1034">
        <v>1.4359946299850599E-2</v>
      </c>
      <c r="S1034">
        <v>3.7197145012455102E-3</v>
      </c>
      <c r="T1034">
        <v>-8.1943188743765799E-2</v>
      </c>
      <c r="U1034">
        <v>7.9593080483076601</v>
      </c>
      <c r="V1034" s="1">
        <v>9.9999999999999795E-15</v>
      </c>
      <c r="W1034">
        <v>1.33850262082882</v>
      </c>
      <c r="X1034">
        <v>2.4999999999999898</v>
      </c>
      <c r="Y1034">
        <v>62.712417369202399</v>
      </c>
      <c r="Z1034">
        <v>0.499999999999998</v>
      </c>
      <c r="AA1034">
        <v>112.054115280345</v>
      </c>
      <c r="AB1034" s="9">
        <f t="shared" si="143"/>
        <v>-0.34420983752721446</v>
      </c>
      <c r="AC1034" s="9">
        <f t="shared" si="144"/>
        <v>-0.36717364666353874</v>
      </c>
      <c r="AD1034" s="2">
        <f t="shared" si="145"/>
        <v>6.6714563712923169E-2</v>
      </c>
      <c r="AE1034" s="8">
        <f t="shared" si="146"/>
        <v>3.6386934862816379E-3</v>
      </c>
      <c r="AF1034" s="2">
        <f t="shared" si="147"/>
        <v>-7.7701033773150963E-3</v>
      </c>
      <c r="AG1034" s="8">
        <f t="shared" si="148"/>
        <v>1.1408796863596735E-2</v>
      </c>
      <c r="AH1034" s="7">
        <f t="shared" si="149"/>
        <v>-0.68106247049660373</v>
      </c>
      <c r="AI1034">
        <f t="shared" si="150"/>
        <v>8</v>
      </c>
      <c r="AJ1034" s="10">
        <f t="shared" si="151"/>
        <v>0.73016299927019102</v>
      </c>
    </row>
    <row r="1035" spans="1:36" hidden="1" x14ac:dyDescent="0.25">
      <c r="A1035" t="b">
        <v>0</v>
      </c>
      <c r="B1035">
        <v>1000</v>
      </c>
      <c r="C1035">
        <v>0.73016299927019102</v>
      </c>
      <c r="D1035" t="s">
        <v>52</v>
      </c>
      <c r="E1035" t="b">
        <v>1</v>
      </c>
      <c r="F1035" t="s">
        <v>53</v>
      </c>
      <c r="G1035">
        <v>7.4999999999999997E-2</v>
      </c>
      <c r="H1035">
        <v>0.5</v>
      </c>
      <c r="I1035">
        <v>1E-4</v>
      </c>
      <c r="J1035" t="b">
        <v>1</v>
      </c>
      <c r="K1035">
        <v>8</v>
      </c>
      <c r="L1035">
        <v>1500</v>
      </c>
      <c r="M1035">
        <v>0.75</v>
      </c>
      <c r="N1035">
        <v>0.154</v>
      </c>
      <c r="O1035" t="s">
        <v>435</v>
      </c>
      <c r="P1035" t="s">
        <v>437</v>
      </c>
      <c r="Q1035" s="1">
        <v>-1E-10</v>
      </c>
      <c r="R1035" s="1">
        <v>3.5857859167895198E-12</v>
      </c>
      <c r="S1035" s="1">
        <v>-2.3747045084351301E-18</v>
      </c>
      <c r="T1035" s="1">
        <v>5.49292064022414E-16</v>
      </c>
      <c r="U1035">
        <v>7.9593082069015404</v>
      </c>
      <c r="V1035">
        <v>0</v>
      </c>
      <c r="W1035">
        <v>6.84745479690579E-2</v>
      </c>
      <c r="X1035">
        <v>2</v>
      </c>
      <c r="Y1035">
        <v>4.0005663970270602E-3</v>
      </c>
      <c r="Z1035">
        <v>2.5000000000000001E-4</v>
      </c>
      <c r="AA1035">
        <v>4.79335296096213E-3</v>
      </c>
      <c r="AB1035" s="9">
        <f t="shared" si="143"/>
        <v>-3.6142132504755264</v>
      </c>
      <c r="AC1035" s="9">
        <f t="shared" si="144"/>
        <v>-0.36717364666353874</v>
      </c>
      <c r="AD1035" s="2">
        <f t="shared" si="145"/>
        <v>-0.89840841665465387</v>
      </c>
      <c r="AE1035" s="8">
        <f t="shared" si="146"/>
        <v>-11.680720894976886</v>
      </c>
      <c r="AF1035" s="2">
        <f t="shared" si="147"/>
        <v>-11.692129691840483</v>
      </c>
      <c r="AG1035" s="8">
        <f t="shared" si="148"/>
        <v>1.1408796863596735E-2</v>
      </c>
      <c r="AH1035" s="7">
        <f t="shared" si="149"/>
        <v>-1024.8345931329366</v>
      </c>
      <c r="AI1035">
        <f t="shared" si="150"/>
        <v>8</v>
      </c>
      <c r="AJ1035" s="10">
        <f t="shared" si="151"/>
        <v>0.73016299927019102</v>
      </c>
    </row>
    <row r="1036" spans="1:36" hidden="1" x14ac:dyDescent="0.25">
      <c r="A1036" t="b">
        <v>0</v>
      </c>
      <c r="B1036">
        <v>1000</v>
      </c>
      <c r="C1036">
        <v>0.73016299927019102</v>
      </c>
      <c r="D1036" t="s">
        <v>52</v>
      </c>
      <c r="E1036" t="b">
        <v>1</v>
      </c>
      <c r="F1036" t="s">
        <v>53</v>
      </c>
      <c r="G1036">
        <v>7.4999999999999997E-2</v>
      </c>
      <c r="H1036">
        <v>0.5</v>
      </c>
      <c r="I1036">
        <v>1E-4</v>
      </c>
      <c r="J1036" t="b">
        <v>1</v>
      </c>
      <c r="K1036">
        <v>8</v>
      </c>
      <c r="L1036">
        <v>1500</v>
      </c>
      <c r="M1036">
        <v>0.75</v>
      </c>
      <c r="N1036">
        <v>0.154</v>
      </c>
      <c r="O1036" t="s">
        <v>435</v>
      </c>
      <c r="P1036" t="s">
        <v>438</v>
      </c>
      <c r="Q1036">
        <v>-3.5440326010012101E-4</v>
      </c>
      <c r="R1036">
        <v>7.37928300641207E-3</v>
      </c>
      <c r="S1036">
        <v>1.8597071143193599E-3</v>
      </c>
      <c r="T1036">
        <v>-4.09525622127314E-2</v>
      </c>
      <c r="U1036">
        <v>7.9554474030483098</v>
      </c>
      <c r="V1036" s="1">
        <v>9.9999999999999905E-15</v>
      </c>
      <c r="W1036">
        <v>1.36444788695956</v>
      </c>
      <c r="X1036">
        <v>2.4999999999999898</v>
      </c>
      <c r="Y1036">
        <v>64.439899380282498</v>
      </c>
      <c r="Z1036">
        <v>0.499999999999999</v>
      </c>
      <c r="AA1036">
        <v>115.12321513756299</v>
      </c>
      <c r="AB1036" s="9">
        <f t="shared" si="143"/>
        <v>-0.3440777204361673</v>
      </c>
      <c r="AC1036" s="9">
        <f t="shared" si="144"/>
        <v>-0.36717364666353874</v>
      </c>
      <c r="AD1036" s="2">
        <f t="shared" si="145"/>
        <v>6.7124154967354688E-2</v>
      </c>
      <c r="AE1036" s="8">
        <f t="shared" si="146"/>
        <v>3.594335344383802E-3</v>
      </c>
      <c r="AF1036" s="2">
        <f t="shared" si="147"/>
        <v>-7.814461519212933E-3</v>
      </c>
      <c r="AG1036" s="8">
        <f t="shared" si="148"/>
        <v>1.1408796863596735E-2</v>
      </c>
      <c r="AH1036" s="7">
        <f t="shared" si="149"/>
        <v>-0.68495053533185157</v>
      </c>
      <c r="AI1036">
        <f t="shared" si="150"/>
        <v>8</v>
      </c>
      <c r="AJ1036" s="10">
        <f t="shared" si="151"/>
        <v>0.73016299927019102</v>
      </c>
    </row>
    <row r="1037" spans="1:36" hidden="1" x14ac:dyDescent="0.25">
      <c r="A1037" t="b">
        <v>0</v>
      </c>
      <c r="B1037">
        <v>1000</v>
      </c>
      <c r="C1037">
        <v>0.73016299927019102</v>
      </c>
      <c r="D1037" t="s">
        <v>52</v>
      </c>
      <c r="E1037" t="b">
        <v>1</v>
      </c>
      <c r="F1037" t="s">
        <v>53</v>
      </c>
      <c r="G1037">
        <v>7.4999999999999997E-2</v>
      </c>
      <c r="H1037">
        <v>0.5</v>
      </c>
      <c r="I1037">
        <v>1E-4</v>
      </c>
      <c r="J1037" t="b">
        <v>1</v>
      </c>
      <c r="K1037">
        <v>8</v>
      </c>
      <c r="L1037">
        <v>1500</v>
      </c>
      <c r="M1037">
        <v>0.75</v>
      </c>
      <c r="N1037">
        <v>0.154</v>
      </c>
      <c r="O1037" t="s">
        <v>436</v>
      </c>
      <c r="P1037" t="s">
        <v>437</v>
      </c>
      <c r="Q1037" s="1">
        <v>-5.06882051072464E-5</v>
      </c>
      <c r="R1037">
        <v>1.1117045382193799E-3</v>
      </c>
      <c r="S1037">
        <v>2.66335479460506E-4</v>
      </c>
      <c r="T1037">
        <v>-5.8758918800758102E-3</v>
      </c>
      <c r="U1037">
        <v>7.9598618495265203</v>
      </c>
      <c r="V1037" s="1">
        <v>9.9999999999999905E-15</v>
      </c>
      <c r="W1037">
        <v>1.4691234866680201</v>
      </c>
      <c r="X1037">
        <v>2.4999999999999898</v>
      </c>
      <c r="Y1037">
        <v>67.167668921938301</v>
      </c>
      <c r="Z1037">
        <v>0.499999999999999</v>
      </c>
      <c r="AA1037">
        <v>121.525351214738</v>
      </c>
      <c r="AB1037" s="9">
        <f t="shared" si="143"/>
        <v>-0.34471866389021166</v>
      </c>
      <c r="AC1037" s="9">
        <f t="shared" si="144"/>
        <v>-0.36717364666353874</v>
      </c>
      <c r="AD1037" s="2">
        <f t="shared" si="145"/>
        <v>6.5140026130058093E-2</v>
      </c>
      <c r="AE1037" s="8">
        <f t="shared" si="146"/>
        <v>3.8095679156255474E-3</v>
      </c>
      <c r="AF1037" s="2">
        <f t="shared" si="147"/>
        <v>-7.5992289479711872E-3</v>
      </c>
      <c r="AG1037" s="8">
        <f t="shared" si="148"/>
        <v>1.1408796863596735E-2</v>
      </c>
      <c r="AH1037" s="7">
        <f t="shared" si="149"/>
        <v>-0.66608504286888115</v>
      </c>
      <c r="AI1037">
        <f t="shared" si="150"/>
        <v>8</v>
      </c>
      <c r="AJ1037" s="10">
        <f t="shared" si="151"/>
        <v>0.73016299927019102</v>
      </c>
    </row>
    <row r="1038" spans="1:36" hidden="1" x14ac:dyDescent="0.25">
      <c r="A1038" t="b">
        <v>0</v>
      </c>
      <c r="B1038">
        <v>1000</v>
      </c>
      <c r="C1038">
        <v>0.73016299927019102</v>
      </c>
      <c r="D1038" t="s">
        <v>52</v>
      </c>
      <c r="E1038" t="b">
        <v>1</v>
      </c>
      <c r="F1038" t="s">
        <v>53</v>
      </c>
      <c r="G1038">
        <v>7.4999999999999997E-2</v>
      </c>
      <c r="H1038">
        <v>0.5</v>
      </c>
      <c r="I1038">
        <v>1E-4</v>
      </c>
      <c r="J1038" t="b">
        <v>1</v>
      </c>
      <c r="K1038">
        <v>8</v>
      </c>
      <c r="L1038">
        <v>1500</v>
      </c>
      <c r="M1038">
        <v>0.75</v>
      </c>
      <c r="N1038">
        <v>0.154</v>
      </c>
      <c r="O1038" t="s">
        <v>436</v>
      </c>
      <c r="P1038" t="s">
        <v>438</v>
      </c>
      <c r="Q1038">
        <v>-4.0509146520690701E-4</v>
      </c>
      <c r="R1038">
        <v>8.7453992195190202E-3</v>
      </c>
      <c r="S1038">
        <v>2.1260425937798702E-3</v>
      </c>
      <c r="T1038">
        <v>-4.6828454092807899E-2</v>
      </c>
      <c r="U1038">
        <v>7.9560010456732897</v>
      </c>
      <c r="V1038" s="1">
        <v>9.9999999999999905E-15</v>
      </c>
      <c r="W1038">
        <v>1.4357250011148801</v>
      </c>
      <c r="X1038">
        <v>2.4999999999999898</v>
      </c>
      <c r="Y1038">
        <v>66.321821111617098</v>
      </c>
      <c r="Z1038">
        <v>0.499999999999999</v>
      </c>
      <c r="AA1038">
        <v>119.545872543515</v>
      </c>
      <c r="AB1038" s="9">
        <f t="shared" si="143"/>
        <v>-0.34415801326879852</v>
      </c>
      <c r="AC1038" s="9">
        <f t="shared" si="144"/>
        <v>-0.36717364666353874</v>
      </c>
      <c r="AD1038" s="2">
        <f t="shared" si="145"/>
        <v>6.6875192520257531E-2</v>
      </c>
      <c r="AE1038" s="8">
        <f t="shared" si="146"/>
        <v>3.6212930913772931E-3</v>
      </c>
      <c r="AF1038" s="2">
        <f t="shared" si="147"/>
        <v>-7.7875037722194415E-3</v>
      </c>
      <c r="AG1038" s="8">
        <f t="shared" si="148"/>
        <v>1.1408796863596735E-2</v>
      </c>
      <c r="AH1038" s="7">
        <f t="shared" si="149"/>
        <v>-0.68258764401949001</v>
      </c>
      <c r="AI1038">
        <f t="shared" si="150"/>
        <v>8</v>
      </c>
      <c r="AJ1038" s="10">
        <f t="shared" si="151"/>
        <v>0.73016299927019102</v>
      </c>
    </row>
    <row r="1039" spans="1:36" hidden="1" x14ac:dyDescent="0.25">
      <c r="A1039" t="b">
        <v>0</v>
      </c>
      <c r="B1039">
        <v>1000</v>
      </c>
      <c r="C1039">
        <v>0.73016299927019102</v>
      </c>
      <c r="D1039" t="s">
        <v>52</v>
      </c>
      <c r="E1039" t="b">
        <v>1</v>
      </c>
      <c r="F1039" t="s">
        <v>53</v>
      </c>
      <c r="G1039">
        <v>7.4999999999999997E-2</v>
      </c>
      <c r="H1039">
        <v>0.5</v>
      </c>
      <c r="I1039">
        <v>1E-4</v>
      </c>
      <c r="J1039" t="b">
        <v>1</v>
      </c>
      <c r="K1039">
        <v>8</v>
      </c>
      <c r="L1039">
        <v>1500</v>
      </c>
      <c r="M1039">
        <v>0.75</v>
      </c>
      <c r="N1039">
        <v>0.154</v>
      </c>
      <c r="O1039" t="s">
        <v>437</v>
      </c>
      <c r="P1039" t="s">
        <v>438</v>
      </c>
      <c r="Q1039">
        <v>-3.5440326010012703E-4</v>
      </c>
      <c r="R1039">
        <v>7.2677448798859302E-3</v>
      </c>
      <c r="S1039">
        <v>1.8597071143193701E-3</v>
      </c>
      <c r="T1039">
        <v>-4.0952562212731899E-2</v>
      </c>
      <c r="U1039">
        <v>7.9554474030983204</v>
      </c>
      <c r="V1039" s="1">
        <v>9.9999999999999905E-15</v>
      </c>
      <c r="W1039">
        <v>1.3523245595236499</v>
      </c>
      <c r="X1039">
        <v>2.4999999999999898</v>
      </c>
      <c r="Y1039">
        <v>63.4216559516084</v>
      </c>
      <c r="Z1039">
        <v>0.499999999999999</v>
      </c>
      <c r="AA1039">
        <v>113.411950614471</v>
      </c>
      <c r="AB1039" s="9">
        <f t="shared" si="143"/>
        <v>-0.34407772043616958</v>
      </c>
      <c r="AC1039" s="9">
        <f t="shared" si="144"/>
        <v>-0.36717364666353874</v>
      </c>
      <c r="AD1039" s="2">
        <f t="shared" si="145"/>
        <v>6.7124154967347582E-2</v>
      </c>
      <c r="AE1039" s="8">
        <f t="shared" si="146"/>
        <v>3.5943353443845727E-3</v>
      </c>
      <c r="AF1039" s="2">
        <f t="shared" si="147"/>
        <v>-7.8144615192121611E-3</v>
      </c>
      <c r="AG1039" s="8">
        <f t="shared" si="148"/>
        <v>1.1408796863596735E-2</v>
      </c>
      <c r="AH1039" s="7">
        <f t="shared" si="149"/>
        <v>-0.68495053533178396</v>
      </c>
      <c r="AI1039">
        <f t="shared" si="150"/>
        <v>8</v>
      </c>
      <c r="AJ1039" s="10">
        <f t="shared" si="151"/>
        <v>0.73016299927019102</v>
      </c>
    </row>
    <row r="1040" spans="1:36" hidden="1" x14ac:dyDescent="0.25">
      <c r="A1040" t="b">
        <v>0</v>
      </c>
      <c r="B1040">
        <v>1000</v>
      </c>
      <c r="C1040">
        <v>0.730162999270206</v>
      </c>
      <c r="D1040" t="s">
        <v>52</v>
      </c>
      <c r="E1040" t="b">
        <v>1</v>
      </c>
      <c r="F1040" t="s">
        <v>53</v>
      </c>
      <c r="G1040">
        <v>7.4999999999999997E-2</v>
      </c>
      <c r="H1040">
        <v>0.5</v>
      </c>
      <c r="I1040">
        <v>1E-4</v>
      </c>
      <c r="J1040" t="b">
        <v>1</v>
      </c>
      <c r="K1040">
        <v>6</v>
      </c>
      <c r="L1040">
        <v>1500</v>
      </c>
      <c r="M1040">
        <v>0.75</v>
      </c>
      <c r="N1040">
        <v>0.154</v>
      </c>
      <c r="O1040" t="s">
        <v>439</v>
      </c>
      <c r="P1040" t="s">
        <v>440</v>
      </c>
      <c r="Q1040" s="1">
        <v>-3.70947448427715E-5</v>
      </c>
      <c r="R1040">
        <v>3.8708186301622202E-4</v>
      </c>
      <c r="S1040">
        <v>1.51839663524111E-4</v>
      </c>
      <c r="T1040">
        <v>-2.01697288352888E-3</v>
      </c>
      <c r="U1040">
        <v>6.00332120439188</v>
      </c>
      <c r="V1040" s="1">
        <v>9.9999999999995693E-15</v>
      </c>
      <c r="W1040">
        <v>0.71175418188121897</v>
      </c>
      <c r="X1040">
        <v>2.4999999999999898</v>
      </c>
      <c r="Y1040">
        <v>31.519725379739199</v>
      </c>
      <c r="Z1040">
        <v>0.499999999999999</v>
      </c>
      <c r="AA1040">
        <v>57.966511742454799</v>
      </c>
      <c r="AB1040" s="9">
        <f t="shared" si="143"/>
        <v>-0.36898807098299596</v>
      </c>
      <c r="AC1040" s="9">
        <f t="shared" si="144"/>
        <v>-0.39297066731015617</v>
      </c>
      <c r="AD1040" s="2">
        <f t="shared" si="145"/>
        <v>6.499558715616427E-2</v>
      </c>
      <c r="AE1040" s="8">
        <f t="shared" si="146"/>
        <v>1.2027862645592463E-2</v>
      </c>
      <c r="AF1040" s="2">
        <f t="shared" si="147"/>
        <v>-8.2544428896910351E-3</v>
      </c>
      <c r="AG1040" s="8">
        <f t="shared" si="148"/>
        <v>2.0282305535283499E-2</v>
      </c>
      <c r="AH1040" s="7">
        <f t="shared" si="149"/>
        <v>-0.40697754381677387</v>
      </c>
      <c r="AI1040">
        <f t="shared" si="150"/>
        <v>6</v>
      </c>
      <c r="AJ1040" s="10">
        <f t="shared" si="151"/>
        <v>0.730162999270206</v>
      </c>
    </row>
    <row r="1041" spans="1:36" hidden="1" x14ac:dyDescent="0.25">
      <c r="A1041" t="b">
        <v>0</v>
      </c>
      <c r="B1041">
        <v>1000</v>
      </c>
      <c r="C1041">
        <v>0.730162999270206</v>
      </c>
      <c r="D1041" t="s">
        <v>52</v>
      </c>
      <c r="E1041" t="b">
        <v>1</v>
      </c>
      <c r="F1041" t="s">
        <v>53</v>
      </c>
      <c r="G1041">
        <v>7.4999999999999997E-2</v>
      </c>
      <c r="H1041">
        <v>0.5</v>
      </c>
      <c r="I1041">
        <v>1E-4</v>
      </c>
      <c r="J1041" t="b">
        <v>1</v>
      </c>
      <c r="K1041">
        <v>6</v>
      </c>
      <c r="L1041">
        <v>1500</v>
      </c>
      <c r="M1041">
        <v>0.75</v>
      </c>
      <c r="N1041">
        <v>0.154</v>
      </c>
      <c r="O1041" t="s">
        <v>439</v>
      </c>
      <c r="P1041" t="s">
        <v>441</v>
      </c>
      <c r="Q1041">
        <v>-2.9643686410464501E-4</v>
      </c>
      <c r="R1041">
        <v>3.10494287879115E-3</v>
      </c>
      <c r="S1041">
        <v>1.2129484197510401E-3</v>
      </c>
      <c r="T1041">
        <v>-1.6094228324168399E-2</v>
      </c>
      <c r="U1041">
        <v>6.0015619315040603</v>
      </c>
      <c r="V1041" s="1">
        <v>9.9999999999983907E-15</v>
      </c>
      <c r="W1041">
        <v>0.70931820780831301</v>
      </c>
      <c r="X1041">
        <v>2.4999999999999898</v>
      </c>
      <c r="Y1041">
        <v>31.711090140244298</v>
      </c>
      <c r="Z1041">
        <v>0.49999999999999201</v>
      </c>
      <c r="AA1041">
        <v>58.150933355537497</v>
      </c>
      <c r="AB1041" s="9">
        <f t="shared" si="143"/>
        <v>-0.36857453343756114</v>
      </c>
      <c r="AC1041" s="9">
        <f t="shared" si="144"/>
        <v>-0.39297066731015617</v>
      </c>
      <c r="AD1041" s="2">
        <f t="shared" si="145"/>
        <v>6.6190503302171022E-2</v>
      </c>
      <c r="AE1041" s="8">
        <f t="shared" si="146"/>
        <v>1.1886700565815575E-2</v>
      </c>
      <c r="AF1041" s="2">
        <f t="shared" si="147"/>
        <v>-8.3956049694679236E-3</v>
      </c>
      <c r="AG1041" s="8">
        <f t="shared" si="148"/>
        <v>2.0282305535283499E-2</v>
      </c>
      <c r="AH1041" s="7">
        <f t="shared" si="149"/>
        <v>-0.41393740740483193</v>
      </c>
      <c r="AI1041">
        <f t="shared" si="150"/>
        <v>6</v>
      </c>
      <c r="AJ1041" s="10">
        <f t="shared" si="151"/>
        <v>0.730162999270206</v>
      </c>
    </row>
    <row r="1042" spans="1:36" hidden="1" x14ac:dyDescent="0.25">
      <c r="A1042" t="b">
        <v>0</v>
      </c>
      <c r="B1042">
        <v>1000</v>
      </c>
      <c r="C1042">
        <v>0.730162999270206</v>
      </c>
      <c r="D1042" t="s">
        <v>52</v>
      </c>
      <c r="E1042" t="b">
        <v>1</v>
      </c>
      <c r="F1042" t="s">
        <v>53</v>
      </c>
      <c r="G1042">
        <v>7.4999999999999997E-2</v>
      </c>
      <c r="H1042">
        <v>0.5</v>
      </c>
      <c r="I1042">
        <v>1E-4</v>
      </c>
      <c r="J1042" t="b">
        <v>1</v>
      </c>
      <c r="K1042">
        <v>6</v>
      </c>
      <c r="L1042">
        <v>1500</v>
      </c>
      <c r="M1042">
        <v>0.75</v>
      </c>
      <c r="N1042">
        <v>0.154</v>
      </c>
      <c r="O1042" t="s">
        <v>439</v>
      </c>
      <c r="P1042" t="s">
        <v>442</v>
      </c>
      <c r="Q1042" s="1">
        <v>-3.7094744842772103E-5</v>
      </c>
      <c r="R1042">
        <v>3.9052600416364798E-4</v>
      </c>
      <c r="S1042">
        <v>1.5183966352411401E-4</v>
      </c>
      <c r="T1042">
        <v>-2.0169728835289502E-3</v>
      </c>
      <c r="U1042">
        <v>6.0033212043348403</v>
      </c>
      <c r="V1042" s="1">
        <v>9.9999999999995803E-15</v>
      </c>
      <c r="W1042">
        <v>0.71428285348022102</v>
      </c>
      <c r="X1042">
        <v>2.4999999999999898</v>
      </c>
      <c r="Y1042">
        <v>31.8426778809099</v>
      </c>
      <c r="Z1042">
        <v>0.499999999999999</v>
      </c>
      <c r="AA1042">
        <v>58.461545264655697</v>
      </c>
      <c r="AB1042" s="9">
        <f t="shared" si="143"/>
        <v>-0.36898807098300146</v>
      </c>
      <c r="AC1042" s="9">
        <f t="shared" si="144"/>
        <v>-0.39297066731015617</v>
      </c>
      <c r="AD1042" s="2">
        <f t="shared" si="145"/>
        <v>6.4995587156148282E-2</v>
      </c>
      <c r="AE1042" s="8">
        <f t="shared" si="146"/>
        <v>1.2027862645594332E-2</v>
      </c>
      <c r="AF1042" s="2">
        <f t="shared" si="147"/>
        <v>-8.2544428896891668E-3</v>
      </c>
      <c r="AG1042" s="8">
        <f t="shared" si="148"/>
        <v>2.0282305535283499E-2</v>
      </c>
      <c r="AH1042" s="7">
        <f t="shared" si="149"/>
        <v>-0.40697754381668177</v>
      </c>
      <c r="AI1042">
        <f t="shared" si="150"/>
        <v>6</v>
      </c>
      <c r="AJ1042" s="10">
        <f t="shared" si="151"/>
        <v>0.730162999270206</v>
      </c>
    </row>
    <row r="1043" spans="1:36" hidden="1" x14ac:dyDescent="0.25">
      <c r="A1043" t="b">
        <v>0</v>
      </c>
      <c r="B1043">
        <v>1000</v>
      </c>
      <c r="C1043">
        <v>0.730162999270206</v>
      </c>
      <c r="D1043" t="s">
        <v>52</v>
      </c>
      <c r="E1043" t="b">
        <v>1</v>
      </c>
      <c r="F1043" t="s">
        <v>53</v>
      </c>
      <c r="G1043">
        <v>7.4999999999999997E-2</v>
      </c>
      <c r="H1043">
        <v>0.5</v>
      </c>
      <c r="I1043">
        <v>1E-4</v>
      </c>
      <c r="J1043" t="b">
        <v>1</v>
      </c>
      <c r="K1043">
        <v>6</v>
      </c>
      <c r="L1043">
        <v>1500</v>
      </c>
      <c r="M1043">
        <v>0.75</v>
      </c>
      <c r="N1043">
        <v>0.154</v>
      </c>
      <c r="O1043" t="s">
        <v>439</v>
      </c>
      <c r="P1043" t="s">
        <v>443</v>
      </c>
      <c r="Q1043" s="1">
        <v>-7.4189656694592901E-5</v>
      </c>
      <c r="R1043">
        <v>7.7084869500906601E-4</v>
      </c>
      <c r="S1043">
        <v>3.0367725621015902E-4</v>
      </c>
      <c r="T1043">
        <v>-4.0338088376031403E-3</v>
      </c>
      <c r="U1043">
        <v>6.0030692181897702</v>
      </c>
      <c r="V1043" s="1">
        <v>9.9999999999993894E-15</v>
      </c>
      <c r="W1043">
        <v>0.70526863354929603</v>
      </c>
      <c r="X1043">
        <v>2.4999999999999898</v>
      </c>
      <c r="Y1043">
        <v>31.439312601815701</v>
      </c>
      <c r="Z1043">
        <v>0.499999999999999</v>
      </c>
      <c r="AA1043">
        <v>57.6962647094226</v>
      </c>
      <c r="AB1043" s="9">
        <f t="shared" si="143"/>
        <v>-0.3689780620628107</v>
      </c>
      <c r="AC1043" s="9">
        <f t="shared" si="144"/>
        <v>-0.39297066731015617</v>
      </c>
      <c r="AD1043" s="2">
        <f t="shared" si="145"/>
        <v>6.5024476287864674E-2</v>
      </c>
      <c r="AE1043" s="8">
        <f t="shared" si="146"/>
        <v>1.2024445610461541E-2</v>
      </c>
      <c r="AF1043" s="2">
        <f t="shared" si="147"/>
        <v>-8.2578599248219579E-3</v>
      </c>
      <c r="AG1043" s="8">
        <f t="shared" si="148"/>
        <v>2.0282305535283499E-2</v>
      </c>
      <c r="AH1043" s="7">
        <f t="shared" si="149"/>
        <v>-0.40714601752036633</v>
      </c>
      <c r="AI1043">
        <f t="shared" si="150"/>
        <v>6</v>
      </c>
      <c r="AJ1043" s="10">
        <f t="shared" si="151"/>
        <v>0.730162999270206</v>
      </c>
    </row>
    <row r="1044" spans="1:36" hidden="1" x14ac:dyDescent="0.25">
      <c r="A1044" t="b">
        <v>0</v>
      </c>
      <c r="B1044">
        <v>1000</v>
      </c>
      <c r="C1044">
        <v>0.730162999270206</v>
      </c>
      <c r="D1044" t="s">
        <v>52</v>
      </c>
      <c r="E1044" t="b">
        <v>1</v>
      </c>
      <c r="F1044" t="s">
        <v>53</v>
      </c>
      <c r="G1044">
        <v>7.4999999999999997E-2</v>
      </c>
      <c r="H1044">
        <v>0.5</v>
      </c>
      <c r="I1044">
        <v>1E-4</v>
      </c>
      <c r="J1044" t="b">
        <v>1</v>
      </c>
      <c r="K1044">
        <v>6</v>
      </c>
      <c r="L1044">
        <v>1500</v>
      </c>
      <c r="M1044">
        <v>0.75</v>
      </c>
      <c r="N1044">
        <v>0.154</v>
      </c>
      <c r="O1044" t="s">
        <v>439</v>
      </c>
      <c r="P1044" t="s">
        <v>444</v>
      </c>
      <c r="Q1044">
        <v>-3.3353293921430701E-4</v>
      </c>
      <c r="R1044">
        <v>2.8966284631930898E-3</v>
      </c>
      <c r="S1044">
        <v>1.3647715570823001E-3</v>
      </c>
      <c r="T1044">
        <v>-1.8110108863488499E-2</v>
      </c>
      <c r="U1044">
        <v>6.0013099170032804</v>
      </c>
      <c r="V1044" s="1">
        <v>9.9999999999982093E-15</v>
      </c>
      <c r="W1044">
        <v>0.57939407952183997</v>
      </c>
      <c r="X1044">
        <v>2.4999999999999898</v>
      </c>
      <c r="Y1044">
        <v>26.772356747371699</v>
      </c>
      <c r="Z1044">
        <v>0.49999999999999001</v>
      </c>
      <c r="AA1044">
        <v>48.067702677227402</v>
      </c>
      <c r="AB1044" s="9">
        <f t="shared" si="143"/>
        <v>-0.36860277233269678</v>
      </c>
      <c r="AC1044" s="9">
        <f t="shared" si="144"/>
        <v>-0.39297066731015617</v>
      </c>
      <c r="AD1044" s="2">
        <f t="shared" si="145"/>
        <v>6.6108821762917103E-2</v>
      </c>
      <c r="AE1044" s="8">
        <f t="shared" si="146"/>
        <v>1.1896338730848962E-2</v>
      </c>
      <c r="AF1044" s="2">
        <f t="shared" si="147"/>
        <v>-8.3859668044345363E-3</v>
      </c>
      <c r="AG1044" s="8">
        <f t="shared" si="148"/>
        <v>2.0282305535283499E-2</v>
      </c>
      <c r="AH1044" s="7">
        <f t="shared" si="149"/>
        <v>-0.41346220674203643</v>
      </c>
      <c r="AI1044">
        <f t="shared" si="150"/>
        <v>6</v>
      </c>
      <c r="AJ1044" s="10">
        <f t="shared" si="151"/>
        <v>0.730162999270206</v>
      </c>
    </row>
    <row r="1045" spans="1:36" hidden="1" x14ac:dyDescent="0.25">
      <c r="A1045" t="b">
        <v>0</v>
      </c>
      <c r="B1045">
        <v>1000</v>
      </c>
      <c r="C1045">
        <v>0.730162999270206</v>
      </c>
      <c r="D1045" t="s">
        <v>52</v>
      </c>
      <c r="E1045" t="b">
        <v>1</v>
      </c>
      <c r="F1045" t="s">
        <v>53</v>
      </c>
      <c r="G1045">
        <v>7.4999999999999997E-2</v>
      </c>
      <c r="H1045">
        <v>0.5</v>
      </c>
      <c r="I1045">
        <v>1E-4</v>
      </c>
      <c r="J1045" t="b">
        <v>1</v>
      </c>
      <c r="K1045">
        <v>6</v>
      </c>
      <c r="L1045">
        <v>1500</v>
      </c>
      <c r="M1045">
        <v>0.75</v>
      </c>
      <c r="N1045">
        <v>0.154</v>
      </c>
      <c r="O1045" t="s">
        <v>439</v>
      </c>
      <c r="P1045" t="s">
        <v>445</v>
      </c>
      <c r="Q1045">
        <v>-2.9643686410464598E-4</v>
      </c>
      <c r="R1045">
        <v>3.0745034371612401E-3</v>
      </c>
      <c r="S1045">
        <v>1.2129484197510401E-3</v>
      </c>
      <c r="T1045">
        <v>-1.6094228324168399E-2</v>
      </c>
      <c r="U1045">
        <v>6.0015619315359103</v>
      </c>
      <c r="V1045" s="1">
        <v>9.9999999999983797E-15</v>
      </c>
      <c r="W1045">
        <v>0.70356584520112497</v>
      </c>
      <c r="X1045">
        <v>2.4999999999999898</v>
      </c>
      <c r="Y1045">
        <v>31.3982791038298</v>
      </c>
      <c r="Z1045">
        <v>0.49999999999999201</v>
      </c>
      <c r="AA1045">
        <v>57.585332501179003</v>
      </c>
      <c r="AB1045" s="9">
        <f t="shared" si="143"/>
        <v>-0.36857453343756114</v>
      </c>
      <c r="AC1045" s="9">
        <f t="shared" si="144"/>
        <v>-0.39297066731015617</v>
      </c>
      <c r="AD1045" s="2">
        <f t="shared" si="145"/>
        <v>6.6190503302171022E-2</v>
      </c>
      <c r="AE1045" s="8">
        <f t="shared" si="146"/>
        <v>1.1886700565815575E-2</v>
      </c>
      <c r="AF1045" s="2">
        <f t="shared" si="147"/>
        <v>-8.3956049694679236E-3</v>
      </c>
      <c r="AG1045" s="8">
        <f t="shared" si="148"/>
        <v>2.0282305535283499E-2</v>
      </c>
      <c r="AH1045" s="7">
        <f t="shared" si="149"/>
        <v>-0.41393740740483193</v>
      </c>
      <c r="AI1045">
        <f t="shared" si="150"/>
        <v>6</v>
      </c>
      <c r="AJ1045" s="10">
        <f t="shared" si="151"/>
        <v>0.730162999270206</v>
      </c>
    </row>
    <row r="1046" spans="1:36" hidden="1" x14ac:dyDescent="0.25">
      <c r="A1046" t="b">
        <v>0</v>
      </c>
      <c r="B1046">
        <v>1000</v>
      </c>
      <c r="C1046">
        <v>0.730162999270206</v>
      </c>
      <c r="D1046" t="s">
        <v>52</v>
      </c>
      <c r="E1046" t="b">
        <v>1</v>
      </c>
      <c r="F1046" t="s">
        <v>53</v>
      </c>
      <c r="G1046">
        <v>7.4999999999999997E-2</v>
      </c>
      <c r="H1046">
        <v>0.5</v>
      </c>
      <c r="I1046">
        <v>1E-4</v>
      </c>
      <c r="J1046" t="b">
        <v>1</v>
      </c>
      <c r="K1046">
        <v>6</v>
      </c>
      <c r="L1046">
        <v>1500</v>
      </c>
      <c r="M1046">
        <v>0.75</v>
      </c>
      <c r="N1046">
        <v>0.154</v>
      </c>
      <c r="O1046" t="s">
        <v>439</v>
      </c>
      <c r="P1046" t="s">
        <v>446</v>
      </c>
      <c r="Q1046">
        <v>-3.3353293921430598E-4</v>
      </c>
      <c r="R1046">
        <v>2.9249081132957299E-3</v>
      </c>
      <c r="S1046">
        <v>1.3647715570823001E-3</v>
      </c>
      <c r="T1046">
        <v>-1.81101088634886E-2</v>
      </c>
      <c r="U1046">
        <v>6.0013099169890598</v>
      </c>
      <c r="V1046" s="1">
        <v>9.9999999999981998E-15</v>
      </c>
      <c r="W1046">
        <v>0.58468736749796302</v>
      </c>
      <c r="X1046">
        <v>2.4999999999999898</v>
      </c>
      <c r="Y1046">
        <v>27.0194798394702</v>
      </c>
      <c r="Z1046">
        <v>0.49999999999999001</v>
      </c>
      <c r="AA1046">
        <v>48.538554803719698</v>
      </c>
      <c r="AB1046" s="9">
        <f t="shared" si="143"/>
        <v>-0.36860277233269889</v>
      </c>
      <c r="AC1046" s="9">
        <f t="shared" si="144"/>
        <v>-0.39297066731015617</v>
      </c>
      <c r="AD1046" s="2">
        <f t="shared" si="145"/>
        <v>6.6108821762911107E-2</v>
      </c>
      <c r="AE1046" s="8">
        <f t="shared" si="146"/>
        <v>1.1896338730849696E-2</v>
      </c>
      <c r="AF1046" s="2">
        <f t="shared" si="147"/>
        <v>-8.3859668044338025E-3</v>
      </c>
      <c r="AG1046" s="8">
        <f t="shared" si="148"/>
        <v>2.0282305535283499E-2</v>
      </c>
      <c r="AH1046" s="7">
        <f t="shared" si="149"/>
        <v>-0.41346220674200029</v>
      </c>
      <c r="AI1046">
        <f t="shared" si="150"/>
        <v>6</v>
      </c>
      <c r="AJ1046" s="10">
        <f t="shared" si="151"/>
        <v>0.730162999270206</v>
      </c>
    </row>
    <row r="1047" spans="1:36" hidden="1" x14ac:dyDescent="0.25">
      <c r="A1047" t="b">
        <v>0</v>
      </c>
      <c r="B1047">
        <v>1000</v>
      </c>
      <c r="C1047">
        <v>0.730162999270206</v>
      </c>
      <c r="D1047" t="s">
        <v>52</v>
      </c>
      <c r="E1047" t="b">
        <v>1</v>
      </c>
      <c r="F1047" t="s">
        <v>53</v>
      </c>
      <c r="G1047">
        <v>7.4999999999999997E-2</v>
      </c>
      <c r="H1047">
        <v>0.5</v>
      </c>
      <c r="I1047">
        <v>1E-4</v>
      </c>
      <c r="J1047" t="b">
        <v>1</v>
      </c>
      <c r="K1047">
        <v>6</v>
      </c>
      <c r="L1047">
        <v>1500</v>
      </c>
      <c r="M1047">
        <v>0.75</v>
      </c>
      <c r="N1047">
        <v>0.154</v>
      </c>
      <c r="O1047" t="s">
        <v>439</v>
      </c>
      <c r="P1047" t="s">
        <v>447</v>
      </c>
      <c r="Q1047">
        <v>-5.9288432407042795E-4</v>
      </c>
      <c r="R1047">
        <v>6.0719402374537898E-3</v>
      </c>
      <c r="S1047">
        <v>2.42576495324339E-3</v>
      </c>
      <c r="T1047">
        <v>-3.2179742555999598E-2</v>
      </c>
      <c r="U1047">
        <v>5.9995504172213101</v>
      </c>
      <c r="V1047" s="1">
        <v>9.9999999999966394E-15</v>
      </c>
      <c r="W1047">
        <v>0.69144090201992503</v>
      </c>
      <c r="X1047">
        <v>2.49999999999996</v>
      </c>
      <c r="Y1047">
        <v>31.072077859954199</v>
      </c>
      <c r="Z1047">
        <v>0.49999999999995898</v>
      </c>
      <c r="AA1047">
        <v>56.836584632264497</v>
      </c>
      <c r="AB1047" s="9">
        <f t="shared" si="143"/>
        <v>-0.36849478613807296</v>
      </c>
      <c r="AC1047" s="9">
        <f t="shared" si="144"/>
        <v>-0.39297066731015617</v>
      </c>
      <c r="AD1047" s="2">
        <f t="shared" si="145"/>
        <v>6.6421241474261317E-2</v>
      </c>
      <c r="AE1047" s="8">
        <f t="shared" si="146"/>
        <v>1.1859483153982329E-2</v>
      </c>
      <c r="AF1047" s="2">
        <f t="shared" si="147"/>
        <v>-8.4228223813011694E-3</v>
      </c>
      <c r="AG1047" s="8">
        <f t="shared" si="148"/>
        <v>2.0282305535283499E-2</v>
      </c>
      <c r="AH1047" s="7">
        <f t="shared" si="149"/>
        <v>-0.41527933629875863</v>
      </c>
      <c r="AI1047">
        <f t="shared" si="150"/>
        <v>6</v>
      </c>
      <c r="AJ1047" s="10">
        <f t="shared" si="151"/>
        <v>0.730162999270206</v>
      </c>
    </row>
    <row r="1048" spans="1:36" hidden="1" x14ac:dyDescent="0.25">
      <c r="A1048" t="b">
        <v>0</v>
      </c>
      <c r="B1048">
        <v>1000</v>
      </c>
      <c r="C1048">
        <v>0.730162999270206</v>
      </c>
      <c r="D1048" t="s">
        <v>52</v>
      </c>
      <c r="E1048" t="b">
        <v>1</v>
      </c>
      <c r="F1048" t="s">
        <v>53</v>
      </c>
      <c r="G1048">
        <v>7.4999999999999997E-2</v>
      </c>
      <c r="H1048">
        <v>0.5</v>
      </c>
      <c r="I1048">
        <v>1E-4</v>
      </c>
      <c r="J1048" t="b">
        <v>1</v>
      </c>
      <c r="K1048">
        <v>6</v>
      </c>
      <c r="L1048">
        <v>1500</v>
      </c>
      <c r="M1048">
        <v>0.75</v>
      </c>
      <c r="N1048">
        <v>0.154</v>
      </c>
      <c r="O1048" t="s">
        <v>440</v>
      </c>
      <c r="P1048" t="s">
        <v>441</v>
      </c>
      <c r="Q1048">
        <v>-2.5934211926342203E-4</v>
      </c>
      <c r="R1048">
        <v>2.6407947941844102E-3</v>
      </c>
      <c r="S1048">
        <v>1.0611087562269301E-3</v>
      </c>
      <c r="T1048">
        <v>-1.40772554406393E-2</v>
      </c>
      <c r="U1048">
        <v>6.0013099494161999</v>
      </c>
      <c r="V1048" s="1">
        <v>9.9999999999985595E-15</v>
      </c>
      <c r="W1048">
        <v>0.68340167783073202</v>
      </c>
      <c r="X1048">
        <v>2.4999999999999898</v>
      </c>
      <c r="Y1048">
        <v>30.973322670308701</v>
      </c>
      <c r="Z1048">
        <v>0.499999999999994</v>
      </c>
      <c r="AA1048">
        <v>56.4799623124985</v>
      </c>
      <c r="AB1048" s="9">
        <f t="shared" si="143"/>
        <v>-0.36851535816321584</v>
      </c>
      <c r="AC1048" s="9">
        <f t="shared" si="144"/>
        <v>-0.39297066731015617</v>
      </c>
      <c r="AD1048" s="2">
        <f t="shared" si="145"/>
        <v>6.6361709506036481E-2</v>
      </c>
      <c r="AE1048" s="8">
        <f t="shared" si="146"/>
        <v>1.1866504157936978E-2</v>
      </c>
      <c r="AF1048" s="2">
        <f t="shared" si="147"/>
        <v>-8.4158013773465209E-3</v>
      </c>
      <c r="AG1048" s="8">
        <f t="shared" si="148"/>
        <v>2.0282305535283499E-2</v>
      </c>
      <c r="AH1048" s="7">
        <f t="shared" si="149"/>
        <v>-0.41493317230165117</v>
      </c>
      <c r="AI1048">
        <f t="shared" si="150"/>
        <v>6</v>
      </c>
      <c r="AJ1048" s="10">
        <f t="shared" si="151"/>
        <v>0.730162999270206</v>
      </c>
    </row>
    <row r="1049" spans="1:36" hidden="1" x14ac:dyDescent="0.25">
      <c r="A1049" t="b">
        <v>0</v>
      </c>
      <c r="B1049">
        <v>1000</v>
      </c>
      <c r="C1049">
        <v>0.730162999270206</v>
      </c>
      <c r="D1049" t="s">
        <v>52</v>
      </c>
      <c r="E1049" t="b">
        <v>1</v>
      </c>
      <c r="F1049" t="s">
        <v>53</v>
      </c>
      <c r="G1049">
        <v>7.4999999999999997E-2</v>
      </c>
      <c r="H1049">
        <v>0.5</v>
      </c>
      <c r="I1049">
        <v>1E-4</v>
      </c>
      <c r="J1049" t="b">
        <v>1</v>
      </c>
      <c r="K1049">
        <v>6</v>
      </c>
      <c r="L1049">
        <v>1500</v>
      </c>
      <c r="M1049">
        <v>0.75</v>
      </c>
      <c r="N1049">
        <v>0.154</v>
      </c>
      <c r="O1049" t="s">
        <v>440</v>
      </c>
      <c r="P1049" t="s">
        <v>442</v>
      </c>
      <c r="Q1049" s="1">
        <v>-1E-10</v>
      </c>
      <c r="R1049" s="1">
        <v>3.5857859007775202E-12</v>
      </c>
      <c r="S1049" s="1">
        <v>-3.7417851159151198E-19</v>
      </c>
      <c r="T1049" s="1">
        <v>5.1287857822902396E-16</v>
      </c>
      <c r="U1049">
        <v>6.0030692222469799</v>
      </c>
      <c r="V1049">
        <v>0</v>
      </c>
      <c r="W1049">
        <v>6.8474547663291099E-2</v>
      </c>
      <c r="X1049">
        <v>2</v>
      </c>
      <c r="Y1049">
        <v>4.0005663791629004E-3</v>
      </c>
      <c r="Z1049">
        <v>2.5000000000000001E-4</v>
      </c>
      <c r="AA1049">
        <v>4.7933529395578602E-3</v>
      </c>
      <c r="AB1049" s="9">
        <f t="shared" si="143"/>
        <v>-38.074412965171511</v>
      </c>
      <c r="AC1049" s="9">
        <f t="shared" si="144"/>
        <v>-0.39297066731015617</v>
      </c>
      <c r="AD1049" s="2">
        <f t="shared" si="145"/>
        <v>-0.98967887784193476</v>
      </c>
      <c r="AE1049" s="8">
        <f t="shared" si="146"/>
        <v>-1.0863531022003898</v>
      </c>
      <c r="AF1049" s="2">
        <f t="shared" si="147"/>
        <v>-1.1066354077356733</v>
      </c>
      <c r="AG1049" s="8">
        <f t="shared" si="148"/>
        <v>2.0282305535283499E-2</v>
      </c>
      <c r="AH1049" s="7">
        <f t="shared" si="149"/>
        <v>-54.561618047344197</v>
      </c>
      <c r="AI1049">
        <f t="shared" si="150"/>
        <v>6</v>
      </c>
      <c r="AJ1049" s="10">
        <f t="shared" si="151"/>
        <v>0.730162999270206</v>
      </c>
    </row>
    <row r="1050" spans="1:36" hidden="1" x14ac:dyDescent="0.25">
      <c r="A1050" t="b">
        <v>0</v>
      </c>
      <c r="B1050">
        <v>1000</v>
      </c>
      <c r="C1050">
        <v>0.730162999270206</v>
      </c>
      <c r="D1050" t="s">
        <v>52</v>
      </c>
      <c r="E1050" t="b">
        <v>1</v>
      </c>
      <c r="F1050" t="s">
        <v>53</v>
      </c>
      <c r="G1050">
        <v>7.4999999999999997E-2</v>
      </c>
      <c r="H1050">
        <v>0.5</v>
      </c>
      <c r="I1050">
        <v>1E-4</v>
      </c>
      <c r="J1050" t="b">
        <v>1</v>
      </c>
      <c r="K1050">
        <v>6</v>
      </c>
      <c r="L1050">
        <v>1500</v>
      </c>
      <c r="M1050">
        <v>0.75</v>
      </c>
      <c r="N1050">
        <v>0.154</v>
      </c>
      <c r="O1050" t="s">
        <v>440</v>
      </c>
      <c r="P1050" t="s">
        <v>443</v>
      </c>
      <c r="Q1050" s="1">
        <v>-3.70949118519879E-5</v>
      </c>
      <c r="R1050">
        <v>3.8652005383803999E-4</v>
      </c>
      <c r="S1050">
        <v>1.51837592686044E-4</v>
      </c>
      <c r="T1050">
        <v>-2.01683595407389E-3</v>
      </c>
      <c r="U1050">
        <v>6.0028172361019099</v>
      </c>
      <c r="V1050" s="1">
        <v>9.9999999999995803E-15</v>
      </c>
      <c r="W1050">
        <v>0.70862206285199902</v>
      </c>
      <c r="X1050">
        <v>2.4999999999999898</v>
      </c>
      <c r="Y1050">
        <v>31.510416515281499</v>
      </c>
      <c r="Z1050">
        <v>0.499999999999999</v>
      </c>
      <c r="AA1050">
        <v>57.866125582878702</v>
      </c>
      <c r="AB1050" s="9">
        <f t="shared" si="143"/>
        <v>-0.36896805300606078</v>
      </c>
      <c r="AC1050" s="9">
        <f t="shared" si="144"/>
        <v>-0.39297066731015617</v>
      </c>
      <c r="AD1050" s="2">
        <f t="shared" si="145"/>
        <v>6.5053367381108007E-2</v>
      </c>
      <c r="AE1050" s="8">
        <f t="shared" si="146"/>
        <v>1.2021028551782685E-2</v>
      </c>
      <c r="AF1050" s="2">
        <f t="shared" si="147"/>
        <v>-8.2612769835008135E-3</v>
      </c>
      <c r="AG1050" s="8">
        <f t="shared" si="148"/>
        <v>2.0282305535283499E-2</v>
      </c>
      <c r="AH1050" s="7">
        <f t="shared" si="149"/>
        <v>-0.40731449238496742</v>
      </c>
      <c r="AI1050">
        <f t="shared" si="150"/>
        <v>6</v>
      </c>
      <c r="AJ1050" s="10">
        <f t="shared" si="151"/>
        <v>0.730162999270206</v>
      </c>
    </row>
    <row r="1051" spans="1:36" hidden="1" x14ac:dyDescent="0.25">
      <c r="A1051" t="b">
        <v>0</v>
      </c>
      <c r="B1051">
        <v>1000</v>
      </c>
      <c r="C1051">
        <v>0.730162999270206</v>
      </c>
      <c r="D1051" t="s">
        <v>52</v>
      </c>
      <c r="E1051" t="b">
        <v>1</v>
      </c>
      <c r="F1051" t="s">
        <v>53</v>
      </c>
      <c r="G1051">
        <v>7.4999999999999997E-2</v>
      </c>
      <c r="H1051">
        <v>0.5</v>
      </c>
      <c r="I1051">
        <v>1E-4</v>
      </c>
      <c r="J1051" t="b">
        <v>1</v>
      </c>
      <c r="K1051">
        <v>6</v>
      </c>
      <c r="L1051">
        <v>1500</v>
      </c>
      <c r="M1051">
        <v>0.75</v>
      </c>
      <c r="N1051">
        <v>0.154</v>
      </c>
      <c r="O1051" t="s">
        <v>440</v>
      </c>
      <c r="P1051" t="s">
        <v>444</v>
      </c>
      <c r="Q1051">
        <v>-2.9643819437332098E-4</v>
      </c>
      <c r="R1051">
        <v>3.1048087614847899E-3</v>
      </c>
      <c r="S1051">
        <v>1.2129318935581901E-3</v>
      </c>
      <c r="T1051">
        <v>-1.6093135979959702E-2</v>
      </c>
      <c r="U1051">
        <v>6.0010579349154201</v>
      </c>
      <c r="V1051" s="1">
        <v>9.9999999999983907E-15</v>
      </c>
      <c r="W1051">
        <v>0.709811607610633</v>
      </c>
      <c r="X1051">
        <v>2.4999999999999898</v>
      </c>
      <c r="Y1051">
        <v>31.6985574002248</v>
      </c>
      <c r="Z1051">
        <v>0.49999999999999201</v>
      </c>
      <c r="AA1051">
        <v>58.153968797981598</v>
      </c>
      <c r="AB1051" s="9">
        <f t="shared" si="143"/>
        <v>-0.36855453910729769</v>
      </c>
      <c r="AC1051" s="9">
        <f t="shared" si="144"/>
        <v>-0.39297066731015617</v>
      </c>
      <c r="AD1051" s="2">
        <f t="shared" si="145"/>
        <v>6.6248344850123209E-2</v>
      </c>
      <c r="AE1051" s="8">
        <f t="shared" si="146"/>
        <v>1.1879876448981056E-2</v>
      </c>
      <c r="AF1051" s="2">
        <f t="shared" si="147"/>
        <v>-8.4024290863024421E-3</v>
      </c>
      <c r="AG1051" s="8">
        <f t="shared" si="148"/>
        <v>2.0282305535283499E-2</v>
      </c>
      <c r="AH1051" s="7">
        <f t="shared" si="149"/>
        <v>-0.41427386406764316</v>
      </c>
      <c r="AI1051">
        <f t="shared" si="150"/>
        <v>6</v>
      </c>
      <c r="AJ1051" s="10">
        <f t="shared" si="151"/>
        <v>0.730162999270206</v>
      </c>
    </row>
    <row r="1052" spans="1:36" hidden="1" x14ac:dyDescent="0.25">
      <c r="A1052" t="b">
        <v>0</v>
      </c>
      <c r="B1052">
        <v>1000</v>
      </c>
      <c r="C1052">
        <v>0.730162999270206</v>
      </c>
      <c r="D1052" t="s">
        <v>52</v>
      </c>
      <c r="E1052" t="b">
        <v>1</v>
      </c>
      <c r="F1052" t="s">
        <v>53</v>
      </c>
      <c r="G1052">
        <v>7.4999999999999997E-2</v>
      </c>
      <c r="H1052">
        <v>0.5</v>
      </c>
      <c r="I1052">
        <v>1E-4</v>
      </c>
      <c r="J1052" t="b">
        <v>1</v>
      </c>
      <c r="K1052">
        <v>6</v>
      </c>
      <c r="L1052">
        <v>1500</v>
      </c>
      <c r="M1052">
        <v>0.75</v>
      </c>
      <c r="N1052">
        <v>0.154</v>
      </c>
      <c r="O1052" t="s">
        <v>440</v>
      </c>
      <c r="P1052" t="s">
        <v>445</v>
      </c>
      <c r="Q1052">
        <v>-2.59342119263421E-4</v>
      </c>
      <c r="R1052">
        <v>2.63423402140562E-3</v>
      </c>
      <c r="S1052">
        <v>1.0611087562269301E-3</v>
      </c>
      <c r="T1052">
        <v>-1.40772554406393E-2</v>
      </c>
      <c r="U1052">
        <v>6.00130994944805</v>
      </c>
      <c r="V1052" s="1">
        <v>9.9999999999985595E-15</v>
      </c>
      <c r="W1052">
        <v>0.67996694763611398</v>
      </c>
      <c r="X1052">
        <v>2.4999999999999898</v>
      </c>
      <c r="Y1052">
        <v>30.929825230282901</v>
      </c>
      <c r="Z1052">
        <v>0.499999999999994</v>
      </c>
      <c r="AA1052">
        <v>56.326256386540202</v>
      </c>
      <c r="AB1052" s="9">
        <f t="shared" si="143"/>
        <v>-0.36851535816321584</v>
      </c>
      <c r="AC1052" s="9">
        <f t="shared" si="144"/>
        <v>-0.39297066731015617</v>
      </c>
      <c r="AD1052" s="2">
        <f t="shared" si="145"/>
        <v>6.6361709506036481E-2</v>
      </c>
      <c r="AE1052" s="8">
        <f t="shared" si="146"/>
        <v>1.1866504157936978E-2</v>
      </c>
      <c r="AF1052" s="2">
        <f t="shared" si="147"/>
        <v>-8.4158013773465209E-3</v>
      </c>
      <c r="AG1052" s="8">
        <f t="shared" si="148"/>
        <v>2.0282305535283499E-2</v>
      </c>
      <c r="AH1052" s="7">
        <f t="shared" si="149"/>
        <v>-0.41493317230165117</v>
      </c>
      <c r="AI1052">
        <f t="shared" si="150"/>
        <v>6</v>
      </c>
      <c r="AJ1052" s="10">
        <f t="shared" si="151"/>
        <v>0.730162999270206</v>
      </c>
    </row>
    <row r="1053" spans="1:36" hidden="1" x14ac:dyDescent="0.25">
      <c r="A1053" t="b">
        <v>0</v>
      </c>
      <c r="B1053">
        <v>1000</v>
      </c>
      <c r="C1053">
        <v>0.730162999270206</v>
      </c>
      <c r="D1053" t="s">
        <v>52</v>
      </c>
      <c r="E1053" t="b">
        <v>1</v>
      </c>
      <c r="F1053" t="s">
        <v>53</v>
      </c>
      <c r="G1053">
        <v>7.4999999999999997E-2</v>
      </c>
      <c r="H1053">
        <v>0.5</v>
      </c>
      <c r="I1053">
        <v>1E-4</v>
      </c>
      <c r="J1053" t="b">
        <v>1</v>
      </c>
      <c r="K1053">
        <v>6</v>
      </c>
      <c r="L1053">
        <v>1500</v>
      </c>
      <c r="M1053">
        <v>0.75</v>
      </c>
      <c r="N1053">
        <v>0.154</v>
      </c>
      <c r="O1053" t="s">
        <v>440</v>
      </c>
      <c r="P1053" t="s">
        <v>446</v>
      </c>
      <c r="Q1053">
        <v>-2.9643819437332001E-4</v>
      </c>
      <c r="R1053">
        <v>3.1145694500006702E-3</v>
      </c>
      <c r="S1053">
        <v>1.2129318935581901E-3</v>
      </c>
      <c r="T1053">
        <v>-1.6093135979959702E-2</v>
      </c>
      <c r="U1053">
        <v>6.0010579349012003</v>
      </c>
      <c r="V1053" s="1">
        <v>9.9999999999983907E-15</v>
      </c>
      <c r="W1053">
        <v>0.70915838091025196</v>
      </c>
      <c r="X1053">
        <v>2.4999999999999898</v>
      </c>
      <c r="Y1053">
        <v>31.838079319202201</v>
      </c>
      <c r="Z1053">
        <v>0.49999999999999201</v>
      </c>
      <c r="AA1053">
        <v>58.318784576198603</v>
      </c>
      <c r="AB1053" s="9">
        <f t="shared" si="143"/>
        <v>-0.36855453910729769</v>
      </c>
      <c r="AC1053" s="9">
        <f t="shared" si="144"/>
        <v>-0.39297066731015617</v>
      </c>
      <c r="AD1053" s="2">
        <f t="shared" si="145"/>
        <v>6.6248344850123209E-2</v>
      </c>
      <c r="AE1053" s="8">
        <f t="shared" si="146"/>
        <v>1.1879876448981056E-2</v>
      </c>
      <c r="AF1053" s="2">
        <f t="shared" si="147"/>
        <v>-8.4024290863024421E-3</v>
      </c>
      <c r="AG1053" s="8">
        <f t="shared" si="148"/>
        <v>2.0282305535283499E-2</v>
      </c>
      <c r="AH1053" s="7">
        <f t="shared" si="149"/>
        <v>-0.41427386406764316</v>
      </c>
      <c r="AI1053">
        <f t="shared" si="150"/>
        <v>6</v>
      </c>
      <c r="AJ1053" s="10">
        <f t="shared" si="151"/>
        <v>0.730162999270206</v>
      </c>
    </row>
    <row r="1054" spans="1:36" hidden="1" x14ac:dyDescent="0.25">
      <c r="A1054" t="b">
        <v>0</v>
      </c>
      <c r="B1054">
        <v>1000</v>
      </c>
      <c r="C1054">
        <v>0.730162999270206</v>
      </c>
      <c r="D1054" t="s">
        <v>52</v>
      </c>
      <c r="E1054" t="b">
        <v>1</v>
      </c>
      <c r="F1054" t="s">
        <v>53</v>
      </c>
      <c r="G1054">
        <v>7.4999999999999997E-2</v>
      </c>
      <c r="H1054">
        <v>0.5</v>
      </c>
      <c r="I1054">
        <v>1E-4</v>
      </c>
      <c r="J1054" t="b">
        <v>1</v>
      </c>
      <c r="K1054">
        <v>6</v>
      </c>
      <c r="L1054">
        <v>1500</v>
      </c>
      <c r="M1054">
        <v>0.75</v>
      </c>
      <c r="N1054">
        <v>0.154</v>
      </c>
      <c r="O1054" t="s">
        <v>440</v>
      </c>
      <c r="P1054" t="s">
        <v>447</v>
      </c>
      <c r="Q1054">
        <v>-5.55789579231321E-4</v>
      </c>
      <c r="R1054">
        <v>5.8096853383063397E-3</v>
      </c>
      <c r="S1054">
        <v>2.2739252897192798E-3</v>
      </c>
      <c r="T1054">
        <v>-3.01627696724708E-2</v>
      </c>
      <c r="U1054">
        <v>5.99929843513344</v>
      </c>
      <c r="V1054" s="1">
        <v>9.9999999999969092E-15</v>
      </c>
      <c r="W1054">
        <v>0.70351366715233898</v>
      </c>
      <c r="X1054">
        <v>2.49999999999996</v>
      </c>
      <c r="Y1054">
        <v>31.709406899854901</v>
      </c>
      <c r="Z1054">
        <v>0.49999999999996497</v>
      </c>
      <c r="AA1054">
        <v>58.008472325560497</v>
      </c>
      <c r="AB1054" s="9">
        <f t="shared" si="143"/>
        <v>-0.36846184741083715</v>
      </c>
      <c r="AC1054" s="9">
        <f t="shared" si="144"/>
        <v>-0.39297066731015617</v>
      </c>
      <c r="AD1054" s="2">
        <f t="shared" si="145"/>
        <v>6.6516574433801656E-2</v>
      </c>
      <c r="AE1054" s="8">
        <f t="shared" si="146"/>
        <v>1.1848241734691527E-2</v>
      </c>
      <c r="AF1054" s="2">
        <f t="shared" si="147"/>
        <v>-8.4340638005919715E-3</v>
      </c>
      <c r="AG1054" s="8">
        <f t="shared" si="148"/>
        <v>2.0282305535283499E-2</v>
      </c>
      <c r="AH1054" s="7">
        <f t="shared" si="149"/>
        <v>-0.41583358390494157</v>
      </c>
      <c r="AI1054">
        <f t="shared" si="150"/>
        <v>6</v>
      </c>
      <c r="AJ1054" s="10">
        <f t="shared" si="151"/>
        <v>0.730162999270206</v>
      </c>
    </row>
    <row r="1055" spans="1:36" hidden="1" x14ac:dyDescent="0.25">
      <c r="A1055" t="b">
        <v>0</v>
      </c>
      <c r="B1055">
        <v>1000</v>
      </c>
      <c r="C1055">
        <v>0.730162999270206</v>
      </c>
      <c r="D1055" t="s">
        <v>52</v>
      </c>
      <c r="E1055" t="b">
        <v>1</v>
      </c>
      <c r="F1055" t="s">
        <v>53</v>
      </c>
      <c r="G1055">
        <v>7.4999999999999997E-2</v>
      </c>
      <c r="H1055">
        <v>0.5</v>
      </c>
      <c r="I1055">
        <v>1E-4</v>
      </c>
      <c r="J1055" t="b">
        <v>1</v>
      </c>
      <c r="K1055">
        <v>6</v>
      </c>
      <c r="L1055">
        <v>1500</v>
      </c>
      <c r="M1055">
        <v>0.75</v>
      </c>
      <c r="N1055">
        <v>0.154</v>
      </c>
      <c r="O1055" t="s">
        <v>441</v>
      </c>
      <c r="P1055" t="s">
        <v>444</v>
      </c>
      <c r="Q1055" s="1">
        <v>-3.7096075111446799E-5</v>
      </c>
      <c r="R1055">
        <v>3.8615048341748902E-4</v>
      </c>
      <c r="S1055">
        <v>1.5182313733126199E-4</v>
      </c>
      <c r="T1055">
        <v>-2.0158805393201201E-3</v>
      </c>
      <c r="U1055">
        <v>5.9992986620276101</v>
      </c>
      <c r="V1055" s="1">
        <v>9.9999999999995803E-15</v>
      </c>
      <c r="W1055">
        <v>0.70860116590731903</v>
      </c>
      <c r="X1055">
        <v>2.4999999999999898</v>
      </c>
      <c r="Y1055">
        <v>31.469979483645002</v>
      </c>
      <c r="Z1055">
        <v>0.499999999999999</v>
      </c>
      <c r="AA1055">
        <v>57.812701895184802</v>
      </c>
      <c r="AB1055" s="9">
        <f t="shared" si="143"/>
        <v>-0.36882837907375271</v>
      </c>
      <c r="AC1055" s="9">
        <f t="shared" si="144"/>
        <v>-0.39297066731015617</v>
      </c>
      <c r="AD1055" s="2">
        <f t="shared" si="145"/>
        <v>6.5456699121235085E-2</v>
      </c>
      <c r="AE1055" s="8">
        <f t="shared" si="146"/>
        <v>1.1973346743582912E-2</v>
      </c>
      <c r="AF1055" s="2">
        <f t="shared" si="147"/>
        <v>-8.308958791700587E-3</v>
      </c>
      <c r="AG1055" s="8">
        <f t="shared" si="148"/>
        <v>2.0282305535283499E-2</v>
      </c>
      <c r="AH1055" s="7">
        <f t="shared" si="149"/>
        <v>-0.40966539909608196</v>
      </c>
      <c r="AI1055">
        <f t="shared" si="150"/>
        <v>6</v>
      </c>
      <c r="AJ1055" s="10">
        <f t="shared" si="151"/>
        <v>0.730162999270206</v>
      </c>
    </row>
    <row r="1056" spans="1:36" hidden="1" x14ac:dyDescent="0.25">
      <c r="A1056" t="b">
        <v>0</v>
      </c>
      <c r="B1056">
        <v>1000</v>
      </c>
      <c r="C1056">
        <v>0.730162999270206</v>
      </c>
      <c r="D1056" t="s">
        <v>52</v>
      </c>
      <c r="E1056" t="b">
        <v>1</v>
      </c>
      <c r="F1056" t="s">
        <v>53</v>
      </c>
      <c r="G1056">
        <v>7.4999999999999997E-2</v>
      </c>
      <c r="H1056">
        <v>0.5</v>
      </c>
      <c r="I1056">
        <v>1E-4</v>
      </c>
      <c r="J1056" t="b">
        <v>1</v>
      </c>
      <c r="K1056">
        <v>6</v>
      </c>
      <c r="L1056">
        <v>1500</v>
      </c>
      <c r="M1056">
        <v>0.75</v>
      </c>
      <c r="N1056">
        <v>0.154</v>
      </c>
      <c r="O1056" t="s">
        <v>441</v>
      </c>
      <c r="P1056" t="s">
        <v>445</v>
      </c>
      <c r="Q1056" s="1">
        <v>-1E-10</v>
      </c>
      <c r="R1056" s="1">
        <v>3.5857858920757901E-12</v>
      </c>
      <c r="S1056" s="1">
        <v>6.3417511372904598E-20</v>
      </c>
      <c r="T1056" s="1">
        <v>5.27128116772156E-16</v>
      </c>
      <c r="U1056">
        <v>5.99955067656024</v>
      </c>
      <c r="V1056">
        <v>0</v>
      </c>
      <c r="W1056">
        <v>6.8474547497121896E-2</v>
      </c>
      <c r="X1056">
        <v>2</v>
      </c>
      <c r="Y1056">
        <v>4.0005663694546098E-3</v>
      </c>
      <c r="Z1056">
        <v>2.5000000000000001E-4</v>
      </c>
      <c r="AA1056">
        <v>4.7933529279256901E-3</v>
      </c>
      <c r="AB1056" s="9">
        <f t="shared" si="143"/>
        <v>230.88966077548562</v>
      </c>
      <c r="AC1056" s="9">
        <f t="shared" si="144"/>
        <v>-0.39297066731015617</v>
      </c>
      <c r="AD1056" s="2">
        <f t="shared" si="145"/>
        <v>-1.0017019846882285</v>
      </c>
      <c r="AE1056" s="8">
        <f t="shared" si="146"/>
        <v>-0.98719169306406263</v>
      </c>
      <c r="AF1056" s="2">
        <f t="shared" si="147"/>
        <v>-1.0074739985993462</v>
      </c>
      <c r="AG1056" s="8">
        <f t="shared" si="148"/>
        <v>2.0282305535283499E-2</v>
      </c>
      <c r="AH1056" s="7">
        <f t="shared" si="149"/>
        <v>-49.672558025847927</v>
      </c>
      <c r="AI1056">
        <f t="shared" si="150"/>
        <v>6</v>
      </c>
      <c r="AJ1056" s="10">
        <f t="shared" si="151"/>
        <v>0.730162999270206</v>
      </c>
    </row>
    <row r="1057" spans="1:36" hidden="1" x14ac:dyDescent="0.25">
      <c r="A1057" t="b">
        <v>0</v>
      </c>
      <c r="B1057">
        <v>1000</v>
      </c>
      <c r="C1057">
        <v>0.730162999270206</v>
      </c>
      <c r="D1057" t="s">
        <v>52</v>
      </c>
      <c r="E1057" t="b">
        <v>1</v>
      </c>
      <c r="F1057" t="s">
        <v>53</v>
      </c>
      <c r="G1057">
        <v>7.4999999999999997E-2</v>
      </c>
      <c r="H1057">
        <v>0.5</v>
      </c>
      <c r="I1057">
        <v>1E-4</v>
      </c>
      <c r="J1057" t="b">
        <v>1</v>
      </c>
      <c r="K1057">
        <v>6</v>
      </c>
      <c r="L1057">
        <v>1500</v>
      </c>
      <c r="M1057">
        <v>0.75</v>
      </c>
      <c r="N1057">
        <v>0.154</v>
      </c>
      <c r="O1057" t="s">
        <v>441</v>
      </c>
      <c r="P1057" t="s">
        <v>446</v>
      </c>
      <c r="Q1057" s="1">
        <v>-3.7096075111445999E-5</v>
      </c>
      <c r="R1057">
        <v>3.9096863517486301E-4</v>
      </c>
      <c r="S1057">
        <v>1.5182313733126199E-4</v>
      </c>
      <c r="T1057">
        <v>-2.0158805393201999E-3</v>
      </c>
      <c r="U1057">
        <v>5.9992986620133903</v>
      </c>
      <c r="V1057" s="1">
        <v>9.9999999999995803E-15</v>
      </c>
      <c r="W1057">
        <v>0.71847254949224904</v>
      </c>
      <c r="X1057">
        <v>2.4999999999999898</v>
      </c>
      <c r="Y1057">
        <v>31.822551190859599</v>
      </c>
      <c r="Z1057">
        <v>0.499999999999999</v>
      </c>
      <c r="AA1057">
        <v>58.547473528833301</v>
      </c>
      <c r="AB1057" s="9">
        <f t="shared" si="143"/>
        <v>-0.36882837907376731</v>
      </c>
      <c r="AC1057" s="9">
        <f t="shared" si="144"/>
        <v>-0.39297066731015617</v>
      </c>
      <c r="AD1057" s="2">
        <f t="shared" si="145"/>
        <v>6.5456699121192896E-2</v>
      </c>
      <c r="AE1057" s="8">
        <f t="shared" si="146"/>
        <v>1.1973346743587914E-2</v>
      </c>
      <c r="AF1057" s="2">
        <f t="shared" si="147"/>
        <v>-8.3089587916955841E-3</v>
      </c>
      <c r="AG1057" s="8">
        <f t="shared" si="148"/>
        <v>2.0282305535283499E-2</v>
      </c>
      <c r="AH1057" s="7">
        <f t="shared" si="149"/>
        <v>-0.40966539909583533</v>
      </c>
      <c r="AI1057">
        <f t="shared" si="150"/>
        <v>6</v>
      </c>
      <c r="AJ1057" s="10">
        <f t="shared" si="151"/>
        <v>0.730162999270206</v>
      </c>
    </row>
    <row r="1058" spans="1:36" hidden="1" x14ac:dyDescent="0.25">
      <c r="A1058" t="b">
        <v>0</v>
      </c>
      <c r="B1058">
        <v>1000</v>
      </c>
      <c r="C1058">
        <v>0.730162999270206</v>
      </c>
      <c r="D1058" t="s">
        <v>52</v>
      </c>
      <c r="E1058" t="b">
        <v>1</v>
      </c>
      <c r="F1058" t="s">
        <v>53</v>
      </c>
      <c r="G1058">
        <v>7.4999999999999997E-2</v>
      </c>
      <c r="H1058">
        <v>0.5</v>
      </c>
      <c r="I1058">
        <v>1E-4</v>
      </c>
      <c r="J1058" t="b">
        <v>1</v>
      </c>
      <c r="K1058">
        <v>6</v>
      </c>
      <c r="L1058">
        <v>1500</v>
      </c>
      <c r="M1058">
        <v>0.75</v>
      </c>
      <c r="N1058">
        <v>0.154</v>
      </c>
      <c r="O1058" t="s">
        <v>441</v>
      </c>
      <c r="P1058" t="s">
        <v>447</v>
      </c>
      <c r="Q1058">
        <v>-2.9644745998094702E-4</v>
      </c>
      <c r="R1058">
        <v>3.0487750586568199E-3</v>
      </c>
      <c r="S1058">
        <v>1.2128165334923499E-3</v>
      </c>
      <c r="T1058">
        <v>-1.6085514231831799E-2</v>
      </c>
      <c r="U1058">
        <v>5.99753916224563</v>
      </c>
      <c r="V1058" s="1">
        <v>9.9999999999984002E-15</v>
      </c>
      <c r="W1058">
        <v>0.69460866222705897</v>
      </c>
      <c r="X1058">
        <v>2.4999999999999898</v>
      </c>
      <c r="Y1058">
        <v>31.196184142859799</v>
      </c>
      <c r="Z1058">
        <v>0.49999999999999201</v>
      </c>
      <c r="AA1058">
        <v>57.076864882167499</v>
      </c>
      <c r="AB1058" s="9">
        <f t="shared" si="143"/>
        <v>-0.3684150301665754</v>
      </c>
      <c r="AC1058" s="9">
        <f t="shared" si="144"/>
        <v>-0.39297066731015617</v>
      </c>
      <c r="AD1058" s="2">
        <f t="shared" si="145"/>
        <v>6.6652104645345656E-2</v>
      </c>
      <c r="AE1058" s="8">
        <f t="shared" si="146"/>
        <v>1.1832264246799701E-2</v>
      </c>
      <c r="AF1058" s="2">
        <f t="shared" si="147"/>
        <v>-8.4500412884837978E-3</v>
      </c>
      <c r="AG1058" s="8">
        <f t="shared" si="148"/>
        <v>2.0282305535283499E-2</v>
      </c>
      <c r="AH1058" s="7">
        <f t="shared" si="149"/>
        <v>-0.41662133891948028</v>
      </c>
      <c r="AI1058">
        <f t="shared" si="150"/>
        <v>6</v>
      </c>
      <c r="AJ1058" s="10">
        <f t="shared" si="151"/>
        <v>0.730162999270206</v>
      </c>
    </row>
    <row r="1059" spans="1:36" hidden="1" x14ac:dyDescent="0.25">
      <c r="A1059" t="b">
        <v>0</v>
      </c>
      <c r="B1059">
        <v>1000</v>
      </c>
      <c r="C1059">
        <v>0.730162999270206</v>
      </c>
      <c r="D1059" t="s">
        <v>52</v>
      </c>
      <c r="E1059" t="b">
        <v>1</v>
      </c>
      <c r="F1059" t="s">
        <v>53</v>
      </c>
      <c r="G1059">
        <v>7.4999999999999997E-2</v>
      </c>
      <c r="H1059">
        <v>0.5</v>
      </c>
      <c r="I1059">
        <v>1E-4</v>
      </c>
      <c r="J1059" t="b">
        <v>1</v>
      </c>
      <c r="K1059">
        <v>6</v>
      </c>
      <c r="L1059">
        <v>1500</v>
      </c>
      <c r="M1059">
        <v>0.75</v>
      </c>
      <c r="N1059">
        <v>0.154</v>
      </c>
      <c r="O1059" t="s">
        <v>442</v>
      </c>
      <c r="P1059" t="s">
        <v>443</v>
      </c>
      <c r="Q1059" s="1">
        <v>-3.7094911851986897E-5</v>
      </c>
      <c r="R1059">
        <v>3.83956912315465E-4</v>
      </c>
      <c r="S1059">
        <v>1.51837592686043E-4</v>
      </c>
      <c r="T1059">
        <v>-2.0168359540740002E-3</v>
      </c>
      <c r="U1059">
        <v>6.0028172360448702</v>
      </c>
      <c r="V1059" s="1">
        <v>9.9999999999995803E-15</v>
      </c>
      <c r="W1059">
        <v>0.70147812032676304</v>
      </c>
      <c r="X1059">
        <v>2.4999999999999898</v>
      </c>
      <c r="Y1059">
        <v>31.350183013795501</v>
      </c>
      <c r="Z1059">
        <v>0.499999999999999</v>
      </c>
      <c r="AA1059">
        <v>57.464211578533003</v>
      </c>
      <c r="AB1059" s="9">
        <f t="shared" si="143"/>
        <v>-0.36896805300608332</v>
      </c>
      <c r="AC1059" s="9">
        <f t="shared" si="144"/>
        <v>-0.39297066731015617</v>
      </c>
      <c r="AD1059" s="2">
        <f t="shared" si="145"/>
        <v>6.5053367381042948E-2</v>
      </c>
      <c r="AE1059" s="8">
        <f t="shared" si="146"/>
        <v>1.2021028551790392E-2</v>
      </c>
      <c r="AF1059" s="2">
        <f t="shared" si="147"/>
        <v>-8.2612769834931061E-3</v>
      </c>
      <c r="AG1059" s="8">
        <f t="shared" si="148"/>
        <v>2.0282305535283499E-2</v>
      </c>
      <c r="AH1059" s="7">
        <f t="shared" si="149"/>
        <v>-0.40731449238458745</v>
      </c>
      <c r="AI1059">
        <f t="shared" si="150"/>
        <v>6</v>
      </c>
      <c r="AJ1059" s="10">
        <f t="shared" si="151"/>
        <v>0.730162999270206</v>
      </c>
    </row>
    <row r="1060" spans="1:36" hidden="1" x14ac:dyDescent="0.25">
      <c r="A1060" t="b">
        <v>0</v>
      </c>
      <c r="B1060">
        <v>1000</v>
      </c>
      <c r="C1060">
        <v>0.730162999270206</v>
      </c>
      <c r="D1060" t="s">
        <v>52</v>
      </c>
      <c r="E1060" t="b">
        <v>1</v>
      </c>
      <c r="F1060" t="s">
        <v>53</v>
      </c>
      <c r="G1060">
        <v>7.4999999999999997E-2</v>
      </c>
      <c r="H1060">
        <v>0.5</v>
      </c>
      <c r="I1060">
        <v>1E-4</v>
      </c>
      <c r="J1060" t="b">
        <v>1</v>
      </c>
      <c r="K1060">
        <v>6</v>
      </c>
      <c r="L1060">
        <v>1500</v>
      </c>
      <c r="M1060">
        <v>0.75</v>
      </c>
      <c r="N1060">
        <v>0.154</v>
      </c>
      <c r="O1060" t="s">
        <v>442</v>
      </c>
      <c r="P1060" t="s">
        <v>444</v>
      </c>
      <c r="Q1060">
        <v>-2.9643819437332001E-4</v>
      </c>
      <c r="R1060">
        <v>3.0637373889551098E-3</v>
      </c>
      <c r="S1060">
        <v>1.2129318935582001E-3</v>
      </c>
      <c r="T1060">
        <v>-1.609313597996E-2</v>
      </c>
      <c r="U1060">
        <v>6.0010579348583803</v>
      </c>
      <c r="V1060" s="1">
        <v>9.9999999999983797E-15</v>
      </c>
      <c r="W1060">
        <v>0.701618621006594</v>
      </c>
      <c r="X1060">
        <v>2.4999999999999898</v>
      </c>
      <c r="Y1060">
        <v>31.286488685275199</v>
      </c>
      <c r="Z1060">
        <v>0.49999999999999201</v>
      </c>
      <c r="AA1060">
        <v>57.384440143624602</v>
      </c>
      <c r="AB1060" s="9">
        <f t="shared" ref="AB1060:AB1123" si="152">T1060/S1060/K1060^2</f>
        <v>-0.36855453910730146</v>
      </c>
      <c r="AC1060" s="9">
        <f t="shared" ref="AC1060:AC1123" si="153">(1+10*C1060/K1060^2)/(-3-3*C1060/K1060^2)</f>
        <v>-0.39297066731015617</v>
      </c>
      <c r="AD1060" s="2">
        <f t="shared" ref="AD1060:AD1123" si="154">(AC1060/AB1060-1)</f>
        <v>6.6248344850112328E-2</v>
      </c>
      <c r="AE1060" s="8">
        <f t="shared" ref="AE1060:AE1123" si="155">-(1+3*AB1060)/(10+3*AB1060)</f>
        <v>1.1879876448982344E-2</v>
      </c>
      <c r="AF1060" s="2">
        <f t="shared" ref="AF1060:AF1123" si="156">(AE1060-C1060/K1060^2)</f>
        <v>-8.4024290863011549E-3</v>
      </c>
      <c r="AG1060" s="8">
        <f t="shared" ref="AG1060:AG1123" si="157">C1060/K1060^2</f>
        <v>2.0282305535283499E-2</v>
      </c>
      <c r="AH1060" s="7">
        <f t="shared" ref="AH1060:AH1123" si="158">AF1060/AG1060</f>
        <v>-0.41427386406757966</v>
      </c>
      <c r="AI1060">
        <f t="shared" ref="AI1060:AI1123" si="159">K1060</f>
        <v>6</v>
      </c>
      <c r="AJ1060" s="10">
        <f t="shared" ref="AJ1060:AJ1123" si="160">C1060</f>
        <v>0.730162999270206</v>
      </c>
    </row>
    <row r="1061" spans="1:36" hidden="1" x14ac:dyDescent="0.25">
      <c r="A1061" t="b">
        <v>0</v>
      </c>
      <c r="B1061">
        <v>1000</v>
      </c>
      <c r="C1061">
        <v>0.730162999270206</v>
      </c>
      <c r="D1061" t="s">
        <v>52</v>
      </c>
      <c r="E1061" t="b">
        <v>1</v>
      </c>
      <c r="F1061" t="s">
        <v>53</v>
      </c>
      <c r="G1061">
        <v>7.4999999999999997E-2</v>
      </c>
      <c r="H1061">
        <v>0.5</v>
      </c>
      <c r="I1061">
        <v>1E-4</v>
      </c>
      <c r="J1061" t="b">
        <v>1</v>
      </c>
      <c r="K1061">
        <v>6</v>
      </c>
      <c r="L1061">
        <v>1500</v>
      </c>
      <c r="M1061">
        <v>0.75</v>
      </c>
      <c r="N1061">
        <v>0.154</v>
      </c>
      <c r="O1061" t="s">
        <v>442</v>
      </c>
      <c r="P1061" t="s">
        <v>445</v>
      </c>
      <c r="Q1061">
        <v>-2.5934211926342002E-4</v>
      </c>
      <c r="R1061">
        <v>2.6224092923304398E-3</v>
      </c>
      <c r="S1061">
        <v>1.0611087562269301E-3</v>
      </c>
      <c r="T1061">
        <v>-1.40772554406394E-2</v>
      </c>
      <c r="U1061">
        <v>6.00130994939102</v>
      </c>
      <c r="V1061" s="1">
        <v>9.9999999999985501E-15</v>
      </c>
      <c r="W1061">
        <v>0.67970968450848501</v>
      </c>
      <c r="X1061">
        <v>2.4999999999999898</v>
      </c>
      <c r="Y1061">
        <v>30.755337416263501</v>
      </c>
      <c r="Z1061">
        <v>0.499999999999994</v>
      </c>
      <c r="AA1061">
        <v>56.090156792275501</v>
      </c>
      <c r="AB1061" s="9">
        <f t="shared" si="152"/>
        <v>-0.36851535816321851</v>
      </c>
      <c r="AC1061" s="9">
        <f t="shared" si="153"/>
        <v>-0.39297066731015617</v>
      </c>
      <c r="AD1061" s="2">
        <f t="shared" si="154"/>
        <v>6.636170950602871E-2</v>
      </c>
      <c r="AE1061" s="8">
        <f t="shared" si="155"/>
        <v>1.1866504157937888E-2</v>
      </c>
      <c r="AF1061" s="2">
        <f t="shared" si="156"/>
        <v>-8.4158013773456102E-3</v>
      </c>
      <c r="AG1061" s="8">
        <f t="shared" si="157"/>
        <v>2.0282305535283499E-2</v>
      </c>
      <c r="AH1061" s="7">
        <f t="shared" si="158"/>
        <v>-0.41493317230160626</v>
      </c>
      <c r="AI1061">
        <f t="shared" si="159"/>
        <v>6</v>
      </c>
      <c r="AJ1061" s="10">
        <f t="shared" si="160"/>
        <v>0.730162999270206</v>
      </c>
    </row>
    <row r="1062" spans="1:36" hidden="1" x14ac:dyDescent="0.25">
      <c r="A1062" t="b">
        <v>0</v>
      </c>
      <c r="B1062">
        <v>1000</v>
      </c>
      <c r="C1062">
        <v>0.730162999270206</v>
      </c>
      <c r="D1062" t="s">
        <v>52</v>
      </c>
      <c r="E1062" t="b">
        <v>1</v>
      </c>
      <c r="F1062" t="s">
        <v>53</v>
      </c>
      <c r="G1062">
        <v>7.4999999999999997E-2</v>
      </c>
      <c r="H1062">
        <v>0.5</v>
      </c>
      <c r="I1062">
        <v>1E-4</v>
      </c>
      <c r="J1062" t="b">
        <v>1</v>
      </c>
      <c r="K1062">
        <v>6</v>
      </c>
      <c r="L1062">
        <v>1500</v>
      </c>
      <c r="M1062">
        <v>0.75</v>
      </c>
      <c r="N1062">
        <v>0.154</v>
      </c>
      <c r="O1062" t="s">
        <v>442</v>
      </c>
      <c r="P1062" t="s">
        <v>446</v>
      </c>
      <c r="Q1062">
        <v>-2.9643819437332001E-4</v>
      </c>
      <c r="R1062">
        <v>3.1285371940583998E-3</v>
      </c>
      <c r="S1062">
        <v>1.2129318935581901E-3</v>
      </c>
      <c r="T1062">
        <v>-1.6093135979959899E-2</v>
      </c>
      <c r="U1062">
        <v>6.0010579348441704</v>
      </c>
      <c r="V1062" s="1">
        <v>9.9999999999983907E-15</v>
      </c>
      <c r="W1062">
        <v>0.71546759879724098</v>
      </c>
      <c r="X1062">
        <v>2.4999999999999898</v>
      </c>
      <c r="Y1062">
        <v>31.923514518356999</v>
      </c>
      <c r="Z1062">
        <v>0.49999999999999201</v>
      </c>
      <c r="AA1062">
        <v>58.6029615267623</v>
      </c>
      <c r="AB1062" s="9">
        <f t="shared" si="152"/>
        <v>-0.36855453910730218</v>
      </c>
      <c r="AC1062" s="9">
        <f t="shared" si="153"/>
        <v>-0.39297066731015617</v>
      </c>
      <c r="AD1062" s="2">
        <f t="shared" si="154"/>
        <v>6.624834485011033E-2</v>
      </c>
      <c r="AE1062" s="8">
        <f t="shared" si="155"/>
        <v>1.1879876448982597E-2</v>
      </c>
      <c r="AF1062" s="2">
        <f t="shared" si="156"/>
        <v>-8.4024290863009016E-3</v>
      </c>
      <c r="AG1062" s="8">
        <f t="shared" si="157"/>
        <v>2.0282305535283499E-2</v>
      </c>
      <c r="AH1062" s="7">
        <f t="shared" si="158"/>
        <v>-0.41427386406756717</v>
      </c>
      <c r="AI1062">
        <f t="shared" si="159"/>
        <v>6</v>
      </c>
      <c r="AJ1062" s="10">
        <f t="shared" si="160"/>
        <v>0.730162999270206</v>
      </c>
    </row>
    <row r="1063" spans="1:36" hidden="1" x14ac:dyDescent="0.25">
      <c r="A1063" t="b">
        <v>0</v>
      </c>
      <c r="B1063">
        <v>1000</v>
      </c>
      <c r="C1063">
        <v>0.730162999270206</v>
      </c>
      <c r="D1063" t="s">
        <v>52</v>
      </c>
      <c r="E1063" t="b">
        <v>1</v>
      </c>
      <c r="F1063" t="s">
        <v>53</v>
      </c>
      <c r="G1063">
        <v>7.4999999999999997E-2</v>
      </c>
      <c r="H1063">
        <v>0.5</v>
      </c>
      <c r="I1063">
        <v>1E-4</v>
      </c>
      <c r="J1063" t="b">
        <v>1</v>
      </c>
      <c r="K1063">
        <v>6</v>
      </c>
      <c r="L1063">
        <v>1500</v>
      </c>
      <c r="M1063">
        <v>0.75</v>
      </c>
      <c r="N1063">
        <v>0.154</v>
      </c>
      <c r="O1063" t="s">
        <v>442</v>
      </c>
      <c r="P1063" t="s">
        <v>447</v>
      </c>
      <c r="Q1063">
        <v>-5.5578957923132003E-4</v>
      </c>
      <c r="R1063">
        <v>5.87193263106945E-3</v>
      </c>
      <c r="S1063">
        <v>2.2739252897192798E-3</v>
      </c>
      <c r="T1063">
        <v>-3.0162769672470901E-2</v>
      </c>
      <c r="U1063">
        <v>5.99929843507641</v>
      </c>
      <c r="V1063" s="1">
        <v>9.9999999999969092E-15</v>
      </c>
      <c r="W1063">
        <v>0.71396973974616595</v>
      </c>
      <c r="X1063">
        <v>2.49999999999996</v>
      </c>
      <c r="Y1063">
        <v>31.984394069403201</v>
      </c>
      <c r="Z1063">
        <v>0.49999999999996497</v>
      </c>
      <c r="AA1063">
        <v>58.654029863859101</v>
      </c>
      <c r="AB1063" s="9">
        <f t="shared" si="152"/>
        <v>-0.36846184741083837</v>
      </c>
      <c r="AC1063" s="9">
        <f t="shared" si="153"/>
        <v>-0.39297066731015617</v>
      </c>
      <c r="AD1063" s="2">
        <f t="shared" si="154"/>
        <v>6.6516574433798104E-2</v>
      </c>
      <c r="AE1063" s="8">
        <f t="shared" si="155"/>
        <v>1.1848241734691956E-2</v>
      </c>
      <c r="AF1063" s="2">
        <f t="shared" si="156"/>
        <v>-8.434063800591543E-3</v>
      </c>
      <c r="AG1063" s="8">
        <f t="shared" si="157"/>
        <v>2.0282305535283499E-2</v>
      </c>
      <c r="AH1063" s="7">
        <f t="shared" si="158"/>
        <v>-0.41583358390492042</v>
      </c>
      <c r="AI1063">
        <f t="shared" si="159"/>
        <v>6</v>
      </c>
      <c r="AJ1063" s="10">
        <f t="shared" si="160"/>
        <v>0.730162999270206</v>
      </c>
    </row>
    <row r="1064" spans="1:36" hidden="1" x14ac:dyDescent="0.25">
      <c r="A1064" t="b">
        <v>0</v>
      </c>
      <c r="B1064">
        <v>1000</v>
      </c>
      <c r="C1064">
        <v>0.730162999270206</v>
      </c>
      <c r="D1064" t="s">
        <v>52</v>
      </c>
      <c r="E1064" t="b">
        <v>1</v>
      </c>
      <c r="F1064" t="s">
        <v>53</v>
      </c>
      <c r="G1064">
        <v>7.4999999999999997E-2</v>
      </c>
      <c r="H1064">
        <v>0.5</v>
      </c>
      <c r="I1064">
        <v>1E-4</v>
      </c>
      <c r="J1064" t="b">
        <v>1</v>
      </c>
      <c r="K1064">
        <v>6</v>
      </c>
      <c r="L1064">
        <v>1500</v>
      </c>
      <c r="M1064">
        <v>0.75</v>
      </c>
      <c r="N1064">
        <v>0.154</v>
      </c>
      <c r="O1064" t="s">
        <v>443</v>
      </c>
      <c r="P1064" t="s">
        <v>444</v>
      </c>
      <c r="Q1064">
        <v>-2.5934328252287899E-4</v>
      </c>
      <c r="R1064">
        <v>2.6216739423691798E-3</v>
      </c>
      <c r="S1064">
        <v>1.06109430087215E-3</v>
      </c>
      <c r="T1064">
        <v>-1.40763000258858E-2</v>
      </c>
      <c r="U1064">
        <v>6.0008059487133103</v>
      </c>
      <c r="V1064" s="1">
        <v>9.9999999999985595E-15</v>
      </c>
      <c r="W1064">
        <v>0.67736610222140403</v>
      </c>
      <c r="X1064">
        <v>2.4999999999999898</v>
      </c>
      <c r="Y1064">
        <v>30.780747590129099</v>
      </c>
      <c r="Z1064">
        <v>0.499999999999994</v>
      </c>
      <c r="AA1064">
        <v>56.059121119299</v>
      </c>
      <c r="AB1064" s="9">
        <f t="shared" si="152"/>
        <v>-0.36849536721759807</v>
      </c>
      <c r="AC1064" s="9">
        <f t="shared" si="153"/>
        <v>-0.39297066731015617</v>
      </c>
      <c r="AD1064" s="2">
        <f t="shared" si="154"/>
        <v>6.6419559836977005E-2</v>
      </c>
      <c r="AE1064" s="8">
        <f t="shared" si="155"/>
        <v>1.1859681468640547E-2</v>
      </c>
      <c r="AF1064" s="2">
        <f t="shared" si="156"/>
        <v>-8.4226240666429517E-3</v>
      </c>
      <c r="AG1064" s="8">
        <f t="shared" si="157"/>
        <v>2.0282305535283499E-2</v>
      </c>
      <c r="AH1064" s="7">
        <f t="shared" si="158"/>
        <v>-0.41526955858103948</v>
      </c>
      <c r="AI1064">
        <f t="shared" si="159"/>
        <v>6</v>
      </c>
      <c r="AJ1064" s="10">
        <f t="shared" si="160"/>
        <v>0.730162999270206</v>
      </c>
    </row>
    <row r="1065" spans="1:36" hidden="1" x14ac:dyDescent="0.25">
      <c r="A1065" t="b">
        <v>0</v>
      </c>
      <c r="B1065">
        <v>1000</v>
      </c>
      <c r="C1065">
        <v>0.730162999270206</v>
      </c>
      <c r="D1065" t="s">
        <v>52</v>
      </c>
      <c r="E1065" t="b">
        <v>1</v>
      </c>
      <c r="F1065" t="s">
        <v>53</v>
      </c>
      <c r="G1065">
        <v>7.4999999999999997E-2</v>
      </c>
      <c r="H1065">
        <v>0.5</v>
      </c>
      <c r="I1065">
        <v>1E-4</v>
      </c>
      <c r="J1065" t="b">
        <v>1</v>
      </c>
      <c r="K1065">
        <v>6</v>
      </c>
      <c r="L1065">
        <v>1500</v>
      </c>
      <c r="M1065">
        <v>0.75</v>
      </c>
      <c r="N1065">
        <v>0.154</v>
      </c>
      <c r="O1065" t="s">
        <v>443</v>
      </c>
      <c r="P1065" t="s">
        <v>445</v>
      </c>
      <c r="Q1065">
        <v>-2.22247207412752E-4</v>
      </c>
      <c r="R1065">
        <v>2.1024125222002502E-3</v>
      </c>
      <c r="S1065">
        <v>9.0927116354088604E-4</v>
      </c>
      <c r="T1065">
        <v>-1.20604194865651E-2</v>
      </c>
      <c r="U1065">
        <v>6.00105796324595</v>
      </c>
      <c r="V1065" s="1">
        <v>9.9999999999987094E-15</v>
      </c>
      <c r="W1065">
        <v>0.63972146282679099</v>
      </c>
      <c r="X1065">
        <v>2.4999999999999898</v>
      </c>
      <c r="Y1065">
        <v>28.833472875127999</v>
      </c>
      <c r="Z1065">
        <v>0.499999999999996</v>
      </c>
      <c r="AA1065">
        <v>52.467790284648203</v>
      </c>
      <c r="AB1065" s="9">
        <f t="shared" si="152"/>
        <v>-0.36843976344744389</v>
      </c>
      <c r="AC1065" s="9">
        <f t="shared" si="153"/>
        <v>-0.39297066731015617</v>
      </c>
      <c r="AD1065" s="2">
        <f t="shared" si="154"/>
        <v>6.6580500522472663E-2</v>
      </c>
      <c r="AE1065" s="8">
        <f t="shared" si="155"/>
        <v>1.1840704998885241E-2</v>
      </c>
      <c r="AF1065" s="2">
        <f t="shared" si="156"/>
        <v>-8.4416005363982579E-3</v>
      </c>
      <c r="AG1065" s="8">
        <f t="shared" si="157"/>
        <v>2.0282305535283499E-2</v>
      </c>
      <c r="AH1065" s="7">
        <f t="shared" si="158"/>
        <v>-0.41620517557597597</v>
      </c>
      <c r="AI1065">
        <f t="shared" si="159"/>
        <v>6</v>
      </c>
      <c r="AJ1065" s="10">
        <f t="shared" si="160"/>
        <v>0.730162999270206</v>
      </c>
    </row>
    <row r="1066" spans="1:36" hidden="1" x14ac:dyDescent="0.25">
      <c r="A1066" t="b">
        <v>0</v>
      </c>
      <c r="B1066">
        <v>1000</v>
      </c>
      <c r="C1066">
        <v>0.730162999270206</v>
      </c>
      <c r="D1066" t="s">
        <v>52</v>
      </c>
      <c r="E1066" t="b">
        <v>1</v>
      </c>
      <c r="F1066" t="s">
        <v>53</v>
      </c>
      <c r="G1066">
        <v>7.4999999999999997E-2</v>
      </c>
      <c r="H1066">
        <v>0.5</v>
      </c>
      <c r="I1066">
        <v>1E-4</v>
      </c>
      <c r="J1066" t="b">
        <v>1</v>
      </c>
      <c r="K1066">
        <v>6</v>
      </c>
      <c r="L1066">
        <v>1500</v>
      </c>
      <c r="M1066">
        <v>0.75</v>
      </c>
      <c r="N1066">
        <v>0.154</v>
      </c>
      <c r="O1066" t="s">
        <v>443</v>
      </c>
      <c r="P1066" t="s">
        <v>446</v>
      </c>
      <c r="Q1066">
        <v>-2.5934328252288002E-4</v>
      </c>
      <c r="R1066">
        <v>2.6399837835825498E-3</v>
      </c>
      <c r="S1066">
        <v>1.06109430087215E-3</v>
      </c>
      <c r="T1066">
        <v>-1.40763000258858E-2</v>
      </c>
      <c r="U1066">
        <v>6.0008059486990897</v>
      </c>
      <c r="V1066" s="1">
        <v>9.9999999999985595E-15</v>
      </c>
      <c r="W1066">
        <v>0.68052363097765201</v>
      </c>
      <c r="X1066">
        <v>2.4999999999999898</v>
      </c>
      <c r="Y1066">
        <v>31.004949938065501</v>
      </c>
      <c r="Z1066">
        <v>0.499999999999994</v>
      </c>
      <c r="AA1066">
        <v>56.445146294736503</v>
      </c>
      <c r="AB1066" s="9">
        <f t="shared" si="152"/>
        <v>-0.36849536721759807</v>
      </c>
      <c r="AC1066" s="9">
        <f t="shared" si="153"/>
        <v>-0.39297066731015617</v>
      </c>
      <c r="AD1066" s="2">
        <f t="shared" si="154"/>
        <v>6.6419559836977005E-2</v>
      </c>
      <c r="AE1066" s="8">
        <f t="shared" si="155"/>
        <v>1.1859681468640547E-2</v>
      </c>
      <c r="AF1066" s="2">
        <f t="shared" si="156"/>
        <v>-8.4226240666429517E-3</v>
      </c>
      <c r="AG1066" s="8">
        <f t="shared" si="157"/>
        <v>2.0282305535283499E-2</v>
      </c>
      <c r="AH1066" s="7">
        <f t="shared" si="158"/>
        <v>-0.41526955858103948</v>
      </c>
      <c r="AI1066">
        <f t="shared" si="159"/>
        <v>6</v>
      </c>
      <c r="AJ1066" s="10">
        <f t="shared" si="160"/>
        <v>0.730162999270206</v>
      </c>
    </row>
    <row r="1067" spans="1:36" hidden="1" x14ac:dyDescent="0.25">
      <c r="A1067" t="b">
        <v>0</v>
      </c>
      <c r="B1067">
        <v>1000</v>
      </c>
      <c r="C1067">
        <v>0.730162999270206</v>
      </c>
      <c r="D1067" t="s">
        <v>52</v>
      </c>
      <c r="E1067" t="b">
        <v>1</v>
      </c>
      <c r="F1067" t="s">
        <v>53</v>
      </c>
      <c r="G1067">
        <v>7.4999999999999997E-2</v>
      </c>
      <c r="H1067">
        <v>0.5</v>
      </c>
      <c r="I1067">
        <v>1E-4</v>
      </c>
      <c r="J1067" t="b">
        <v>1</v>
      </c>
      <c r="K1067">
        <v>6</v>
      </c>
      <c r="L1067">
        <v>1500</v>
      </c>
      <c r="M1067">
        <v>0.75</v>
      </c>
      <c r="N1067">
        <v>0.154</v>
      </c>
      <c r="O1067" t="s">
        <v>443</v>
      </c>
      <c r="P1067" t="s">
        <v>447</v>
      </c>
      <c r="Q1067">
        <v>-5.1869466738269998E-4</v>
      </c>
      <c r="R1067">
        <v>5.2073553983459997E-3</v>
      </c>
      <c r="S1067">
        <v>2.1220876970332301E-3</v>
      </c>
      <c r="T1067">
        <v>-2.8145933718396701E-2</v>
      </c>
      <c r="U1067">
        <v>5.99904644893134</v>
      </c>
      <c r="V1067" s="1">
        <v>9.9999999999971696E-15</v>
      </c>
      <c r="W1067">
        <v>0.67482698789751805</v>
      </c>
      <c r="X1067">
        <v>2.4999999999999698</v>
      </c>
      <c r="Y1067">
        <v>30.549428518067199</v>
      </c>
      <c r="Z1067">
        <v>0.49999999999997102</v>
      </c>
      <c r="AA1067">
        <v>55.683664627067301</v>
      </c>
      <c r="AB1067" s="9">
        <f t="shared" si="152"/>
        <v>-0.36842562787142125</v>
      </c>
      <c r="AC1067" s="9">
        <f t="shared" si="153"/>
        <v>-0.39297066731015617</v>
      </c>
      <c r="AD1067" s="2">
        <f t="shared" si="154"/>
        <v>6.6621422566458977E-2</v>
      </c>
      <c r="AE1067" s="8">
        <f t="shared" si="155"/>
        <v>1.1835880919140031E-2</v>
      </c>
      <c r="AF1067" s="2">
        <f t="shared" si="156"/>
        <v>-8.4464246161434671E-3</v>
      </c>
      <c r="AG1067" s="8">
        <f t="shared" si="157"/>
        <v>2.0282305535283499E-2</v>
      </c>
      <c r="AH1067" s="7">
        <f t="shared" si="158"/>
        <v>-0.41644302229102603</v>
      </c>
      <c r="AI1067">
        <f t="shared" si="159"/>
        <v>6</v>
      </c>
      <c r="AJ1067" s="10">
        <f t="shared" si="160"/>
        <v>0.730162999270206</v>
      </c>
    </row>
    <row r="1068" spans="1:36" hidden="1" x14ac:dyDescent="0.25">
      <c r="A1068" t="b">
        <v>0</v>
      </c>
      <c r="B1068">
        <v>1000</v>
      </c>
      <c r="C1068">
        <v>0.730162999270206</v>
      </c>
      <c r="D1068" t="s">
        <v>52</v>
      </c>
      <c r="E1068" t="b">
        <v>1</v>
      </c>
      <c r="F1068" t="s">
        <v>53</v>
      </c>
      <c r="G1068">
        <v>7.4999999999999997E-2</v>
      </c>
      <c r="H1068">
        <v>0.5</v>
      </c>
      <c r="I1068">
        <v>1E-4</v>
      </c>
      <c r="J1068" t="b">
        <v>1</v>
      </c>
      <c r="K1068">
        <v>6</v>
      </c>
      <c r="L1068">
        <v>1500</v>
      </c>
      <c r="M1068">
        <v>0.75</v>
      </c>
      <c r="N1068">
        <v>0.154</v>
      </c>
      <c r="O1068" t="s">
        <v>444</v>
      </c>
      <c r="P1068" t="s">
        <v>446</v>
      </c>
      <c r="Q1068" s="1">
        <v>-1E-10</v>
      </c>
      <c r="R1068" s="1">
        <v>3.5857859349580298E-12</v>
      </c>
      <c r="S1068" s="1">
        <v>-1.1402785494028399E-18</v>
      </c>
      <c r="T1068" s="1">
        <v>4.0698200843463998E-16</v>
      </c>
      <c r="U1068">
        <v>5.9990466475126096</v>
      </c>
      <c r="V1068">
        <v>0</v>
      </c>
      <c r="W1068">
        <v>6.8474548316005607E-2</v>
      </c>
      <c r="X1068">
        <v>2</v>
      </c>
      <c r="Y1068">
        <v>4.00056641729718E-3</v>
      </c>
      <c r="Z1068">
        <v>2.5000000000000001E-4</v>
      </c>
      <c r="AA1068">
        <v>4.7933529852491599E-3</v>
      </c>
      <c r="AB1068" s="9">
        <f t="shared" si="152"/>
        <v>-9.9142931310700622</v>
      </c>
      <c r="AC1068" s="9">
        <f t="shared" si="153"/>
        <v>-0.39297066731015617</v>
      </c>
      <c r="AD1068" s="2">
        <f t="shared" si="154"/>
        <v>-0.96036321882811404</v>
      </c>
      <c r="AE1068" s="8">
        <f t="shared" si="155"/>
        <v>-1.4558605571533405</v>
      </c>
      <c r="AF1068" s="2">
        <f t="shared" si="156"/>
        <v>-1.4761428626886239</v>
      </c>
      <c r="AG1068" s="8">
        <f t="shared" si="157"/>
        <v>2.0282305535283499E-2</v>
      </c>
      <c r="AH1068" s="7">
        <f t="shared" si="158"/>
        <v>-72.779835611917818</v>
      </c>
      <c r="AI1068">
        <f t="shared" si="159"/>
        <v>6</v>
      </c>
      <c r="AJ1068" s="10">
        <f t="shared" si="160"/>
        <v>0.730162999270206</v>
      </c>
    </row>
    <row r="1069" spans="1:36" hidden="1" x14ac:dyDescent="0.25">
      <c r="A1069" t="b">
        <v>0</v>
      </c>
      <c r="B1069">
        <v>1000</v>
      </c>
      <c r="C1069">
        <v>0.730162999270206</v>
      </c>
      <c r="D1069" t="s">
        <v>52</v>
      </c>
      <c r="E1069" t="b">
        <v>1</v>
      </c>
      <c r="F1069" t="s">
        <v>53</v>
      </c>
      <c r="G1069">
        <v>7.4999999999999997E-2</v>
      </c>
      <c r="H1069">
        <v>0.5</v>
      </c>
      <c r="I1069">
        <v>1E-4</v>
      </c>
      <c r="J1069" t="b">
        <v>1</v>
      </c>
      <c r="K1069">
        <v>6</v>
      </c>
      <c r="L1069">
        <v>1500</v>
      </c>
      <c r="M1069">
        <v>0.75</v>
      </c>
      <c r="N1069">
        <v>0.154</v>
      </c>
      <c r="O1069" t="s">
        <v>444</v>
      </c>
      <c r="P1069" t="s">
        <v>447</v>
      </c>
      <c r="Q1069">
        <v>-2.5935138487104498E-4</v>
      </c>
      <c r="R1069">
        <v>2.6610944063085199E-3</v>
      </c>
      <c r="S1069">
        <v>1.0609933961610899E-3</v>
      </c>
      <c r="T1069">
        <v>-1.40696336925113E-2</v>
      </c>
      <c r="U1069">
        <v>5.9972871477448502</v>
      </c>
      <c r="V1069" s="1">
        <v>9.9999999999985595E-15</v>
      </c>
      <c r="W1069">
        <v>0.68996379588815504</v>
      </c>
      <c r="X1069">
        <v>2.4999999999999898</v>
      </c>
      <c r="Y1069">
        <v>31.172869704858101</v>
      </c>
      <c r="Z1069">
        <v>0.499999999999994</v>
      </c>
      <c r="AA1069">
        <v>56.9258554626416</v>
      </c>
      <c r="AB1069" s="9">
        <f t="shared" si="152"/>
        <v>-0.36835588189276103</v>
      </c>
      <c r="AC1069" s="9">
        <f t="shared" si="153"/>
        <v>-0.39297066731015617</v>
      </c>
      <c r="AD1069" s="2">
        <f t="shared" si="154"/>
        <v>6.6823380940503663E-2</v>
      </c>
      <c r="AE1069" s="8">
        <f t="shared" si="155"/>
        <v>1.1812079225901545E-2</v>
      </c>
      <c r="AF1069" s="2">
        <f t="shared" si="156"/>
        <v>-8.4702263093819532E-3</v>
      </c>
      <c r="AG1069" s="8">
        <f t="shared" si="157"/>
        <v>2.0282305535283499E-2</v>
      </c>
      <c r="AH1069" s="7">
        <f t="shared" si="158"/>
        <v>-0.41761654239193768</v>
      </c>
      <c r="AI1069">
        <f t="shared" si="159"/>
        <v>6</v>
      </c>
      <c r="AJ1069" s="10">
        <f t="shared" si="160"/>
        <v>0.730162999270206</v>
      </c>
    </row>
    <row r="1070" spans="1:36" hidden="1" x14ac:dyDescent="0.25">
      <c r="A1070" t="b">
        <v>0</v>
      </c>
      <c r="B1070">
        <v>1000</v>
      </c>
      <c r="C1070">
        <v>0.730162999270206</v>
      </c>
      <c r="D1070" t="s">
        <v>52</v>
      </c>
      <c r="E1070" t="b">
        <v>1</v>
      </c>
      <c r="F1070" t="s">
        <v>53</v>
      </c>
      <c r="G1070">
        <v>7.4999999999999997E-2</v>
      </c>
      <c r="H1070">
        <v>0.5</v>
      </c>
      <c r="I1070">
        <v>1E-4</v>
      </c>
      <c r="J1070" t="b">
        <v>1</v>
      </c>
      <c r="K1070">
        <v>6</v>
      </c>
      <c r="L1070">
        <v>1500</v>
      </c>
      <c r="M1070">
        <v>0.75</v>
      </c>
      <c r="N1070">
        <v>0.154</v>
      </c>
      <c r="O1070" t="s">
        <v>445</v>
      </c>
      <c r="P1070" t="s">
        <v>446</v>
      </c>
      <c r="Q1070" s="1">
        <v>-3.7096075111445199E-5</v>
      </c>
      <c r="R1070">
        <v>3.89395741670893E-4</v>
      </c>
      <c r="S1070">
        <v>1.5182313733126299E-4</v>
      </c>
      <c r="T1070">
        <v>-2.0158805393204098E-3</v>
      </c>
      <c r="U1070">
        <v>5.9992986620452404</v>
      </c>
      <c r="V1070" s="1">
        <v>9.9999999999995803E-15</v>
      </c>
      <c r="W1070">
        <v>0.71186172865971398</v>
      </c>
      <c r="X1070">
        <v>2.4999999999999898</v>
      </c>
      <c r="Y1070">
        <v>31.759282146876899</v>
      </c>
      <c r="Z1070">
        <v>0.499999999999999</v>
      </c>
      <c r="AA1070">
        <v>58.286374726770397</v>
      </c>
      <c r="AB1070" s="9">
        <f t="shared" si="152"/>
        <v>-0.36882837907380328</v>
      </c>
      <c r="AC1070" s="9">
        <f t="shared" si="153"/>
        <v>-0.39297066731015617</v>
      </c>
      <c r="AD1070" s="2">
        <f t="shared" si="154"/>
        <v>6.5456699121088979E-2</v>
      </c>
      <c r="AE1070" s="8">
        <f t="shared" si="155"/>
        <v>1.1973346743600195E-2</v>
      </c>
      <c r="AF1070" s="2">
        <f t="shared" si="156"/>
        <v>-8.308958791683304E-3</v>
      </c>
      <c r="AG1070" s="8">
        <f t="shared" si="157"/>
        <v>2.0282305535283499E-2</v>
      </c>
      <c r="AH1070" s="7">
        <f t="shared" si="158"/>
        <v>-0.40966539909522987</v>
      </c>
      <c r="AI1070">
        <f t="shared" si="159"/>
        <v>6</v>
      </c>
      <c r="AJ1070" s="10">
        <f t="shared" si="160"/>
        <v>0.730162999270206</v>
      </c>
    </row>
    <row r="1071" spans="1:36" hidden="1" x14ac:dyDescent="0.25">
      <c r="A1071" t="b">
        <v>0</v>
      </c>
      <c r="B1071">
        <v>1000</v>
      </c>
      <c r="C1071">
        <v>0.730162999270206</v>
      </c>
      <c r="D1071" t="s">
        <v>52</v>
      </c>
      <c r="E1071" t="b">
        <v>1</v>
      </c>
      <c r="F1071" t="s">
        <v>53</v>
      </c>
      <c r="G1071">
        <v>7.4999999999999997E-2</v>
      </c>
      <c r="H1071">
        <v>0.5</v>
      </c>
      <c r="I1071">
        <v>1E-4</v>
      </c>
      <c r="J1071" t="b">
        <v>1</v>
      </c>
      <c r="K1071">
        <v>6</v>
      </c>
      <c r="L1071">
        <v>1500</v>
      </c>
      <c r="M1071">
        <v>0.75</v>
      </c>
      <c r="N1071">
        <v>0.154</v>
      </c>
      <c r="O1071" t="s">
        <v>445</v>
      </c>
      <c r="P1071" t="s">
        <v>447</v>
      </c>
      <c r="Q1071">
        <v>-2.9644745998094599E-4</v>
      </c>
      <c r="R1071">
        <v>3.1074712720025599E-3</v>
      </c>
      <c r="S1071">
        <v>1.2128165334923499E-3</v>
      </c>
      <c r="T1071">
        <v>-1.6085514231831698E-2</v>
      </c>
      <c r="U1071">
        <v>5.9975391622774801</v>
      </c>
      <c r="V1071" s="1">
        <v>9.9999999999984002E-15</v>
      </c>
      <c r="W1071">
        <v>0.70798271824701997</v>
      </c>
      <c r="X1071">
        <v>2.4999999999999898</v>
      </c>
      <c r="Y1071">
        <v>31.760369426160601</v>
      </c>
      <c r="Z1071">
        <v>0.49999999999999201</v>
      </c>
      <c r="AA1071">
        <v>58.186229837188797</v>
      </c>
      <c r="AB1071" s="9">
        <f t="shared" si="152"/>
        <v>-0.36841503016657312</v>
      </c>
      <c r="AC1071" s="9">
        <f t="shared" si="153"/>
        <v>-0.39297066731015617</v>
      </c>
      <c r="AD1071" s="2">
        <f t="shared" si="154"/>
        <v>6.6652104645352317E-2</v>
      </c>
      <c r="AE1071" s="8">
        <f t="shared" si="155"/>
        <v>1.1832264246798917E-2</v>
      </c>
      <c r="AF1071" s="2">
        <f t="shared" si="156"/>
        <v>-8.4500412884845819E-3</v>
      </c>
      <c r="AG1071" s="8">
        <f t="shared" si="157"/>
        <v>2.0282305535283499E-2</v>
      </c>
      <c r="AH1071" s="7">
        <f t="shared" si="158"/>
        <v>-0.41662133891951897</v>
      </c>
      <c r="AI1071">
        <f t="shared" si="159"/>
        <v>6</v>
      </c>
      <c r="AJ1071" s="10">
        <f t="shared" si="160"/>
        <v>0.730162999270206</v>
      </c>
    </row>
    <row r="1072" spans="1:36" hidden="1" x14ac:dyDescent="0.25">
      <c r="A1072" t="b">
        <v>0</v>
      </c>
      <c r="B1072">
        <v>1000</v>
      </c>
      <c r="C1072">
        <v>0.730162999270206</v>
      </c>
      <c r="D1072" t="s">
        <v>52</v>
      </c>
      <c r="E1072" t="b">
        <v>1</v>
      </c>
      <c r="F1072" t="s">
        <v>53</v>
      </c>
      <c r="G1072">
        <v>7.4999999999999997E-2</v>
      </c>
      <c r="H1072">
        <v>0.5</v>
      </c>
      <c r="I1072">
        <v>1E-4</v>
      </c>
      <c r="J1072" t="b">
        <v>1</v>
      </c>
      <c r="K1072">
        <v>6</v>
      </c>
      <c r="L1072">
        <v>1500</v>
      </c>
      <c r="M1072">
        <v>0.75</v>
      </c>
      <c r="N1072">
        <v>0.154</v>
      </c>
      <c r="O1072" t="s">
        <v>446</v>
      </c>
      <c r="P1072" t="s">
        <v>447</v>
      </c>
      <c r="Q1072">
        <v>-2.5935138487104601E-4</v>
      </c>
      <c r="R1072">
        <v>2.6035664555147499E-3</v>
      </c>
      <c r="S1072">
        <v>1.0609933961610799E-3</v>
      </c>
      <c r="T1072">
        <v>-1.4069633692511199E-2</v>
      </c>
      <c r="U1072">
        <v>5.9972871477306304</v>
      </c>
      <c r="V1072" s="1">
        <v>9.9999999999985706E-15</v>
      </c>
      <c r="W1072">
        <v>0.67692275548579195</v>
      </c>
      <c r="X1072">
        <v>2.4999999999999898</v>
      </c>
      <c r="Y1072">
        <v>30.513385728132501</v>
      </c>
      <c r="Z1072">
        <v>0.499999999999994</v>
      </c>
      <c r="AA1072">
        <v>55.694972253252999</v>
      </c>
      <c r="AB1072" s="9">
        <f t="shared" si="152"/>
        <v>-0.36835588189276192</v>
      </c>
      <c r="AC1072" s="9">
        <f t="shared" si="153"/>
        <v>-0.39297066731015617</v>
      </c>
      <c r="AD1072" s="2">
        <f t="shared" si="154"/>
        <v>6.6823380940500998E-2</v>
      </c>
      <c r="AE1072" s="8">
        <f t="shared" si="155"/>
        <v>1.1812079225901849E-2</v>
      </c>
      <c r="AF1072" s="2">
        <f t="shared" si="156"/>
        <v>-8.4702263093816496E-3</v>
      </c>
      <c r="AG1072" s="8">
        <f t="shared" si="157"/>
        <v>2.0282305535283499E-2</v>
      </c>
      <c r="AH1072" s="7">
        <f t="shared" si="158"/>
        <v>-0.4176165423919227</v>
      </c>
      <c r="AI1072">
        <f t="shared" si="159"/>
        <v>6</v>
      </c>
      <c r="AJ1072" s="10">
        <f t="shared" si="160"/>
        <v>0.730162999270206</v>
      </c>
    </row>
    <row r="1073" spans="1:36" hidden="1" x14ac:dyDescent="0.25">
      <c r="A1073" t="b">
        <v>0</v>
      </c>
      <c r="B1073">
        <v>1000</v>
      </c>
      <c r="C1073">
        <v>0.730162999270209</v>
      </c>
      <c r="D1073" t="s">
        <v>52</v>
      </c>
      <c r="E1073" t="b">
        <v>1</v>
      </c>
      <c r="F1073" t="s">
        <v>53</v>
      </c>
      <c r="G1073">
        <v>7.4999999999999997E-2</v>
      </c>
      <c r="H1073">
        <v>0.5</v>
      </c>
      <c r="I1073">
        <v>1E-4</v>
      </c>
      <c r="J1073" t="b">
        <v>1</v>
      </c>
      <c r="K1073">
        <v>4</v>
      </c>
      <c r="L1073">
        <v>1500</v>
      </c>
      <c r="M1073">
        <v>0.75</v>
      </c>
      <c r="N1073">
        <v>0.154</v>
      </c>
      <c r="O1073" t="s">
        <v>448</v>
      </c>
      <c r="P1073" t="s">
        <v>449</v>
      </c>
      <c r="Q1073" s="1">
        <v>-1.9621983708008901E-5</v>
      </c>
      <c r="R1073" s="1">
        <v>6.5077383320418796E-5</v>
      </c>
      <c r="S1073" s="1">
        <v>6.9389281693746802E-5</v>
      </c>
      <c r="T1073">
        <v>-4.8756585157387898E-4</v>
      </c>
      <c r="U1073">
        <v>4.0523140959635899</v>
      </c>
      <c r="V1073" s="1">
        <v>9.9999999999999905E-15</v>
      </c>
      <c r="W1073">
        <v>0.222387010132271</v>
      </c>
      <c r="X1073">
        <v>2.4999999999999898</v>
      </c>
      <c r="Y1073">
        <v>10.1361055054684</v>
      </c>
      <c r="Z1073">
        <v>0.49999999999894101</v>
      </c>
      <c r="AA1073">
        <v>18.382654183675601</v>
      </c>
      <c r="AB1073" s="9">
        <f t="shared" si="152"/>
        <v>-0.4391581088540592</v>
      </c>
      <c r="AC1073" s="9">
        <f t="shared" si="153"/>
        <v>-0.46426385671832243</v>
      </c>
      <c r="AD1073" s="2">
        <f t="shared" si="154"/>
        <v>5.7167902306926033E-2</v>
      </c>
      <c r="AE1073" s="8">
        <f t="shared" si="155"/>
        <v>3.6564743774201179E-2</v>
      </c>
      <c r="AF1073" s="2">
        <f t="shared" si="156"/>
        <v>-9.0704436801868835E-3</v>
      </c>
      <c r="AG1073" s="8">
        <f t="shared" si="157"/>
        <v>4.5635187454388063E-2</v>
      </c>
      <c r="AH1073" s="7">
        <f t="shared" si="158"/>
        <v>-0.19875986461659012</v>
      </c>
      <c r="AI1073">
        <f t="shared" si="159"/>
        <v>4</v>
      </c>
      <c r="AJ1073" s="10">
        <f t="shared" si="160"/>
        <v>0.730162999270209</v>
      </c>
    </row>
    <row r="1074" spans="1:36" hidden="1" x14ac:dyDescent="0.25">
      <c r="A1074" t="b">
        <v>0</v>
      </c>
      <c r="B1074">
        <v>1000</v>
      </c>
      <c r="C1074">
        <v>0.730162999270209</v>
      </c>
      <c r="D1074" t="s">
        <v>52</v>
      </c>
      <c r="E1074" t="b">
        <v>1</v>
      </c>
      <c r="F1074" t="s">
        <v>53</v>
      </c>
      <c r="G1074">
        <v>7.4999999999999997E-2</v>
      </c>
      <c r="H1074">
        <v>0.5</v>
      </c>
      <c r="I1074">
        <v>1E-4</v>
      </c>
      <c r="J1074" t="b">
        <v>1</v>
      </c>
      <c r="K1074">
        <v>4</v>
      </c>
      <c r="L1074">
        <v>1500</v>
      </c>
      <c r="M1074">
        <v>0.75</v>
      </c>
      <c r="N1074">
        <v>0.154</v>
      </c>
      <c r="O1074" t="s">
        <v>448</v>
      </c>
      <c r="P1074" t="s">
        <v>450</v>
      </c>
      <c r="Q1074">
        <v>-1.56850364739973E-4</v>
      </c>
      <c r="R1074">
        <v>5.0447818756666103E-4</v>
      </c>
      <c r="S1074">
        <v>5.5461232009485298E-4</v>
      </c>
      <c r="T1074">
        <v>-3.89432789257327E-3</v>
      </c>
      <c r="U1074">
        <v>4.0516834622097004</v>
      </c>
      <c r="V1074" s="1">
        <v>9.9999999999999905E-15</v>
      </c>
      <c r="W1074">
        <v>0.214089611705505</v>
      </c>
      <c r="X1074">
        <v>2.4999999999999898</v>
      </c>
      <c r="Y1074">
        <v>9.8743920648429704</v>
      </c>
      <c r="Z1074">
        <v>0.49999999999275702</v>
      </c>
      <c r="AA1074">
        <v>17.811145419632101</v>
      </c>
      <c r="AB1074" s="9">
        <f t="shared" si="152"/>
        <v>-0.43885698976936266</v>
      </c>
      <c r="AC1074" s="9">
        <f t="shared" si="153"/>
        <v>-0.46426385671832243</v>
      </c>
      <c r="AD1074" s="2">
        <f t="shared" si="154"/>
        <v>5.7893271706375593E-2</v>
      </c>
      <c r="AE1074" s="8">
        <f t="shared" si="155"/>
        <v>3.6456907540691107E-2</v>
      </c>
      <c r="AF1074" s="2">
        <f t="shared" si="156"/>
        <v>-9.1782799136969559E-3</v>
      </c>
      <c r="AG1074" s="8">
        <f t="shared" si="157"/>
        <v>4.5635187454388063E-2</v>
      </c>
      <c r="AH1074" s="7">
        <f t="shared" si="158"/>
        <v>-0.2011228708739404</v>
      </c>
      <c r="AI1074">
        <f t="shared" si="159"/>
        <v>4</v>
      </c>
      <c r="AJ1074" s="10">
        <f t="shared" si="160"/>
        <v>0.730162999270209</v>
      </c>
    </row>
    <row r="1075" spans="1:36" hidden="1" x14ac:dyDescent="0.25">
      <c r="A1075" t="b">
        <v>0</v>
      </c>
      <c r="B1075">
        <v>1000</v>
      </c>
      <c r="C1075">
        <v>0.730162999270209</v>
      </c>
      <c r="D1075" t="s">
        <v>52</v>
      </c>
      <c r="E1075" t="b">
        <v>1</v>
      </c>
      <c r="F1075" t="s">
        <v>53</v>
      </c>
      <c r="G1075">
        <v>7.4999999999999997E-2</v>
      </c>
      <c r="H1075">
        <v>0.5</v>
      </c>
      <c r="I1075">
        <v>1E-4</v>
      </c>
      <c r="J1075" t="b">
        <v>1</v>
      </c>
      <c r="K1075">
        <v>4</v>
      </c>
      <c r="L1075">
        <v>1500</v>
      </c>
      <c r="M1075">
        <v>0.75</v>
      </c>
      <c r="N1075">
        <v>0.154</v>
      </c>
      <c r="O1075" t="s">
        <v>448</v>
      </c>
      <c r="P1075" t="s">
        <v>451</v>
      </c>
      <c r="Q1075" s="1">
        <v>-1.9621983708007701E-5</v>
      </c>
      <c r="R1075" s="1">
        <v>6.4410263361344399E-5</v>
      </c>
      <c r="S1075" s="1">
        <v>6.9389281693741395E-5</v>
      </c>
      <c r="T1075">
        <v>-4.8756585157377598E-4</v>
      </c>
      <c r="U1075">
        <v>4.0523140959570298</v>
      </c>
      <c r="V1075" s="1">
        <v>9.9999999999999905E-15</v>
      </c>
      <c r="W1075">
        <v>0.22079804480465801</v>
      </c>
      <c r="X1075">
        <v>2.4999999999999898</v>
      </c>
      <c r="Y1075">
        <v>10.0290659203401</v>
      </c>
      <c r="Z1075">
        <v>0.49999999999894101</v>
      </c>
      <c r="AA1075">
        <v>18.196498940279501</v>
      </c>
      <c r="AB1075" s="9">
        <f t="shared" si="152"/>
        <v>-0.43915810885400064</v>
      </c>
      <c r="AC1075" s="9">
        <f t="shared" si="153"/>
        <v>-0.46426385671832243</v>
      </c>
      <c r="AD1075" s="2">
        <f t="shared" si="154"/>
        <v>5.7167902307067031E-2</v>
      </c>
      <c r="AE1075" s="8">
        <f t="shared" si="155"/>
        <v>3.656474377418021E-2</v>
      </c>
      <c r="AF1075" s="2">
        <f t="shared" si="156"/>
        <v>-9.0704436802078528E-3</v>
      </c>
      <c r="AG1075" s="8">
        <f t="shared" si="157"/>
        <v>4.5635187454388063E-2</v>
      </c>
      <c r="AH1075" s="7">
        <f t="shared" si="158"/>
        <v>-0.19875986461704961</v>
      </c>
      <c r="AI1075">
        <f t="shared" si="159"/>
        <v>4</v>
      </c>
      <c r="AJ1075" s="10">
        <f t="shared" si="160"/>
        <v>0.730162999270209</v>
      </c>
    </row>
    <row r="1076" spans="1:36" hidden="1" x14ac:dyDescent="0.25">
      <c r="A1076" t="b">
        <v>0</v>
      </c>
      <c r="B1076">
        <v>1000</v>
      </c>
      <c r="C1076">
        <v>0.730162999270209</v>
      </c>
      <c r="D1076" t="s">
        <v>52</v>
      </c>
      <c r="E1076" t="b">
        <v>1</v>
      </c>
      <c r="F1076" t="s">
        <v>53</v>
      </c>
      <c r="G1076">
        <v>7.4999999999999997E-2</v>
      </c>
      <c r="H1076">
        <v>0.5</v>
      </c>
      <c r="I1076">
        <v>1E-4</v>
      </c>
      <c r="J1076" t="b">
        <v>1</v>
      </c>
      <c r="K1076">
        <v>4</v>
      </c>
      <c r="L1076">
        <v>1500</v>
      </c>
      <c r="M1076">
        <v>0.75</v>
      </c>
      <c r="N1076">
        <v>0.154</v>
      </c>
      <c r="O1076" t="s">
        <v>448</v>
      </c>
      <c r="P1076" t="s">
        <v>452</v>
      </c>
      <c r="Q1076" s="1">
        <v>-3.9243829578512598E-5</v>
      </c>
      <c r="R1076">
        <v>1.2852133245597701E-4</v>
      </c>
      <c r="S1076">
        <v>1.3877774140742301E-4</v>
      </c>
      <c r="T1076">
        <v>-9.7511054422556702E-4</v>
      </c>
      <c r="U1076">
        <v>4.0522238574651199</v>
      </c>
      <c r="V1076" s="1">
        <v>9.9999999999999905E-15</v>
      </c>
      <c r="W1076">
        <v>0.222311557625467</v>
      </c>
      <c r="X1076">
        <v>2.4999999999999898</v>
      </c>
      <c r="Y1076">
        <v>9.9757167609633104</v>
      </c>
      <c r="Z1076">
        <v>0.49999999999893102</v>
      </c>
      <c r="AA1076">
        <v>18.167209848869199</v>
      </c>
      <c r="AB1076" s="9">
        <f t="shared" si="152"/>
        <v>-0.43915118084518789</v>
      </c>
      <c r="AC1076" s="9">
        <f t="shared" si="153"/>
        <v>-0.46426385671832243</v>
      </c>
      <c r="AD1076" s="2">
        <f t="shared" si="154"/>
        <v>5.7184580091081294E-2</v>
      </c>
      <c r="AE1076" s="8">
        <f t="shared" si="155"/>
        <v>3.6562262475733361E-2</v>
      </c>
      <c r="AF1076" s="2">
        <f t="shared" si="156"/>
        <v>-9.072924978654702E-3</v>
      </c>
      <c r="AG1076" s="8">
        <f t="shared" si="157"/>
        <v>4.5635187454388063E-2</v>
      </c>
      <c r="AH1076" s="7">
        <f t="shared" si="158"/>
        <v>-0.19881423709989149</v>
      </c>
      <c r="AI1076">
        <f t="shared" si="159"/>
        <v>4</v>
      </c>
      <c r="AJ1076" s="10">
        <f t="shared" si="160"/>
        <v>0.730162999270209</v>
      </c>
    </row>
    <row r="1077" spans="1:36" hidden="1" x14ac:dyDescent="0.25">
      <c r="A1077" t="b">
        <v>0</v>
      </c>
      <c r="B1077">
        <v>1000</v>
      </c>
      <c r="C1077">
        <v>0.730162999270209</v>
      </c>
      <c r="D1077" t="s">
        <v>52</v>
      </c>
      <c r="E1077" t="b">
        <v>1</v>
      </c>
      <c r="F1077" t="s">
        <v>53</v>
      </c>
      <c r="G1077">
        <v>7.4999999999999997E-2</v>
      </c>
      <c r="H1077">
        <v>0.5</v>
      </c>
      <c r="I1077">
        <v>1E-4</v>
      </c>
      <c r="J1077" t="b">
        <v>1</v>
      </c>
      <c r="K1077">
        <v>4</v>
      </c>
      <c r="L1077">
        <v>1500</v>
      </c>
      <c r="M1077">
        <v>0.75</v>
      </c>
      <c r="N1077">
        <v>0.154</v>
      </c>
      <c r="O1077" t="s">
        <v>448</v>
      </c>
      <c r="P1077" t="s">
        <v>453</v>
      </c>
      <c r="Q1077">
        <v>-1.7647124693687799E-4</v>
      </c>
      <c r="R1077">
        <v>5.2225467494722202E-4</v>
      </c>
      <c r="S1077">
        <v>6.2399503523540099E-4</v>
      </c>
      <c r="T1077">
        <v>-4.3817247712468303E-3</v>
      </c>
      <c r="U1077">
        <v>4.0515932228804701</v>
      </c>
      <c r="V1077" s="1">
        <v>9.9999999999999905E-15</v>
      </c>
      <c r="W1077">
        <v>0.197808379794088</v>
      </c>
      <c r="X1077">
        <v>2.4999999999999898</v>
      </c>
      <c r="Y1077">
        <v>9.1326129444937898</v>
      </c>
      <c r="Z1077">
        <v>0.49999999999259798</v>
      </c>
      <c r="AA1077">
        <v>16.378332764485201</v>
      </c>
      <c r="AB1077" s="9">
        <f t="shared" si="152"/>
        <v>-0.43887816847711703</v>
      </c>
      <c r="AC1077" s="9">
        <f t="shared" si="153"/>
        <v>-0.46426385671832243</v>
      </c>
      <c r="AD1077" s="2">
        <f t="shared" si="154"/>
        <v>5.7842221519681214E-2</v>
      </c>
      <c r="AE1077" s="8">
        <f t="shared" si="155"/>
        <v>3.6464491288475939E-2</v>
      </c>
      <c r="AF1077" s="2">
        <f t="shared" si="156"/>
        <v>-9.1706961659121233E-3</v>
      </c>
      <c r="AG1077" s="8">
        <f t="shared" si="157"/>
        <v>4.5635187454388063E-2</v>
      </c>
      <c r="AH1077" s="7">
        <f t="shared" si="158"/>
        <v>-0.20095668885064069</v>
      </c>
      <c r="AI1077">
        <f t="shared" si="159"/>
        <v>4</v>
      </c>
      <c r="AJ1077" s="10">
        <f t="shared" si="160"/>
        <v>0.730162999270209</v>
      </c>
    </row>
    <row r="1078" spans="1:36" hidden="1" x14ac:dyDescent="0.25">
      <c r="A1078" t="b">
        <v>0</v>
      </c>
      <c r="B1078">
        <v>1000</v>
      </c>
      <c r="C1078">
        <v>0.730162999270209</v>
      </c>
      <c r="D1078" t="s">
        <v>52</v>
      </c>
      <c r="E1078" t="b">
        <v>1</v>
      </c>
      <c r="F1078" t="s">
        <v>53</v>
      </c>
      <c r="G1078">
        <v>7.4999999999999997E-2</v>
      </c>
      <c r="H1078">
        <v>0.5</v>
      </c>
      <c r="I1078">
        <v>1E-4</v>
      </c>
      <c r="J1078" t="b">
        <v>1</v>
      </c>
      <c r="K1078">
        <v>4</v>
      </c>
      <c r="L1078">
        <v>1500</v>
      </c>
      <c r="M1078">
        <v>0.75</v>
      </c>
      <c r="N1078">
        <v>0.154</v>
      </c>
      <c r="O1078" t="s">
        <v>448</v>
      </c>
      <c r="P1078" t="s">
        <v>454</v>
      </c>
      <c r="Q1078">
        <v>-1.5685036473996999E-4</v>
      </c>
      <c r="R1078">
        <v>5.1287772600750803E-4</v>
      </c>
      <c r="S1078">
        <v>5.5461232009485005E-4</v>
      </c>
      <c r="T1078">
        <v>-3.89432789257344E-3</v>
      </c>
      <c r="U1078">
        <v>4.0516834621508799</v>
      </c>
      <c r="V1078" s="1">
        <v>9.9999999999999905E-15</v>
      </c>
      <c r="W1078">
        <v>0.21932169081717401</v>
      </c>
      <c r="X1078">
        <v>2.4999999999999898</v>
      </c>
      <c r="Y1078">
        <v>10.000354768045399</v>
      </c>
      <c r="Z1078">
        <v>0.49999999999275702</v>
      </c>
      <c r="AA1078">
        <v>18.121852007499001</v>
      </c>
      <c r="AB1078" s="9">
        <f t="shared" si="152"/>
        <v>-0.43885698976938414</v>
      </c>
      <c r="AC1078" s="9">
        <f t="shared" si="153"/>
        <v>-0.46426385671832243</v>
      </c>
      <c r="AD1078" s="2">
        <f t="shared" si="154"/>
        <v>5.7893271706323635E-2</v>
      </c>
      <c r="AE1078" s="8">
        <f t="shared" si="155"/>
        <v>3.6456907540698795E-2</v>
      </c>
      <c r="AF1078" s="2">
        <f t="shared" si="156"/>
        <v>-9.1782799136892676E-3</v>
      </c>
      <c r="AG1078" s="8">
        <f t="shared" si="157"/>
        <v>4.5635187454388063E-2</v>
      </c>
      <c r="AH1078" s="7">
        <f t="shared" si="158"/>
        <v>-0.20112287087377195</v>
      </c>
      <c r="AI1078">
        <f t="shared" si="159"/>
        <v>4</v>
      </c>
      <c r="AJ1078" s="10">
        <f t="shared" si="160"/>
        <v>0.730162999270209</v>
      </c>
    </row>
    <row r="1079" spans="1:36" hidden="1" x14ac:dyDescent="0.25">
      <c r="A1079" t="b">
        <v>0</v>
      </c>
      <c r="B1079">
        <v>1000</v>
      </c>
      <c r="C1079">
        <v>0.730162999270209</v>
      </c>
      <c r="D1079" t="s">
        <v>52</v>
      </c>
      <c r="E1079" t="b">
        <v>1</v>
      </c>
      <c r="F1079" t="s">
        <v>53</v>
      </c>
      <c r="G1079">
        <v>7.4999999999999997E-2</v>
      </c>
      <c r="H1079">
        <v>0.5</v>
      </c>
      <c r="I1079">
        <v>1E-4</v>
      </c>
      <c r="J1079" t="b">
        <v>1</v>
      </c>
      <c r="K1079">
        <v>4</v>
      </c>
      <c r="L1079">
        <v>1500</v>
      </c>
      <c r="M1079">
        <v>0.75</v>
      </c>
      <c r="N1079">
        <v>0.154</v>
      </c>
      <c r="O1079" t="s">
        <v>448</v>
      </c>
      <c r="P1079" t="s">
        <v>455</v>
      </c>
      <c r="Q1079">
        <v>-1.7647124693687799E-4</v>
      </c>
      <c r="R1079">
        <v>5.3309313965917095E-4</v>
      </c>
      <c r="S1079">
        <v>6.23995035235405E-4</v>
      </c>
      <c r="T1079">
        <v>-4.3817247712470602E-3</v>
      </c>
      <c r="U1079">
        <v>4.0515932229626799</v>
      </c>
      <c r="V1079" s="1">
        <v>9.9999999999999905E-15</v>
      </c>
      <c r="W1079">
        <v>0.19987175160144599</v>
      </c>
      <c r="X1079">
        <v>2.4999999999999898</v>
      </c>
      <c r="Y1079">
        <v>9.3350110752406703</v>
      </c>
      <c r="Z1079">
        <v>0.49999999999259898</v>
      </c>
      <c r="AA1079">
        <v>16.710531058667598</v>
      </c>
      <c r="AB1079" s="9">
        <f t="shared" si="152"/>
        <v>-0.43887816847713723</v>
      </c>
      <c r="AC1079" s="9">
        <f t="shared" si="153"/>
        <v>-0.46426385671832243</v>
      </c>
      <c r="AD1079" s="2">
        <f t="shared" si="154"/>
        <v>5.7842221519632586E-2</v>
      </c>
      <c r="AE1079" s="8">
        <f t="shared" si="155"/>
        <v>3.6464491288483177E-2</v>
      </c>
      <c r="AF1079" s="2">
        <f t="shared" si="156"/>
        <v>-9.1706961659048861E-3</v>
      </c>
      <c r="AG1079" s="8">
        <f t="shared" si="157"/>
        <v>4.5635187454388063E-2</v>
      </c>
      <c r="AH1079" s="7">
        <f t="shared" si="158"/>
        <v>-0.2009566888504821</v>
      </c>
      <c r="AI1079">
        <f t="shared" si="159"/>
        <v>4</v>
      </c>
      <c r="AJ1079" s="10">
        <f t="shared" si="160"/>
        <v>0.730162999270209</v>
      </c>
    </row>
    <row r="1080" spans="1:36" hidden="1" x14ac:dyDescent="0.25">
      <c r="A1080" t="b">
        <v>0</v>
      </c>
      <c r="B1080">
        <v>1000</v>
      </c>
      <c r="C1080">
        <v>0.730162999270209</v>
      </c>
      <c r="D1080" t="s">
        <v>52</v>
      </c>
      <c r="E1080" t="b">
        <v>1</v>
      </c>
      <c r="F1080" t="s">
        <v>53</v>
      </c>
      <c r="G1080">
        <v>7.4999999999999997E-2</v>
      </c>
      <c r="H1080">
        <v>0.5</v>
      </c>
      <c r="I1080">
        <v>1E-4</v>
      </c>
      <c r="J1080" t="b">
        <v>1</v>
      </c>
      <c r="K1080">
        <v>4</v>
      </c>
      <c r="L1080">
        <v>1500</v>
      </c>
      <c r="M1080">
        <v>0.75</v>
      </c>
      <c r="N1080">
        <v>0.154</v>
      </c>
      <c r="O1080" t="s">
        <v>448</v>
      </c>
      <c r="P1080" t="s">
        <v>456</v>
      </c>
      <c r="Q1080">
        <v>-3.1369192693649702E-4</v>
      </c>
      <c r="R1080">
        <v>1.06511455989575E-3</v>
      </c>
      <c r="S1080">
        <v>1.10917218195208E-3</v>
      </c>
      <c r="T1080">
        <v>-7.7873063855048302E-3</v>
      </c>
      <c r="U1080">
        <v>4.0509625832495804</v>
      </c>
      <c r="V1080" s="1">
        <v>9.9999999999999905E-15</v>
      </c>
      <c r="W1080">
        <v>0.22700812151799399</v>
      </c>
      <c r="X1080">
        <v>2.4999999999999898</v>
      </c>
      <c r="Y1080">
        <v>10.367039357196299</v>
      </c>
      <c r="Z1080">
        <v>0.49999999999146899</v>
      </c>
      <c r="AA1080">
        <v>18.8217876258682</v>
      </c>
      <c r="AB1080" s="9">
        <f t="shared" si="152"/>
        <v>-0.4388017090705213</v>
      </c>
      <c r="AC1080" s="9">
        <f t="shared" si="153"/>
        <v>-0.46426385671832243</v>
      </c>
      <c r="AD1080" s="2">
        <f t="shared" si="154"/>
        <v>5.8026546208618024E-2</v>
      </c>
      <c r="AE1080" s="8">
        <f t="shared" si="155"/>
        <v>3.6437112952272199E-2</v>
      </c>
      <c r="AF1080" s="2">
        <f t="shared" si="156"/>
        <v>-9.1980745021158633E-3</v>
      </c>
      <c r="AG1080" s="8">
        <f t="shared" si="157"/>
        <v>4.5635187454388063E-2</v>
      </c>
      <c r="AH1080" s="7">
        <f t="shared" si="158"/>
        <v>-0.20155662801449542</v>
      </c>
      <c r="AI1080">
        <f t="shared" si="159"/>
        <v>4</v>
      </c>
      <c r="AJ1080" s="10">
        <f t="shared" si="160"/>
        <v>0.730162999270209</v>
      </c>
    </row>
    <row r="1081" spans="1:36" hidden="1" x14ac:dyDescent="0.25">
      <c r="A1081" t="b">
        <v>0</v>
      </c>
      <c r="B1081">
        <v>1000</v>
      </c>
      <c r="C1081">
        <v>0.730162999270209</v>
      </c>
      <c r="D1081" t="s">
        <v>52</v>
      </c>
      <c r="E1081" t="b">
        <v>1</v>
      </c>
      <c r="F1081" t="s">
        <v>53</v>
      </c>
      <c r="G1081">
        <v>7.4999999999999997E-2</v>
      </c>
      <c r="H1081">
        <v>0.5</v>
      </c>
      <c r="I1081">
        <v>1E-4</v>
      </c>
      <c r="J1081" t="b">
        <v>1</v>
      </c>
      <c r="K1081">
        <v>4</v>
      </c>
      <c r="L1081">
        <v>1500</v>
      </c>
      <c r="M1081">
        <v>0.75</v>
      </c>
      <c r="N1081">
        <v>0.154</v>
      </c>
      <c r="O1081" t="s">
        <v>449</v>
      </c>
      <c r="P1081" t="s">
        <v>450</v>
      </c>
      <c r="Q1081">
        <v>-1.3722838103514E-4</v>
      </c>
      <c r="R1081">
        <v>4.9381276625062301E-4</v>
      </c>
      <c r="S1081">
        <v>4.8522303840110799E-4</v>
      </c>
      <c r="T1081">
        <v>-3.4067620409994801E-3</v>
      </c>
      <c r="U1081">
        <v>4.0515932238387498</v>
      </c>
      <c r="V1081" s="1">
        <v>9.9999999999999905E-15</v>
      </c>
      <c r="W1081">
        <v>0.242904507066422</v>
      </c>
      <c r="X1081">
        <v>2.4999999999999898</v>
      </c>
      <c r="Y1081">
        <v>10.9123954772578</v>
      </c>
      <c r="Z1081">
        <v>0.49999999999290701</v>
      </c>
      <c r="AA1081">
        <v>19.972200204653099</v>
      </c>
      <c r="AB1081" s="9">
        <f t="shared" si="152"/>
        <v>-0.43881392825881388</v>
      </c>
      <c r="AC1081" s="9">
        <f t="shared" si="153"/>
        <v>-0.46426385671832243</v>
      </c>
      <c r="AD1081" s="2">
        <f t="shared" si="154"/>
        <v>5.7997084460131632E-2</v>
      </c>
      <c r="AE1081" s="8">
        <f t="shared" si="155"/>
        <v>3.6441488262458181E-2</v>
      </c>
      <c r="AF1081" s="2">
        <f t="shared" si="156"/>
        <v>-9.1936991919298813E-3</v>
      </c>
      <c r="AG1081" s="8">
        <f t="shared" si="157"/>
        <v>4.5635187454388063E-2</v>
      </c>
      <c r="AH1081" s="7">
        <f t="shared" si="158"/>
        <v>-0.20146075221272833</v>
      </c>
      <c r="AI1081">
        <f t="shared" si="159"/>
        <v>4</v>
      </c>
      <c r="AJ1081" s="10">
        <f t="shared" si="160"/>
        <v>0.730162999270209</v>
      </c>
    </row>
    <row r="1082" spans="1:36" hidden="1" x14ac:dyDescent="0.25">
      <c r="A1082" t="b">
        <v>0</v>
      </c>
      <c r="B1082">
        <v>1000</v>
      </c>
      <c r="C1082">
        <v>0.730162999270209</v>
      </c>
      <c r="D1082" t="s">
        <v>52</v>
      </c>
      <c r="E1082" t="b">
        <v>1</v>
      </c>
      <c r="F1082" t="s">
        <v>53</v>
      </c>
      <c r="G1082">
        <v>7.4999999999999997E-2</v>
      </c>
      <c r="H1082">
        <v>0.5</v>
      </c>
      <c r="I1082">
        <v>1E-4</v>
      </c>
      <c r="J1082" t="b">
        <v>1</v>
      </c>
      <c r="K1082">
        <v>4</v>
      </c>
      <c r="L1082">
        <v>1500</v>
      </c>
      <c r="M1082">
        <v>0.75</v>
      </c>
      <c r="N1082">
        <v>0.154</v>
      </c>
      <c r="O1082" t="s">
        <v>449</v>
      </c>
      <c r="P1082" t="s">
        <v>451</v>
      </c>
      <c r="Q1082" s="1">
        <v>-1E-10</v>
      </c>
      <c r="R1082" s="1">
        <v>3.5857860327247602E-12</v>
      </c>
      <c r="S1082" s="1">
        <v>-1.80475433778872E-18</v>
      </c>
      <c r="T1082" s="1">
        <v>2.40814921341673E-17</v>
      </c>
      <c r="U1082">
        <v>4.0522238575860703</v>
      </c>
      <c r="V1082">
        <v>0</v>
      </c>
      <c r="W1082">
        <v>6.8474550182969496E-2</v>
      </c>
      <c r="X1082">
        <v>2</v>
      </c>
      <c r="Y1082">
        <v>4.0005665263729397E-3</v>
      </c>
      <c r="Z1082">
        <v>2.5000000000000001E-4</v>
      </c>
      <c r="AA1082">
        <v>4.7933531159403001E-3</v>
      </c>
      <c r="AB1082" s="9">
        <f t="shared" si="152"/>
        <v>-0.8339601833175676</v>
      </c>
      <c r="AC1082" s="9">
        <f t="shared" si="153"/>
        <v>-0.46426385671832243</v>
      </c>
      <c r="AD1082" s="2">
        <f t="shared" si="154"/>
        <v>-0.44330213119835093</v>
      </c>
      <c r="AE1082" s="8">
        <f t="shared" si="155"/>
        <v>0.20030096345600751</v>
      </c>
      <c r="AF1082" s="2">
        <f t="shared" si="156"/>
        <v>0.15466577600161946</v>
      </c>
      <c r="AG1082" s="8">
        <f t="shared" si="157"/>
        <v>4.5635187454388063E-2</v>
      </c>
      <c r="AH1082" s="7">
        <f t="shared" si="158"/>
        <v>3.3891780581860531</v>
      </c>
      <c r="AI1082">
        <f t="shared" si="159"/>
        <v>4</v>
      </c>
      <c r="AJ1082" s="10">
        <f t="shared" si="160"/>
        <v>0.730162999270209</v>
      </c>
    </row>
    <row r="1083" spans="1:36" hidden="1" x14ac:dyDescent="0.25">
      <c r="A1083" t="b">
        <v>0</v>
      </c>
      <c r="B1083">
        <v>1000</v>
      </c>
      <c r="C1083">
        <v>0.730162999270209</v>
      </c>
      <c r="D1083" t="s">
        <v>52</v>
      </c>
      <c r="E1083" t="b">
        <v>1</v>
      </c>
      <c r="F1083" t="s">
        <v>53</v>
      </c>
      <c r="G1083">
        <v>7.4999999999999997E-2</v>
      </c>
      <c r="H1083">
        <v>0.5</v>
      </c>
      <c r="I1083">
        <v>1E-4</v>
      </c>
      <c r="J1083" t="b">
        <v>1</v>
      </c>
      <c r="K1083">
        <v>4</v>
      </c>
      <c r="L1083">
        <v>1500</v>
      </c>
      <c r="M1083">
        <v>0.75</v>
      </c>
      <c r="N1083">
        <v>0.154</v>
      </c>
      <c r="O1083" t="s">
        <v>449</v>
      </c>
      <c r="P1083" t="s">
        <v>452</v>
      </c>
      <c r="Q1083" s="1">
        <v>-1.9621845870528502E-5</v>
      </c>
      <c r="R1083" s="1">
        <v>6.4054831232283099E-5</v>
      </c>
      <c r="S1083" s="1">
        <v>6.9388459713677397E-5</v>
      </c>
      <c r="T1083">
        <v>-4.87544692651602E-4</v>
      </c>
      <c r="U1083">
        <v>4.0521336190941604</v>
      </c>
      <c r="V1083" s="1">
        <v>9.9999999999999905E-15</v>
      </c>
      <c r="W1083">
        <v>0.220734764036566</v>
      </c>
      <c r="X1083">
        <v>2.4999999999999898</v>
      </c>
      <c r="Y1083">
        <v>9.9584763972280808</v>
      </c>
      <c r="Z1083">
        <v>0.49999999999894001</v>
      </c>
      <c r="AA1083">
        <v>18.103253848317301</v>
      </c>
      <c r="AB1083" s="9">
        <f t="shared" si="152"/>
        <v>-0.43914425275416186</v>
      </c>
      <c r="AC1083" s="9">
        <f t="shared" si="153"/>
        <v>-0.46426385671832243</v>
      </c>
      <c r="AD1083" s="2">
        <f t="shared" si="154"/>
        <v>5.7201258599239413E-2</v>
      </c>
      <c r="AE1083" s="8">
        <f t="shared" si="155"/>
        <v>3.6559781159720965E-2</v>
      </c>
      <c r="AF1083" s="2">
        <f t="shared" si="156"/>
        <v>-9.0754062946670974E-3</v>
      </c>
      <c r="AG1083" s="8">
        <f t="shared" si="157"/>
        <v>4.5635187454388063E-2</v>
      </c>
      <c r="AH1083" s="7">
        <f t="shared" si="158"/>
        <v>-0.19886860996764569</v>
      </c>
      <c r="AI1083">
        <f t="shared" si="159"/>
        <v>4</v>
      </c>
      <c r="AJ1083" s="10">
        <f t="shared" si="160"/>
        <v>0.730162999270209</v>
      </c>
    </row>
    <row r="1084" spans="1:36" hidden="1" x14ac:dyDescent="0.25">
      <c r="A1084" t="b">
        <v>0</v>
      </c>
      <c r="B1084">
        <v>1000</v>
      </c>
      <c r="C1084">
        <v>0.730162999270209</v>
      </c>
      <c r="D1084" t="s">
        <v>52</v>
      </c>
      <c r="E1084" t="b">
        <v>1</v>
      </c>
      <c r="F1084" t="s">
        <v>53</v>
      </c>
      <c r="G1084">
        <v>7.4999999999999997E-2</v>
      </c>
      <c r="H1084">
        <v>0.5</v>
      </c>
      <c r="I1084">
        <v>1E-4</v>
      </c>
      <c r="J1084" t="b">
        <v>1</v>
      </c>
      <c r="K1084">
        <v>4</v>
      </c>
      <c r="L1084">
        <v>1500</v>
      </c>
      <c r="M1084">
        <v>0.75</v>
      </c>
      <c r="N1084">
        <v>0.154</v>
      </c>
      <c r="O1084" t="s">
        <v>449</v>
      </c>
      <c r="P1084" t="s">
        <v>453</v>
      </c>
      <c r="Q1084">
        <v>-1.56849263232177E-4</v>
      </c>
      <c r="R1084">
        <v>5.1043054967841604E-4</v>
      </c>
      <c r="S1084">
        <v>5.5460575354165302E-4</v>
      </c>
      <c r="T1084">
        <v>-3.8941589196727698E-3</v>
      </c>
      <c r="U1084">
        <v>4.0515029845095096</v>
      </c>
      <c r="V1084" s="1">
        <v>9.9999999999999905E-15</v>
      </c>
      <c r="W1084">
        <v>0.21714251650625599</v>
      </c>
      <c r="X1084">
        <v>2.4999999999999898</v>
      </c>
      <c r="Y1084">
        <v>9.9746581568111594</v>
      </c>
      <c r="Z1084">
        <v>0.49999999999275302</v>
      </c>
      <c r="AA1084">
        <v>18.0271428022569</v>
      </c>
      <c r="AB1084" s="9">
        <f t="shared" si="152"/>
        <v>-0.4388431438464494</v>
      </c>
      <c r="AC1084" s="9">
        <f t="shared" si="153"/>
        <v>-0.46426385671832243</v>
      </c>
      <c r="AD1084" s="2">
        <f t="shared" si="154"/>
        <v>5.7926649255725104E-2</v>
      </c>
      <c r="AE1084" s="8">
        <f t="shared" si="155"/>
        <v>3.6451949602848775E-2</v>
      </c>
      <c r="AF1084" s="2">
        <f t="shared" si="156"/>
        <v>-9.1832378515392873E-3</v>
      </c>
      <c r="AG1084" s="8">
        <f t="shared" si="157"/>
        <v>4.5635187454388063E-2</v>
      </c>
      <c r="AH1084" s="7">
        <f t="shared" si="158"/>
        <v>-0.20123151374622592</v>
      </c>
      <c r="AI1084">
        <f t="shared" si="159"/>
        <v>4</v>
      </c>
      <c r="AJ1084" s="10">
        <f t="shared" si="160"/>
        <v>0.730162999270209</v>
      </c>
    </row>
    <row r="1085" spans="1:36" hidden="1" x14ac:dyDescent="0.25">
      <c r="A1085" t="b">
        <v>0</v>
      </c>
      <c r="B1085">
        <v>1000</v>
      </c>
      <c r="C1085">
        <v>0.730162999270209</v>
      </c>
      <c r="D1085" t="s">
        <v>52</v>
      </c>
      <c r="E1085" t="b">
        <v>1</v>
      </c>
      <c r="F1085" t="s">
        <v>53</v>
      </c>
      <c r="G1085">
        <v>7.4999999999999997E-2</v>
      </c>
      <c r="H1085">
        <v>0.5</v>
      </c>
      <c r="I1085">
        <v>1E-4</v>
      </c>
      <c r="J1085" t="b">
        <v>1</v>
      </c>
      <c r="K1085">
        <v>4</v>
      </c>
      <c r="L1085">
        <v>1500</v>
      </c>
      <c r="M1085">
        <v>0.75</v>
      </c>
      <c r="N1085">
        <v>0.154</v>
      </c>
      <c r="O1085" t="s">
        <v>449</v>
      </c>
      <c r="P1085" t="s">
        <v>454</v>
      </c>
      <c r="Q1085">
        <v>-1.3722838103513799E-4</v>
      </c>
      <c r="R1085">
        <v>4.9467109415321704E-4</v>
      </c>
      <c r="S1085">
        <v>4.8522303840110598E-4</v>
      </c>
      <c r="T1085">
        <v>-3.40676204099967E-3</v>
      </c>
      <c r="U1085">
        <v>4.0515932237799204</v>
      </c>
      <c r="V1085" s="1">
        <v>9.9999999999999905E-15</v>
      </c>
      <c r="W1085">
        <v>0.244051773581037</v>
      </c>
      <c r="X1085">
        <v>2.4999999999999898</v>
      </c>
      <c r="Y1085">
        <v>10.918887939769601</v>
      </c>
      <c r="Z1085">
        <v>0.49999999999290701</v>
      </c>
      <c r="AA1085">
        <v>20.0120438567529</v>
      </c>
      <c r="AB1085" s="9">
        <f t="shared" si="152"/>
        <v>-0.43881392825884019</v>
      </c>
      <c r="AC1085" s="9">
        <f t="shared" si="153"/>
        <v>-0.46426385671832243</v>
      </c>
      <c r="AD1085" s="2">
        <f t="shared" si="154"/>
        <v>5.7997084460068127E-2</v>
      </c>
      <c r="AE1085" s="8">
        <f t="shared" si="155"/>
        <v>3.6441488262467611E-2</v>
      </c>
      <c r="AF1085" s="2">
        <f t="shared" si="156"/>
        <v>-9.1936991919204514E-3</v>
      </c>
      <c r="AG1085" s="8">
        <f t="shared" si="157"/>
        <v>4.5635187454388063E-2</v>
      </c>
      <c r="AH1085" s="7">
        <f t="shared" si="158"/>
        <v>-0.20146075221252169</v>
      </c>
      <c r="AI1085">
        <f t="shared" si="159"/>
        <v>4</v>
      </c>
      <c r="AJ1085" s="10">
        <f t="shared" si="160"/>
        <v>0.730162999270209</v>
      </c>
    </row>
    <row r="1086" spans="1:36" hidden="1" x14ac:dyDescent="0.25">
      <c r="A1086" t="b">
        <v>0</v>
      </c>
      <c r="B1086">
        <v>1000</v>
      </c>
      <c r="C1086">
        <v>0.730162999270209</v>
      </c>
      <c r="D1086" t="s">
        <v>52</v>
      </c>
      <c r="E1086" t="b">
        <v>1</v>
      </c>
      <c r="F1086" t="s">
        <v>53</v>
      </c>
      <c r="G1086">
        <v>7.4999999999999997E-2</v>
      </c>
      <c r="H1086">
        <v>0.5</v>
      </c>
      <c r="I1086">
        <v>1E-4</v>
      </c>
      <c r="J1086" t="b">
        <v>1</v>
      </c>
      <c r="K1086">
        <v>4</v>
      </c>
      <c r="L1086">
        <v>1500</v>
      </c>
      <c r="M1086">
        <v>0.75</v>
      </c>
      <c r="N1086">
        <v>0.154</v>
      </c>
      <c r="O1086" t="s">
        <v>449</v>
      </c>
      <c r="P1086" t="s">
        <v>455</v>
      </c>
      <c r="Q1086">
        <v>-1.56849263232177E-4</v>
      </c>
      <c r="R1086">
        <v>5.0888716344187903E-4</v>
      </c>
      <c r="S1086">
        <v>5.5460575354165595E-4</v>
      </c>
      <c r="T1086">
        <v>-3.8941589196730101E-3</v>
      </c>
      <c r="U1086">
        <v>4.0515029845917203</v>
      </c>
      <c r="V1086" s="1">
        <v>9.9999999999999905E-15</v>
      </c>
      <c r="W1086">
        <v>0.21673494585296901</v>
      </c>
      <c r="X1086">
        <v>2.4999999999999898</v>
      </c>
      <c r="Y1086">
        <v>9.9405382377914702</v>
      </c>
      <c r="Z1086">
        <v>0.49999999999275302</v>
      </c>
      <c r="AA1086">
        <v>17.974616440550601</v>
      </c>
      <c r="AB1086" s="9">
        <f t="shared" si="152"/>
        <v>-0.43884314384647416</v>
      </c>
      <c r="AC1086" s="9">
        <f t="shared" si="153"/>
        <v>-0.46426385671832243</v>
      </c>
      <c r="AD1086" s="2">
        <f t="shared" si="154"/>
        <v>5.7926649255665597E-2</v>
      </c>
      <c r="AE1086" s="8">
        <f t="shared" si="155"/>
        <v>3.6451949602857629E-2</v>
      </c>
      <c r="AF1086" s="2">
        <f t="shared" si="156"/>
        <v>-9.1832378515304333E-3</v>
      </c>
      <c r="AG1086" s="8">
        <f t="shared" si="157"/>
        <v>4.5635187454388063E-2</v>
      </c>
      <c r="AH1086" s="7">
        <f t="shared" si="158"/>
        <v>-0.20123151374603188</v>
      </c>
      <c r="AI1086">
        <f t="shared" si="159"/>
        <v>4</v>
      </c>
      <c r="AJ1086" s="10">
        <f t="shared" si="160"/>
        <v>0.730162999270209</v>
      </c>
    </row>
    <row r="1087" spans="1:36" hidden="1" x14ac:dyDescent="0.25">
      <c r="A1087" t="b">
        <v>0</v>
      </c>
      <c r="B1087">
        <v>1000</v>
      </c>
      <c r="C1087">
        <v>0.730162999270209</v>
      </c>
      <c r="D1087" t="s">
        <v>52</v>
      </c>
      <c r="E1087" t="b">
        <v>1</v>
      </c>
      <c r="F1087" t="s">
        <v>53</v>
      </c>
      <c r="G1087">
        <v>7.4999999999999997E-2</v>
      </c>
      <c r="H1087">
        <v>0.5</v>
      </c>
      <c r="I1087">
        <v>1E-4</v>
      </c>
      <c r="J1087" t="b">
        <v>1</v>
      </c>
      <c r="K1087">
        <v>4</v>
      </c>
      <c r="L1087">
        <v>1500</v>
      </c>
      <c r="M1087">
        <v>0.75</v>
      </c>
      <c r="N1087">
        <v>0.154</v>
      </c>
      <c r="O1087" t="s">
        <v>449</v>
      </c>
      <c r="P1087" t="s">
        <v>456</v>
      </c>
      <c r="Q1087">
        <v>-2.9406994323217698E-4</v>
      </c>
      <c r="R1087">
        <v>1.0709917119871299E-3</v>
      </c>
      <c r="S1087">
        <v>1.03978290025834E-3</v>
      </c>
      <c r="T1087">
        <v>-7.2997405339308803E-3</v>
      </c>
      <c r="U1087">
        <v>4.0508723448786199</v>
      </c>
      <c r="V1087" s="1">
        <v>9.9999999999999905E-15</v>
      </c>
      <c r="W1087">
        <v>0.246329207116741</v>
      </c>
      <c r="X1087">
        <v>2.4999999999999898</v>
      </c>
      <c r="Y1087">
        <v>11.027858520553799</v>
      </c>
      <c r="Z1087">
        <v>0.49999999999155798</v>
      </c>
      <c r="AA1087">
        <v>20.219232228147199</v>
      </c>
      <c r="AB1087" s="9">
        <f t="shared" si="152"/>
        <v>-0.43877792494695395</v>
      </c>
      <c r="AC1087" s="9">
        <f t="shared" si="153"/>
        <v>-0.46426385671832243</v>
      </c>
      <c r="AD1087" s="2">
        <f t="shared" si="154"/>
        <v>5.80838969381825E-2</v>
      </c>
      <c r="AE1087" s="8">
        <f t="shared" si="155"/>
        <v>3.6428596705427231E-2</v>
      </c>
      <c r="AF1087" s="2">
        <f t="shared" si="156"/>
        <v>-9.2065907489608315E-3</v>
      </c>
      <c r="AG1087" s="8">
        <f t="shared" si="157"/>
        <v>4.5635187454388063E-2</v>
      </c>
      <c r="AH1087" s="7">
        <f t="shared" si="158"/>
        <v>-0.20174324381077061</v>
      </c>
      <c r="AI1087">
        <f t="shared" si="159"/>
        <v>4</v>
      </c>
      <c r="AJ1087" s="10">
        <f t="shared" si="160"/>
        <v>0.730162999270209</v>
      </c>
    </row>
    <row r="1088" spans="1:36" hidden="1" x14ac:dyDescent="0.25">
      <c r="A1088" t="b">
        <v>0</v>
      </c>
      <c r="B1088">
        <v>1000</v>
      </c>
      <c r="C1088">
        <v>0.730162999270209</v>
      </c>
      <c r="D1088" t="s">
        <v>52</v>
      </c>
      <c r="E1088" t="b">
        <v>1</v>
      </c>
      <c r="F1088" t="s">
        <v>53</v>
      </c>
      <c r="G1088">
        <v>7.4999999999999997E-2</v>
      </c>
      <c r="H1088">
        <v>0.5</v>
      </c>
      <c r="I1088">
        <v>1E-4</v>
      </c>
      <c r="J1088" t="b">
        <v>1</v>
      </c>
      <c r="K1088">
        <v>4</v>
      </c>
      <c r="L1088">
        <v>1500</v>
      </c>
      <c r="M1088">
        <v>0.75</v>
      </c>
      <c r="N1088">
        <v>0.154</v>
      </c>
      <c r="O1088" t="s">
        <v>450</v>
      </c>
      <c r="P1088" t="s">
        <v>453</v>
      </c>
      <c r="Q1088" s="1">
        <v>-1.9620882200219501E-5</v>
      </c>
      <c r="R1088" s="1">
        <v>6.5134015013031295E-5</v>
      </c>
      <c r="S1088" s="1">
        <v>6.9382715140544894E-5</v>
      </c>
      <c r="T1088">
        <v>-4.8739687867325798E-4</v>
      </c>
      <c r="U1088">
        <v>4.0508723507556201</v>
      </c>
      <c r="V1088" s="1">
        <v>9.9999999999999905E-15</v>
      </c>
      <c r="W1088">
        <v>0.22460849352082199</v>
      </c>
      <c r="X1088">
        <v>2.4999999999999898</v>
      </c>
      <c r="Y1088">
        <v>10.111484150557899</v>
      </c>
      <c r="Z1088">
        <v>0.49999999999893602</v>
      </c>
      <c r="AA1088">
        <v>18.414202840337499</v>
      </c>
      <c r="AB1088" s="9">
        <f t="shared" si="152"/>
        <v>-0.43904746096160613</v>
      </c>
      <c r="AC1088" s="9">
        <f t="shared" si="153"/>
        <v>-0.46426385671832243</v>
      </c>
      <c r="AD1088" s="2">
        <f t="shared" si="154"/>
        <v>5.7434327718208555E-2</v>
      </c>
      <c r="AE1088" s="8">
        <f t="shared" si="155"/>
        <v>3.6525116139148051E-2</v>
      </c>
      <c r="AF1088" s="2">
        <f t="shared" si="156"/>
        <v>-9.110071315240012E-3</v>
      </c>
      <c r="AG1088" s="8">
        <f t="shared" si="157"/>
        <v>4.5635187454388063E-2</v>
      </c>
      <c r="AH1088" s="7">
        <f t="shared" si="158"/>
        <v>-0.19962822162931712</v>
      </c>
      <c r="AI1088">
        <f t="shared" si="159"/>
        <v>4</v>
      </c>
      <c r="AJ1088" s="10">
        <f t="shared" si="160"/>
        <v>0.730162999270209</v>
      </c>
    </row>
    <row r="1089" spans="1:36" hidden="1" x14ac:dyDescent="0.25">
      <c r="A1089" t="b">
        <v>0</v>
      </c>
      <c r="B1089">
        <v>1000</v>
      </c>
      <c r="C1089">
        <v>0.730162999270209</v>
      </c>
      <c r="D1089" t="s">
        <v>52</v>
      </c>
      <c r="E1089" t="b">
        <v>1</v>
      </c>
      <c r="F1089" t="s">
        <v>53</v>
      </c>
      <c r="G1089">
        <v>7.4999999999999997E-2</v>
      </c>
      <c r="H1089">
        <v>0.5</v>
      </c>
      <c r="I1089">
        <v>1E-4</v>
      </c>
      <c r="J1089" t="b">
        <v>1</v>
      </c>
      <c r="K1089">
        <v>4</v>
      </c>
      <c r="L1089">
        <v>1500</v>
      </c>
      <c r="M1089">
        <v>0.75</v>
      </c>
      <c r="N1089">
        <v>0.154</v>
      </c>
      <c r="O1089" t="s">
        <v>450</v>
      </c>
      <c r="P1089" t="s">
        <v>454</v>
      </c>
      <c r="Q1089" s="1">
        <v>-1E-10</v>
      </c>
      <c r="R1089" s="1">
        <v>3.5857860483894199E-12</v>
      </c>
      <c r="S1089" s="1">
        <v>3.3436212348345698E-18</v>
      </c>
      <c r="T1089" s="1">
        <v>-3.1261912582385098E-16</v>
      </c>
      <c r="U1089">
        <v>4.05096259002603</v>
      </c>
      <c r="V1089">
        <v>0</v>
      </c>
      <c r="W1089">
        <v>6.8474550482103602E-2</v>
      </c>
      <c r="X1089">
        <v>2</v>
      </c>
      <c r="Y1089">
        <v>4.00056654384959E-3</v>
      </c>
      <c r="Z1089">
        <v>2.5000000000000001E-4</v>
      </c>
      <c r="AA1089">
        <v>4.7933531368802703E-3</v>
      </c>
      <c r="AB1089" s="9">
        <f t="shared" si="152"/>
        <v>-5.8435731776172277</v>
      </c>
      <c r="AC1089" s="9">
        <f t="shared" si="153"/>
        <v>-0.46426385671832243</v>
      </c>
      <c r="AD1089" s="2">
        <f t="shared" si="154"/>
        <v>-0.92055137454313007</v>
      </c>
      <c r="AE1089" s="8">
        <f t="shared" si="155"/>
        <v>-2.1951049246673962</v>
      </c>
      <c r="AF1089" s="2">
        <f t="shared" si="156"/>
        <v>-2.240740112121784</v>
      </c>
      <c r="AG1089" s="8">
        <f t="shared" si="157"/>
        <v>4.5635187454388063E-2</v>
      </c>
      <c r="AH1089" s="7">
        <f t="shared" si="158"/>
        <v>-49.101148414507612</v>
      </c>
      <c r="AI1089">
        <f t="shared" si="159"/>
        <v>4</v>
      </c>
      <c r="AJ1089" s="10">
        <f t="shared" si="160"/>
        <v>0.730162999270209</v>
      </c>
    </row>
    <row r="1090" spans="1:36" hidden="1" x14ac:dyDescent="0.25">
      <c r="A1090" t="b">
        <v>0</v>
      </c>
      <c r="B1090">
        <v>1000</v>
      </c>
      <c r="C1090">
        <v>0.730162999270209</v>
      </c>
      <c r="D1090" t="s">
        <v>52</v>
      </c>
      <c r="E1090" t="b">
        <v>1</v>
      </c>
      <c r="F1090" t="s">
        <v>53</v>
      </c>
      <c r="G1090">
        <v>7.4999999999999997E-2</v>
      </c>
      <c r="H1090">
        <v>0.5</v>
      </c>
      <c r="I1090">
        <v>1E-4</v>
      </c>
      <c r="J1090" t="b">
        <v>1</v>
      </c>
      <c r="K1090">
        <v>4</v>
      </c>
      <c r="L1090">
        <v>1500</v>
      </c>
      <c r="M1090">
        <v>0.75</v>
      </c>
      <c r="N1090">
        <v>0.154</v>
      </c>
      <c r="O1090" t="s">
        <v>450</v>
      </c>
      <c r="P1090" t="s">
        <v>455</v>
      </c>
      <c r="Q1090" s="1">
        <v>-1.9620882200219101E-5</v>
      </c>
      <c r="R1090" s="1">
        <v>6.4886859958464602E-5</v>
      </c>
      <c r="S1090" s="1">
        <v>6.9382715140550098E-5</v>
      </c>
      <c r="T1090">
        <v>-4.8739687867359701E-4</v>
      </c>
      <c r="U1090">
        <v>4.0508723508378299</v>
      </c>
      <c r="V1090" s="1">
        <v>9.9999999999999905E-15</v>
      </c>
      <c r="W1090">
        <v>0.22049996121163801</v>
      </c>
      <c r="X1090">
        <v>2.4999999999999898</v>
      </c>
      <c r="Y1090">
        <v>10.125693613355899</v>
      </c>
      <c r="Z1090">
        <v>0.49999999999893602</v>
      </c>
      <c r="AA1090">
        <v>18.323188790058001</v>
      </c>
      <c r="AB1090" s="9">
        <f t="shared" si="152"/>
        <v>-0.43904746096187863</v>
      </c>
      <c r="AC1090" s="9">
        <f t="shared" si="153"/>
        <v>-0.46426385671832243</v>
      </c>
      <c r="AD1090" s="2">
        <f t="shared" si="154"/>
        <v>5.7434327717552414E-2</v>
      </c>
      <c r="AE1090" s="8">
        <f t="shared" si="155"/>
        <v>3.6525116139245653E-2</v>
      </c>
      <c r="AF1090" s="2">
        <f t="shared" si="156"/>
        <v>-9.1100713151424095E-3</v>
      </c>
      <c r="AG1090" s="8">
        <f t="shared" si="157"/>
        <v>4.5635187454388063E-2</v>
      </c>
      <c r="AH1090" s="7">
        <f t="shared" si="158"/>
        <v>-0.19962822162717836</v>
      </c>
      <c r="AI1090">
        <f t="shared" si="159"/>
        <v>4</v>
      </c>
      <c r="AJ1090" s="10">
        <f t="shared" si="160"/>
        <v>0.730162999270209</v>
      </c>
    </row>
    <row r="1091" spans="1:36" hidden="1" x14ac:dyDescent="0.25">
      <c r="A1091" t="b">
        <v>0</v>
      </c>
      <c r="B1091">
        <v>1000</v>
      </c>
      <c r="C1091">
        <v>0.730162999270209</v>
      </c>
      <c r="D1091" t="s">
        <v>52</v>
      </c>
      <c r="E1091" t="b">
        <v>1</v>
      </c>
      <c r="F1091" t="s">
        <v>53</v>
      </c>
      <c r="G1091">
        <v>7.4999999999999997E-2</v>
      </c>
      <c r="H1091">
        <v>0.5</v>
      </c>
      <c r="I1091">
        <v>1E-4</v>
      </c>
      <c r="J1091" t="b">
        <v>1</v>
      </c>
      <c r="K1091">
        <v>4</v>
      </c>
      <c r="L1091">
        <v>1500</v>
      </c>
      <c r="M1091">
        <v>0.75</v>
      </c>
      <c r="N1091">
        <v>0.154</v>
      </c>
      <c r="O1091" t="s">
        <v>450</v>
      </c>
      <c r="P1091" t="s">
        <v>456</v>
      </c>
      <c r="Q1091">
        <v>-1.5684156220409199E-4</v>
      </c>
      <c r="R1091">
        <v>5.1616286011138904E-4</v>
      </c>
      <c r="S1091">
        <v>5.5455986185723005E-4</v>
      </c>
      <c r="T1091">
        <v>-3.8929784929314002E-3</v>
      </c>
      <c r="U1091">
        <v>4.0502417111247304</v>
      </c>
      <c r="V1091" s="1">
        <v>9.9999999999999905E-15</v>
      </c>
      <c r="W1091">
        <v>0.222829648392836</v>
      </c>
      <c r="X1091">
        <v>2.4999999999999898</v>
      </c>
      <c r="Y1091">
        <v>10.029278249504999</v>
      </c>
      <c r="Z1091">
        <v>0.49999999999272599</v>
      </c>
      <c r="AA1091">
        <v>18.2528205614367</v>
      </c>
      <c r="AB1091" s="9">
        <f t="shared" si="152"/>
        <v>-0.43874642314241691</v>
      </c>
      <c r="AC1091" s="9">
        <f t="shared" si="153"/>
        <v>-0.46426385671832243</v>
      </c>
      <c r="AD1091" s="2">
        <f t="shared" si="154"/>
        <v>5.815986690704622E-2</v>
      </c>
      <c r="AE1091" s="8">
        <f t="shared" si="155"/>
        <v>3.6417317247569143E-2</v>
      </c>
      <c r="AF1091" s="2">
        <f t="shared" si="156"/>
        <v>-9.2178702068189192E-3</v>
      </c>
      <c r="AG1091" s="8">
        <f t="shared" si="157"/>
        <v>4.5635187454388063E-2</v>
      </c>
      <c r="AH1091" s="7">
        <f t="shared" si="158"/>
        <v>-0.20199040961609049</v>
      </c>
      <c r="AI1091">
        <f t="shared" si="159"/>
        <v>4</v>
      </c>
      <c r="AJ1091" s="10">
        <f t="shared" si="160"/>
        <v>0.730162999270209</v>
      </c>
    </row>
    <row r="1092" spans="1:36" hidden="1" x14ac:dyDescent="0.25">
      <c r="A1092" t="b">
        <v>0</v>
      </c>
      <c r="B1092">
        <v>1000</v>
      </c>
      <c r="C1092">
        <v>0.730162999270209</v>
      </c>
      <c r="D1092" t="s">
        <v>52</v>
      </c>
      <c r="E1092" t="b">
        <v>1</v>
      </c>
      <c r="F1092" t="s">
        <v>53</v>
      </c>
      <c r="G1092">
        <v>7.4999999999999997E-2</v>
      </c>
      <c r="H1092">
        <v>0.5</v>
      </c>
      <c r="I1092">
        <v>1E-4</v>
      </c>
      <c r="J1092" t="b">
        <v>1</v>
      </c>
      <c r="K1092">
        <v>4</v>
      </c>
      <c r="L1092">
        <v>1500</v>
      </c>
      <c r="M1092">
        <v>0.75</v>
      </c>
      <c r="N1092">
        <v>0.154</v>
      </c>
      <c r="O1092" t="s">
        <v>451</v>
      </c>
      <c r="P1092" t="s">
        <v>452</v>
      </c>
      <c r="Q1092" s="1">
        <v>-1.9621845870529301E-5</v>
      </c>
      <c r="R1092" s="1">
        <v>6.54678052722063E-5</v>
      </c>
      <c r="S1092" s="1">
        <v>6.9388459713681206E-5</v>
      </c>
      <c r="T1092">
        <v>-4.8754469265168597E-4</v>
      </c>
      <c r="U1092">
        <v>4.0521336190876003</v>
      </c>
      <c r="V1092" s="1">
        <v>9.9999999999999905E-15</v>
      </c>
      <c r="W1092">
        <v>0.22562767550593499</v>
      </c>
      <c r="X1092">
        <v>2.4999999999999898</v>
      </c>
      <c r="Y1092">
        <v>10.1612608988804</v>
      </c>
      <c r="Z1092">
        <v>0.49999999999894101</v>
      </c>
      <c r="AA1092">
        <v>18.507718826273599</v>
      </c>
      <c r="AB1092" s="9">
        <f t="shared" si="152"/>
        <v>-0.43914425275421343</v>
      </c>
      <c r="AC1092" s="9">
        <f t="shared" si="153"/>
        <v>-0.46426385671832243</v>
      </c>
      <c r="AD1092" s="2">
        <f t="shared" si="154"/>
        <v>5.720125859911529E-2</v>
      </c>
      <c r="AE1092" s="8">
        <f t="shared" si="155"/>
        <v>3.6559781159739443E-2</v>
      </c>
      <c r="AF1092" s="2">
        <f t="shared" si="156"/>
        <v>-9.0754062946486191E-3</v>
      </c>
      <c r="AG1092" s="8">
        <f t="shared" si="157"/>
        <v>4.5635187454388063E-2</v>
      </c>
      <c r="AH1092" s="7">
        <f t="shared" si="158"/>
        <v>-0.19886860996724079</v>
      </c>
      <c r="AI1092">
        <f t="shared" si="159"/>
        <v>4</v>
      </c>
      <c r="AJ1092" s="10">
        <f t="shared" si="160"/>
        <v>0.730162999270209</v>
      </c>
    </row>
    <row r="1093" spans="1:36" hidden="1" x14ac:dyDescent="0.25">
      <c r="A1093" t="b">
        <v>0</v>
      </c>
      <c r="B1093">
        <v>1000</v>
      </c>
      <c r="C1093">
        <v>0.730162999270209</v>
      </c>
      <c r="D1093" t="s">
        <v>52</v>
      </c>
      <c r="E1093" t="b">
        <v>1</v>
      </c>
      <c r="F1093" t="s">
        <v>53</v>
      </c>
      <c r="G1093">
        <v>7.4999999999999997E-2</v>
      </c>
      <c r="H1093">
        <v>0.5</v>
      </c>
      <c r="I1093">
        <v>1E-4</v>
      </c>
      <c r="J1093" t="b">
        <v>1</v>
      </c>
      <c r="K1093">
        <v>4</v>
      </c>
      <c r="L1093">
        <v>1500</v>
      </c>
      <c r="M1093">
        <v>0.75</v>
      </c>
      <c r="N1093">
        <v>0.154</v>
      </c>
      <c r="O1093" t="s">
        <v>451</v>
      </c>
      <c r="P1093" t="s">
        <v>453</v>
      </c>
      <c r="Q1093">
        <v>-1.56849263232178E-4</v>
      </c>
      <c r="R1093">
        <v>5.0356683771193302E-4</v>
      </c>
      <c r="S1093">
        <v>5.5460575354165801E-4</v>
      </c>
      <c r="T1093">
        <v>-3.89415891967284E-3</v>
      </c>
      <c r="U1093">
        <v>4.0515029845029398</v>
      </c>
      <c r="V1093" s="1">
        <v>9.9999999999999905E-15</v>
      </c>
      <c r="W1093">
        <v>0.214291769801115</v>
      </c>
      <c r="X1093">
        <v>2.4999999999999898</v>
      </c>
      <c r="Y1093">
        <v>9.8468707034010201</v>
      </c>
      <c r="Z1093">
        <v>0.49999999999275302</v>
      </c>
      <c r="AA1093">
        <v>17.7834510588999</v>
      </c>
      <c r="AB1093" s="9">
        <f t="shared" si="152"/>
        <v>-0.4388431438464534</v>
      </c>
      <c r="AC1093" s="9">
        <f t="shared" si="153"/>
        <v>-0.46426385671832243</v>
      </c>
      <c r="AD1093" s="2">
        <f t="shared" si="154"/>
        <v>5.7926649255715557E-2</v>
      </c>
      <c r="AE1093" s="8">
        <f t="shared" si="155"/>
        <v>3.6451949602850212E-2</v>
      </c>
      <c r="AF1093" s="2">
        <f t="shared" si="156"/>
        <v>-9.183237851537851E-3</v>
      </c>
      <c r="AG1093" s="8">
        <f t="shared" si="157"/>
        <v>4.5635187454388063E-2</v>
      </c>
      <c r="AH1093" s="7">
        <f t="shared" si="158"/>
        <v>-0.20123151374619444</v>
      </c>
      <c r="AI1093">
        <f t="shared" si="159"/>
        <v>4</v>
      </c>
      <c r="AJ1093" s="10">
        <f t="shared" si="160"/>
        <v>0.730162999270209</v>
      </c>
    </row>
    <row r="1094" spans="1:36" hidden="1" x14ac:dyDescent="0.25">
      <c r="A1094" t="b">
        <v>0</v>
      </c>
      <c r="B1094">
        <v>1000</v>
      </c>
      <c r="C1094">
        <v>0.730162999270209</v>
      </c>
      <c r="D1094" t="s">
        <v>52</v>
      </c>
      <c r="E1094" t="b">
        <v>1</v>
      </c>
      <c r="F1094" t="s">
        <v>53</v>
      </c>
      <c r="G1094">
        <v>7.4999999999999997E-2</v>
      </c>
      <c r="H1094">
        <v>0.5</v>
      </c>
      <c r="I1094">
        <v>1E-4</v>
      </c>
      <c r="J1094" t="b">
        <v>1</v>
      </c>
      <c r="K1094">
        <v>4</v>
      </c>
      <c r="L1094">
        <v>1500</v>
      </c>
      <c r="M1094">
        <v>0.75</v>
      </c>
      <c r="N1094">
        <v>0.154</v>
      </c>
      <c r="O1094" t="s">
        <v>451</v>
      </c>
      <c r="P1094" t="s">
        <v>454</v>
      </c>
      <c r="Q1094">
        <v>-1.3722838103514E-4</v>
      </c>
      <c r="R1094">
        <v>4.9554866097142305E-4</v>
      </c>
      <c r="S1094">
        <v>4.8522303840111103E-4</v>
      </c>
      <c r="T1094">
        <v>-3.4067620409997498E-3</v>
      </c>
      <c r="U1094">
        <v>4.0515932237733496</v>
      </c>
      <c r="V1094" s="1">
        <v>9.9999999999999905E-15</v>
      </c>
      <c r="W1094">
        <v>0.24431823304133701</v>
      </c>
      <c r="X1094">
        <v>2.4999999999999898</v>
      </c>
      <c r="Y1094">
        <v>10.939860934528999</v>
      </c>
      <c r="Z1094">
        <v>0.49999999999290701</v>
      </c>
      <c r="AA1094">
        <v>20.0465611611471</v>
      </c>
      <c r="AB1094" s="9">
        <f t="shared" si="152"/>
        <v>-0.43881392825884591</v>
      </c>
      <c r="AC1094" s="9">
        <f t="shared" si="153"/>
        <v>-0.46426385671832243</v>
      </c>
      <c r="AD1094" s="2">
        <f t="shared" si="154"/>
        <v>5.799708446005436E-2</v>
      </c>
      <c r="AE1094" s="8">
        <f t="shared" si="155"/>
        <v>3.6441488262469651E-2</v>
      </c>
      <c r="AF1094" s="2">
        <f t="shared" si="156"/>
        <v>-9.1936991919184113E-3</v>
      </c>
      <c r="AG1094" s="8">
        <f t="shared" si="157"/>
        <v>4.5635187454388063E-2</v>
      </c>
      <c r="AH1094" s="7">
        <f t="shared" si="158"/>
        <v>-0.20146075221247697</v>
      </c>
      <c r="AI1094">
        <f t="shared" si="159"/>
        <v>4</v>
      </c>
      <c r="AJ1094" s="10">
        <f t="shared" si="160"/>
        <v>0.730162999270209</v>
      </c>
    </row>
    <row r="1095" spans="1:36" hidden="1" x14ac:dyDescent="0.25">
      <c r="A1095" t="b">
        <v>0</v>
      </c>
      <c r="B1095">
        <v>1000</v>
      </c>
      <c r="C1095">
        <v>0.730162999270209</v>
      </c>
      <c r="D1095" t="s">
        <v>52</v>
      </c>
      <c r="E1095" t="b">
        <v>1</v>
      </c>
      <c r="F1095" t="s">
        <v>53</v>
      </c>
      <c r="G1095">
        <v>7.4999999999999997E-2</v>
      </c>
      <c r="H1095">
        <v>0.5</v>
      </c>
      <c r="I1095">
        <v>1E-4</v>
      </c>
      <c r="J1095" t="b">
        <v>1</v>
      </c>
      <c r="K1095">
        <v>4</v>
      </c>
      <c r="L1095">
        <v>1500</v>
      </c>
      <c r="M1095">
        <v>0.75</v>
      </c>
      <c r="N1095">
        <v>0.154</v>
      </c>
      <c r="O1095" t="s">
        <v>451</v>
      </c>
      <c r="P1095" t="s">
        <v>455</v>
      </c>
      <c r="Q1095">
        <v>-1.56849263232178E-4</v>
      </c>
      <c r="R1095">
        <v>5.1130466252375902E-4</v>
      </c>
      <c r="S1095">
        <v>5.5460575354165996E-4</v>
      </c>
      <c r="T1095">
        <v>-3.8941589196730499E-3</v>
      </c>
      <c r="U1095">
        <v>4.0515029845851496</v>
      </c>
      <c r="V1095" s="1">
        <v>9.9999999999999905E-15</v>
      </c>
      <c r="W1095">
        <v>0.21817135477782101</v>
      </c>
      <c r="X1095">
        <v>2.4999999999999898</v>
      </c>
      <c r="Y1095">
        <v>9.9786431629872592</v>
      </c>
      <c r="Z1095">
        <v>0.49999999999275302</v>
      </c>
      <c r="AA1095">
        <v>18.063113233909</v>
      </c>
      <c r="AB1095" s="9">
        <f t="shared" si="152"/>
        <v>-0.43884314384647549</v>
      </c>
      <c r="AC1095" s="9">
        <f t="shared" si="153"/>
        <v>-0.46426385671832243</v>
      </c>
      <c r="AD1095" s="2">
        <f t="shared" si="154"/>
        <v>5.7926649255662266E-2</v>
      </c>
      <c r="AE1095" s="8">
        <f t="shared" si="155"/>
        <v>3.6451949602858108E-2</v>
      </c>
      <c r="AF1095" s="2">
        <f t="shared" si="156"/>
        <v>-9.1832378515299545E-3</v>
      </c>
      <c r="AG1095" s="8">
        <f t="shared" si="157"/>
        <v>4.5635187454388063E-2</v>
      </c>
      <c r="AH1095" s="7">
        <f t="shared" si="158"/>
        <v>-0.20123151374602138</v>
      </c>
      <c r="AI1095">
        <f t="shared" si="159"/>
        <v>4</v>
      </c>
      <c r="AJ1095" s="10">
        <f t="shared" si="160"/>
        <v>0.730162999270209</v>
      </c>
    </row>
    <row r="1096" spans="1:36" hidden="1" x14ac:dyDescent="0.25">
      <c r="A1096" t="b">
        <v>0</v>
      </c>
      <c r="B1096">
        <v>1000</v>
      </c>
      <c r="C1096">
        <v>0.730162999270209</v>
      </c>
      <c r="D1096" t="s">
        <v>52</v>
      </c>
      <c r="E1096" t="b">
        <v>1</v>
      </c>
      <c r="F1096" t="s">
        <v>53</v>
      </c>
      <c r="G1096">
        <v>7.4999999999999997E-2</v>
      </c>
      <c r="H1096">
        <v>0.5</v>
      </c>
      <c r="I1096">
        <v>1E-4</v>
      </c>
      <c r="J1096" t="b">
        <v>1</v>
      </c>
      <c r="K1096">
        <v>4</v>
      </c>
      <c r="L1096">
        <v>1500</v>
      </c>
      <c r="M1096">
        <v>0.75</v>
      </c>
      <c r="N1096">
        <v>0.154</v>
      </c>
      <c r="O1096" t="s">
        <v>451</v>
      </c>
      <c r="P1096" t="s">
        <v>456</v>
      </c>
      <c r="Q1096">
        <v>-2.9406994323217801E-4</v>
      </c>
      <c r="R1096">
        <v>1.0546317436342201E-3</v>
      </c>
      <c r="S1096">
        <v>1.03978290025834E-3</v>
      </c>
      <c r="T1096">
        <v>-7.2997405339308603E-3</v>
      </c>
      <c r="U1096">
        <v>4.0508723448720501</v>
      </c>
      <c r="V1096" s="1">
        <v>9.9999999999999905E-15</v>
      </c>
      <c r="W1096">
        <v>0.24307428379200899</v>
      </c>
      <c r="X1096">
        <v>2.4999999999999898</v>
      </c>
      <c r="Y1096">
        <v>10.863979179002101</v>
      </c>
      <c r="Z1096">
        <v>0.49999999999155698</v>
      </c>
      <c r="AA1096">
        <v>19.909825189916202</v>
      </c>
      <c r="AB1096" s="9">
        <f t="shared" si="152"/>
        <v>-0.43877792494695272</v>
      </c>
      <c r="AC1096" s="9">
        <f t="shared" si="153"/>
        <v>-0.46426385671832243</v>
      </c>
      <c r="AD1096" s="2">
        <f t="shared" si="154"/>
        <v>5.8083896938185609E-2</v>
      </c>
      <c r="AE1096" s="8">
        <f t="shared" si="155"/>
        <v>3.642859670542678E-2</v>
      </c>
      <c r="AF1096" s="2">
        <f t="shared" si="156"/>
        <v>-9.2065907489612825E-3</v>
      </c>
      <c r="AG1096" s="8">
        <f t="shared" si="157"/>
        <v>4.5635187454388063E-2</v>
      </c>
      <c r="AH1096" s="7">
        <f t="shared" si="158"/>
        <v>-0.20174324381078051</v>
      </c>
      <c r="AI1096">
        <f t="shared" si="159"/>
        <v>4</v>
      </c>
      <c r="AJ1096" s="10">
        <f t="shared" si="160"/>
        <v>0.730162999270209</v>
      </c>
    </row>
    <row r="1097" spans="1:36" hidden="1" x14ac:dyDescent="0.25">
      <c r="A1097" t="b">
        <v>0</v>
      </c>
      <c r="B1097">
        <v>1000</v>
      </c>
      <c r="C1097">
        <v>0.730162999270209</v>
      </c>
      <c r="D1097" t="s">
        <v>52</v>
      </c>
      <c r="E1097" t="b">
        <v>1</v>
      </c>
      <c r="F1097" t="s">
        <v>53</v>
      </c>
      <c r="G1097">
        <v>7.4999999999999997E-2</v>
      </c>
      <c r="H1097">
        <v>0.5</v>
      </c>
      <c r="I1097">
        <v>1E-4</v>
      </c>
      <c r="J1097" t="b">
        <v>1</v>
      </c>
      <c r="K1097">
        <v>4</v>
      </c>
      <c r="L1097">
        <v>1500</v>
      </c>
      <c r="M1097">
        <v>0.75</v>
      </c>
      <c r="N1097">
        <v>0.154</v>
      </c>
      <c r="O1097" t="s">
        <v>452</v>
      </c>
      <c r="P1097" t="s">
        <v>453</v>
      </c>
      <c r="Q1097">
        <v>-1.3722741736482599E-4</v>
      </c>
      <c r="R1097">
        <v>4.8530009951982698E-4</v>
      </c>
      <c r="S1097">
        <v>4.8521729382797597E-4</v>
      </c>
      <c r="T1097">
        <v>-3.4066142270211901E-3</v>
      </c>
      <c r="U1097">
        <v>4.0514127460110396</v>
      </c>
      <c r="V1097" s="1">
        <v>9.9999999999999905E-15</v>
      </c>
      <c r="W1097">
        <v>0.23994946326671199</v>
      </c>
      <c r="X1097">
        <v>2.4999999999999898</v>
      </c>
      <c r="Y1097">
        <v>10.7166470129547</v>
      </c>
      <c r="Z1097">
        <v>0.49999999999290301</v>
      </c>
      <c r="AA1097">
        <v>19.633120445325002</v>
      </c>
      <c r="AB1097" s="9">
        <f t="shared" si="152"/>
        <v>-0.43880008379154872</v>
      </c>
      <c r="AC1097" s="9">
        <f t="shared" si="153"/>
        <v>-0.46426385671832243</v>
      </c>
      <c r="AD1097" s="2">
        <f t="shared" si="154"/>
        <v>5.8030465050845859E-2</v>
      </c>
      <c r="AE1097" s="8">
        <f t="shared" si="155"/>
        <v>3.643653099335141E-2</v>
      </c>
      <c r="AF1097" s="2">
        <f t="shared" si="156"/>
        <v>-9.1986564610366528E-3</v>
      </c>
      <c r="AG1097" s="8">
        <f t="shared" si="157"/>
        <v>4.5635187454388063E-2</v>
      </c>
      <c r="AH1097" s="7">
        <f t="shared" si="158"/>
        <v>-0.20156938043106809</v>
      </c>
      <c r="AI1097">
        <f t="shared" si="159"/>
        <v>4</v>
      </c>
      <c r="AJ1097" s="10">
        <f t="shared" si="160"/>
        <v>0.730162999270209</v>
      </c>
    </row>
    <row r="1098" spans="1:36" hidden="1" x14ac:dyDescent="0.25">
      <c r="A1098" t="b">
        <v>0</v>
      </c>
      <c r="B1098">
        <v>1000</v>
      </c>
      <c r="C1098">
        <v>0.730162999270209</v>
      </c>
      <c r="D1098" t="s">
        <v>52</v>
      </c>
      <c r="E1098" t="b">
        <v>1</v>
      </c>
      <c r="F1098" t="s">
        <v>53</v>
      </c>
      <c r="G1098">
        <v>7.4999999999999997E-2</v>
      </c>
      <c r="H1098">
        <v>0.5</v>
      </c>
      <c r="I1098">
        <v>1E-4</v>
      </c>
      <c r="J1098" t="b">
        <v>1</v>
      </c>
      <c r="K1098">
        <v>4</v>
      </c>
      <c r="L1098">
        <v>1500</v>
      </c>
      <c r="M1098">
        <v>0.75</v>
      </c>
      <c r="N1098">
        <v>0.154</v>
      </c>
      <c r="O1098" t="s">
        <v>452</v>
      </c>
      <c r="P1098" t="s">
        <v>454</v>
      </c>
      <c r="Q1098">
        <v>-1.1760653516765901E-4</v>
      </c>
      <c r="R1098">
        <v>3.98973954452104E-4</v>
      </c>
      <c r="S1098">
        <v>4.1583457868743002E-4</v>
      </c>
      <c r="T1098">
        <v>-2.9192173483480201E-3</v>
      </c>
      <c r="U1098">
        <v>4.0515029852814504</v>
      </c>
      <c r="V1098" s="1">
        <v>9.9999999999999905E-15</v>
      </c>
      <c r="W1098">
        <v>0.22770616486381201</v>
      </c>
      <c r="X1098">
        <v>2.4999999999999898</v>
      </c>
      <c r="Y1098">
        <v>10.3461624775641</v>
      </c>
      <c r="Z1098">
        <v>0.499999999993051</v>
      </c>
      <c r="AA1098">
        <v>18.8097053984485</v>
      </c>
      <c r="AB1098" s="9">
        <f t="shared" si="152"/>
        <v>-0.43875880848498194</v>
      </c>
      <c r="AC1098" s="9">
        <f t="shared" si="153"/>
        <v>-0.46426385671832243</v>
      </c>
      <c r="AD1098" s="2">
        <f t="shared" si="154"/>
        <v>5.8129997028227187E-2</v>
      </c>
      <c r="AE1098" s="8">
        <f t="shared" si="155"/>
        <v>3.6421751883265775E-2</v>
      </c>
      <c r="AF1098" s="2">
        <f t="shared" si="156"/>
        <v>-9.2134355711222873E-3</v>
      </c>
      <c r="AG1098" s="8">
        <f t="shared" si="157"/>
        <v>4.5635187454388063E-2</v>
      </c>
      <c r="AH1098" s="7">
        <f t="shared" si="158"/>
        <v>-0.20189323381943</v>
      </c>
      <c r="AI1098">
        <f t="shared" si="159"/>
        <v>4</v>
      </c>
      <c r="AJ1098" s="10">
        <f t="shared" si="160"/>
        <v>0.730162999270209</v>
      </c>
    </row>
    <row r="1099" spans="1:36" hidden="1" x14ac:dyDescent="0.25">
      <c r="A1099" t="b">
        <v>0</v>
      </c>
      <c r="B1099">
        <v>1000</v>
      </c>
      <c r="C1099">
        <v>0.730162999270209</v>
      </c>
      <c r="D1099" t="s">
        <v>52</v>
      </c>
      <c r="E1099" t="b">
        <v>1</v>
      </c>
      <c r="F1099" t="s">
        <v>53</v>
      </c>
      <c r="G1099">
        <v>7.4999999999999997E-2</v>
      </c>
      <c r="H1099">
        <v>0.5</v>
      </c>
      <c r="I1099">
        <v>1E-4</v>
      </c>
      <c r="J1099" t="b">
        <v>1</v>
      </c>
      <c r="K1099">
        <v>4</v>
      </c>
      <c r="L1099">
        <v>1500</v>
      </c>
      <c r="M1099">
        <v>0.75</v>
      </c>
      <c r="N1099">
        <v>0.154</v>
      </c>
      <c r="O1099" t="s">
        <v>452</v>
      </c>
      <c r="P1099" t="s">
        <v>455</v>
      </c>
      <c r="Q1099">
        <v>-1.3722741736482599E-4</v>
      </c>
      <c r="R1099">
        <v>4.7961833736131501E-4</v>
      </c>
      <c r="S1099">
        <v>4.8521729382797999E-4</v>
      </c>
      <c r="T1099">
        <v>-3.40661422702142E-3</v>
      </c>
      <c r="U1099">
        <v>4.0514127460932503</v>
      </c>
      <c r="V1099" s="1">
        <v>9.9999999999999905E-15</v>
      </c>
      <c r="W1099">
        <v>0.23683131488086201</v>
      </c>
      <c r="X1099">
        <v>2.4999999999999898</v>
      </c>
      <c r="Y1099">
        <v>10.6038250278396</v>
      </c>
      <c r="Z1099">
        <v>0.49999999999290301</v>
      </c>
      <c r="AA1099">
        <v>19.3991348033348</v>
      </c>
      <c r="AB1099" s="9">
        <f t="shared" si="152"/>
        <v>-0.4388000837915747</v>
      </c>
      <c r="AC1099" s="9">
        <f t="shared" si="153"/>
        <v>-0.46426385671832243</v>
      </c>
      <c r="AD1099" s="2">
        <f t="shared" si="154"/>
        <v>5.8030465050783242E-2</v>
      </c>
      <c r="AE1099" s="8">
        <f t="shared" si="155"/>
        <v>3.6436530993360708E-2</v>
      </c>
      <c r="AF1099" s="2">
        <f t="shared" si="156"/>
        <v>-9.1986564610273547E-3</v>
      </c>
      <c r="AG1099" s="8">
        <f t="shared" si="157"/>
        <v>4.5635187454388063E-2</v>
      </c>
      <c r="AH1099" s="7">
        <f t="shared" si="158"/>
        <v>-0.20156938043086434</v>
      </c>
      <c r="AI1099">
        <f t="shared" si="159"/>
        <v>4</v>
      </c>
      <c r="AJ1099" s="10">
        <f t="shared" si="160"/>
        <v>0.730162999270209</v>
      </c>
    </row>
    <row r="1100" spans="1:36" hidden="1" x14ac:dyDescent="0.25">
      <c r="A1100" t="b">
        <v>0</v>
      </c>
      <c r="B1100">
        <v>1000</v>
      </c>
      <c r="C1100">
        <v>0.730162999270209</v>
      </c>
      <c r="D1100" t="s">
        <v>52</v>
      </c>
      <c r="E1100" t="b">
        <v>1</v>
      </c>
      <c r="F1100" t="s">
        <v>53</v>
      </c>
      <c r="G1100">
        <v>7.4999999999999997E-2</v>
      </c>
      <c r="H1100">
        <v>0.5</v>
      </c>
      <c r="I1100">
        <v>1E-4</v>
      </c>
      <c r="J1100" t="b">
        <v>1</v>
      </c>
      <c r="K1100">
        <v>4</v>
      </c>
      <c r="L1100">
        <v>1500</v>
      </c>
      <c r="M1100">
        <v>0.75</v>
      </c>
      <c r="N1100">
        <v>0.154</v>
      </c>
      <c r="O1100" t="s">
        <v>452</v>
      </c>
      <c r="P1100" t="s">
        <v>456</v>
      </c>
      <c r="Q1100">
        <v>-2.7444809736552699E-4</v>
      </c>
      <c r="R1100">
        <v>9.8420224218784204E-4</v>
      </c>
      <c r="S1100">
        <v>9.7039444054465595E-4</v>
      </c>
      <c r="T1100">
        <v>-6.81219584127903E-3</v>
      </c>
      <c r="U1100">
        <v>4.0507821063801401</v>
      </c>
      <c r="V1100" s="1">
        <v>9.9999999999999905E-15</v>
      </c>
      <c r="W1100">
        <v>0.240971501342292</v>
      </c>
      <c r="X1100">
        <v>2.4999999999999898</v>
      </c>
      <c r="Y1100">
        <v>10.8952441913827</v>
      </c>
      <c r="Z1100">
        <v>0.49999999999169098</v>
      </c>
      <c r="AA1100">
        <v>19.8953467369947</v>
      </c>
      <c r="AB1100" s="9">
        <f t="shared" si="152"/>
        <v>-0.43875173052410588</v>
      </c>
      <c r="AC1100" s="9">
        <f t="shared" si="153"/>
        <v>-0.46426385671832243</v>
      </c>
      <c r="AD1100" s="2">
        <f t="shared" si="154"/>
        <v>5.8147066824651317E-2</v>
      </c>
      <c r="AE1100" s="8">
        <f t="shared" si="155"/>
        <v>3.6419217578271983E-2</v>
      </c>
      <c r="AF1100" s="2">
        <f t="shared" si="156"/>
        <v>-9.2159698761160799E-3</v>
      </c>
      <c r="AG1100" s="8">
        <f t="shared" si="157"/>
        <v>4.5635187454388063E-2</v>
      </c>
      <c r="AH1100" s="7">
        <f t="shared" si="158"/>
        <v>-0.2019487678302484</v>
      </c>
      <c r="AI1100">
        <f t="shared" si="159"/>
        <v>4</v>
      </c>
      <c r="AJ1100" s="10">
        <f t="shared" si="160"/>
        <v>0.730162999270209</v>
      </c>
    </row>
    <row r="1101" spans="1:36" hidden="1" x14ac:dyDescent="0.25">
      <c r="A1101" t="b">
        <v>0</v>
      </c>
      <c r="B1101">
        <v>1000</v>
      </c>
      <c r="C1101">
        <v>0.730162999270209</v>
      </c>
      <c r="D1101" t="s">
        <v>52</v>
      </c>
      <c r="E1101" t="b">
        <v>1</v>
      </c>
      <c r="F1101" t="s">
        <v>53</v>
      </c>
      <c r="G1101">
        <v>7.4999999999999997E-2</v>
      </c>
      <c r="H1101">
        <v>0.5</v>
      </c>
      <c r="I1101">
        <v>1E-4</v>
      </c>
      <c r="J1101" t="b">
        <v>1</v>
      </c>
      <c r="K1101">
        <v>4</v>
      </c>
      <c r="L1101">
        <v>1500</v>
      </c>
      <c r="M1101">
        <v>0.75</v>
      </c>
      <c r="N1101">
        <v>0.154</v>
      </c>
      <c r="O1101" t="s">
        <v>453</v>
      </c>
      <c r="P1101" t="s">
        <v>455</v>
      </c>
      <c r="Q1101" s="1">
        <v>-1E-10</v>
      </c>
      <c r="R1101" s="1">
        <v>3.5857860054653801E-12</v>
      </c>
      <c r="S1101" s="1">
        <v>9.1447713757590097E-18</v>
      </c>
      <c r="T1101" s="1">
        <v>-4.3319830917093502E-16</v>
      </c>
      <c r="U1101">
        <v>4.0507821115085996</v>
      </c>
      <c r="V1101">
        <v>0</v>
      </c>
      <c r="W1101">
        <v>6.8474549662421599E-2</v>
      </c>
      <c r="X1101">
        <v>2</v>
      </c>
      <c r="Y1101">
        <v>4.0005664959603801E-3</v>
      </c>
      <c r="Z1101">
        <v>2.5000000000000001E-4</v>
      </c>
      <c r="AA1101">
        <v>4.7933530795009199E-3</v>
      </c>
      <c r="AB1101" s="9">
        <f t="shared" si="152"/>
        <v>-2.9606966878312191</v>
      </c>
      <c r="AC1101" s="9">
        <f t="shared" si="153"/>
        <v>-0.46426385671832243</v>
      </c>
      <c r="AD1101" s="2">
        <f t="shared" si="154"/>
        <v>-0.84319101020158649</v>
      </c>
      <c r="AE1101" s="8">
        <f t="shared" si="155"/>
        <v>7.050737994266794</v>
      </c>
      <c r="AF1101" s="2">
        <f t="shared" si="156"/>
        <v>7.0051028068124062</v>
      </c>
      <c r="AG1101" s="8">
        <f t="shared" si="157"/>
        <v>4.5635187454388063E-2</v>
      </c>
      <c r="AH1101" s="7">
        <f t="shared" si="158"/>
        <v>153.50222487447741</v>
      </c>
      <c r="AI1101">
        <f t="shared" si="159"/>
        <v>4</v>
      </c>
      <c r="AJ1101" s="10">
        <f t="shared" si="160"/>
        <v>0.730162999270209</v>
      </c>
    </row>
    <row r="1102" spans="1:36" hidden="1" x14ac:dyDescent="0.25">
      <c r="A1102" t="b">
        <v>0</v>
      </c>
      <c r="B1102">
        <v>1000</v>
      </c>
      <c r="C1102">
        <v>0.730162999270209</v>
      </c>
      <c r="D1102" t="s">
        <v>52</v>
      </c>
      <c r="E1102" t="b">
        <v>1</v>
      </c>
      <c r="F1102" t="s">
        <v>53</v>
      </c>
      <c r="G1102">
        <v>7.4999999999999997E-2</v>
      </c>
      <c r="H1102">
        <v>0.5</v>
      </c>
      <c r="I1102">
        <v>1E-4</v>
      </c>
      <c r="J1102" t="b">
        <v>1</v>
      </c>
      <c r="K1102">
        <v>4</v>
      </c>
      <c r="L1102">
        <v>1500</v>
      </c>
      <c r="M1102">
        <v>0.75</v>
      </c>
      <c r="N1102">
        <v>0.154</v>
      </c>
      <c r="O1102" t="s">
        <v>453</v>
      </c>
      <c r="P1102" t="s">
        <v>456</v>
      </c>
      <c r="Q1102">
        <v>-1.37220680007055E-4</v>
      </c>
      <c r="R1102">
        <v>4.8823704022844301E-4</v>
      </c>
      <c r="S1102">
        <v>4.8517714671667998E-4</v>
      </c>
      <c r="T1102">
        <v>-3.4055816142579201E-3</v>
      </c>
      <c r="U1102">
        <v>4.0501514717954903</v>
      </c>
      <c r="V1102" s="1">
        <v>9.9999999999999905E-15</v>
      </c>
      <c r="W1102">
        <v>0.243410928182826</v>
      </c>
      <c r="X1102">
        <v>2.4999999999999898</v>
      </c>
      <c r="Y1102">
        <v>10.7468147512343</v>
      </c>
      <c r="Z1102">
        <v>0.49999999999287598</v>
      </c>
      <c r="AA1102">
        <v>19.7668850774342</v>
      </c>
      <c r="AB1102" s="9">
        <f t="shared" si="152"/>
        <v>-0.4387033732555698</v>
      </c>
      <c r="AC1102" s="9">
        <f t="shared" si="153"/>
        <v>-0.46426385671832243</v>
      </c>
      <c r="AD1102" s="2">
        <f t="shared" si="154"/>
        <v>5.8263703953473245E-2</v>
      </c>
      <c r="AE1102" s="8">
        <f t="shared" si="155"/>
        <v>3.6401903309052221E-2</v>
      </c>
      <c r="AF1102" s="2">
        <f t="shared" si="156"/>
        <v>-9.2332841453358419E-3</v>
      </c>
      <c r="AG1102" s="8">
        <f t="shared" si="157"/>
        <v>4.5635187454388063E-2</v>
      </c>
      <c r="AH1102" s="7">
        <f t="shared" si="158"/>
        <v>-0.20232817394613362</v>
      </c>
      <c r="AI1102">
        <f t="shared" si="159"/>
        <v>4</v>
      </c>
      <c r="AJ1102" s="10">
        <f t="shared" si="160"/>
        <v>0.730162999270209</v>
      </c>
    </row>
    <row r="1103" spans="1:36" hidden="1" x14ac:dyDescent="0.25">
      <c r="A1103" t="b">
        <v>0</v>
      </c>
      <c r="B1103">
        <v>1000</v>
      </c>
      <c r="C1103">
        <v>0.730162999270209</v>
      </c>
      <c r="D1103" t="s">
        <v>52</v>
      </c>
      <c r="E1103" t="b">
        <v>1</v>
      </c>
      <c r="F1103" t="s">
        <v>53</v>
      </c>
      <c r="G1103">
        <v>7.4999999999999997E-2</v>
      </c>
      <c r="H1103">
        <v>0.5</v>
      </c>
      <c r="I1103">
        <v>1E-4</v>
      </c>
      <c r="J1103" t="b">
        <v>1</v>
      </c>
      <c r="K1103">
        <v>4</v>
      </c>
      <c r="L1103">
        <v>1500</v>
      </c>
      <c r="M1103">
        <v>0.75</v>
      </c>
      <c r="N1103">
        <v>0.154</v>
      </c>
      <c r="O1103" t="s">
        <v>454</v>
      </c>
      <c r="P1103" t="s">
        <v>455</v>
      </c>
      <c r="Q1103" s="1">
        <v>-1.9620882200220701E-5</v>
      </c>
      <c r="R1103" s="1">
        <v>6.4585243436646606E-5</v>
      </c>
      <c r="S1103" s="1">
        <v>6.9382715140550505E-5</v>
      </c>
      <c r="T1103">
        <v>-4.8739687867337101E-4</v>
      </c>
      <c r="U1103">
        <v>4.0508723507790103</v>
      </c>
      <c r="V1103" s="1">
        <v>9.9999999999999905E-15</v>
      </c>
      <c r="W1103">
        <v>0.22007229083565899</v>
      </c>
      <c r="X1103">
        <v>2.4999999999999898</v>
      </c>
      <c r="Y1103">
        <v>10.071999764950901</v>
      </c>
      <c r="Z1103">
        <v>0.49999999999893602</v>
      </c>
      <c r="AA1103">
        <v>18.240964919643499</v>
      </c>
      <c r="AB1103" s="9">
        <f t="shared" si="152"/>
        <v>-0.43904746096167246</v>
      </c>
      <c r="AC1103" s="9">
        <f t="shared" si="153"/>
        <v>-0.46426385671832243</v>
      </c>
      <c r="AD1103" s="2">
        <f t="shared" si="154"/>
        <v>5.7434327718048905E-2</v>
      </c>
      <c r="AE1103" s="8">
        <f t="shared" si="155"/>
        <v>3.6525116139171823E-2</v>
      </c>
      <c r="AF1103" s="2">
        <f t="shared" si="156"/>
        <v>-9.1100713152162394E-3</v>
      </c>
      <c r="AG1103" s="8">
        <f t="shared" si="157"/>
        <v>4.5635187454388063E-2</v>
      </c>
      <c r="AH1103" s="7">
        <f t="shared" si="158"/>
        <v>-0.19962822162879618</v>
      </c>
      <c r="AI1103">
        <f t="shared" si="159"/>
        <v>4</v>
      </c>
      <c r="AJ1103" s="10">
        <f t="shared" si="160"/>
        <v>0.730162999270209</v>
      </c>
    </row>
    <row r="1104" spans="1:36" hidden="1" x14ac:dyDescent="0.25">
      <c r="A1104" t="b">
        <v>0</v>
      </c>
      <c r="B1104">
        <v>1000</v>
      </c>
      <c r="C1104">
        <v>0.730162999270209</v>
      </c>
      <c r="D1104" t="s">
        <v>52</v>
      </c>
      <c r="E1104" t="b">
        <v>1</v>
      </c>
      <c r="F1104" t="s">
        <v>53</v>
      </c>
      <c r="G1104">
        <v>7.4999999999999997E-2</v>
      </c>
      <c r="H1104">
        <v>0.5</v>
      </c>
      <c r="I1104">
        <v>1E-4</v>
      </c>
      <c r="J1104" t="b">
        <v>1</v>
      </c>
      <c r="K1104">
        <v>4</v>
      </c>
      <c r="L1104">
        <v>1500</v>
      </c>
      <c r="M1104">
        <v>0.75</v>
      </c>
      <c r="N1104">
        <v>0.154</v>
      </c>
      <c r="O1104" t="s">
        <v>454</v>
      </c>
      <c r="P1104" t="s">
        <v>456</v>
      </c>
      <c r="Q1104">
        <v>-1.56841562204094E-4</v>
      </c>
      <c r="R1104">
        <v>5.0969547105147496E-4</v>
      </c>
      <c r="S1104">
        <v>5.5455986185723102E-4</v>
      </c>
      <c r="T1104">
        <v>-3.8929784929312302E-3</v>
      </c>
      <c r="U1104">
        <v>4.0502417110659001</v>
      </c>
      <c r="V1104" s="1">
        <v>9.9999999999999905E-15</v>
      </c>
      <c r="W1104">
        <v>0.22046140709040801</v>
      </c>
      <c r="X1104">
        <v>2.4999999999999898</v>
      </c>
      <c r="Y1104">
        <v>9.9061507030317895</v>
      </c>
      <c r="Z1104">
        <v>0.49999999999272599</v>
      </c>
      <c r="AA1104">
        <v>18.024548265360998</v>
      </c>
      <c r="AB1104" s="9">
        <f t="shared" si="152"/>
        <v>-0.43874642314239698</v>
      </c>
      <c r="AC1104" s="9">
        <f t="shared" si="153"/>
        <v>-0.46426385671832243</v>
      </c>
      <c r="AD1104" s="2">
        <f t="shared" si="154"/>
        <v>5.8159866907094182E-2</v>
      </c>
      <c r="AE1104" s="8">
        <f t="shared" si="155"/>
        <v>3.6417317247562024E-2</v>
      </c>
      <c r="AF1104" s="2">
        <f t="shared" si="156"/>
        <v>-9.2178702068260385E-3</v>
      </c>
      <c r="AG1104" s="8">
        <f t="shared" si="157"/>
        <v>4.5635187454388063E-2</v>
      </c>
      <c r="AH1104" s="7">
        <f t="shared" si="158"/>
        <v>-0.20199040961624651</v>
      </c>
      <c r="AI1104">
        <f t="shared" si="159"/>
        <v>4</v>
      </c>
      <c r="AJ1104" s="10">
        <f t="shared" si="160"/>
        <v>0.730162999270209</v>
      </c>
    </row>
    <row r="1105" spans="1:36" hidden="1" x14ac:dyDescent="0.25">
      <c r="A1105" t="b">
        <v>0</v>
      </c>
      <c r="B1105">
        <v>1000</v>
      </c>
      <c r="C1105">
        <v>0.730162999270209</v>
      </c>
      <c r="D1105" t="s">
        <v>52</v>
      </c>
      <c r="E1105" t="b">
        <v>1</v>
      </c>
      <c r="F1105" t="s">
        <v>53</v>
      </c>
      <c r="G1105">
        <v>7.4999999999999997E-2</v>
      </c>
      <c r="H1105">
        <v>0.5</v>
      </c>
      <c r="I1105">
        <v>1E-4</v>
      </c>
      <c r="J1105" t="b">
        <v>1</v>
      </c>
      <c r="K1105">
        <v>4</v>
      </c>
      <c r="L1105">
        <v>1500</v>
      </c>
      <c r="M1105">
        <v>0.75</v>
      </c>
      <c r="N1105">
        <v>0.154</v>
      </c>
      <c r="O1105" t="s">
        <v>455</v>
      </c>
      <c r="P1105" t="s">
        <v>456</v>
      </c>
      <c r="Q1105">
        <v>-1.37220680007056E-4</v>
      </c>
      <c r="R1105">
        <v>4.8583832961743002E-4</v>
      </c>
      <c r="S1105">
        <v>4.8517714671667602E-4</v>
      </c>
      <c r="T1105">
        <v>-3.40558161425764E-3</v>
      </c>
      <c r="U1105">
        <v>4.0501514718777001</v>
      </c>
      <c r="V1105" s="1">
        <v>9.9999999999999905E-15</v>
      </c>
      <c r="W1105">
        <v>0.24000695053895099</v>
      </c>
      <c r="X1105">
        <v>2.4999999999999898</v>
      </c>
      <c r="Y1105">
        <v>10.7333407074024</v>
      </c>
      <c r="Z1105">
        <v>0.49999999999287598</v>
      </c>
      <c r="AA1105">
        <v>19.653650130866399</v>
      </c>
      <c r="AB1105" s="9">
        <f t="shared" si="152"/>
        <v>-0.43870337325553727</v>
      </c>
      <c r="AC1105" s="9">
        <f t="shared" si="153"/>
        <v>-0.46426385671832243</v>
      </c>
      <c r="AD1105" s="2">
        <f t="shared" si="154"/>
        <v>5.8263703953551849E-2</v>
      </c>
      <c r="AE1105" s="8">
        <f t="shared" si="155"/>
        <v>3.6401903309040591E-2</v>
      </c>
      <c r="AF1105" s="2">
        <f t="shared" si="156"/>
        <v>-9.2332841453474715E-3</v>
      </c>
      <c r="AG1105" s="8">
        <f t="shared" si="157"/>
        <v>4.5635187454388063E-2</v>
      </c>
      <c r="AH1105" s="7">
        <f t="shared" si="158"/>
        <v>-0.20232817394638844</v>
      </c>
      <c r="AI1105">
        <f t="shared" si="159"/>
        <v>4</v>
      </c>
      <c r="AJ1105" s="10">
        <f t="shared" si="160"/>
        <v>0.730162999270209</v>
      </c>
    </row>
    <row r="1106" spans="1:36" hidden="1" x14ac:dyDescent="0.25">
      <c r="A1106" t="b">
        <v>0</v>
      </c>
      <c r="B1106">
        <v>1000</v>
      </c>
      <c r="C1106">
        <v>0.87369834790399103</v>
      </c>
      <c r="D1106" t="s">
        <v>52</v>
      </c>
      <c r="E1106" t="b">
        <v>1</v>
      </c>
      <c r="F1106" t="s">
        <v>53</v>
      </c>
      <c r="G1106">
        <v>7.4999999999999997E-2</v>
      </c>
      <c r="H1106">
        <v>0.5</v>
      </c>
      <c r="I1106">
        <v>1E-4</v>
      </c>
      <c r="J1106" t="b">
        <v>1</v>
      </c>
      <c r="K1106">
        <v>2</v>
      </c>
      <c r="L1106">
        <v>1500</v>
      </c>
      <c r="M1106">
        <v>1</v>
      </c>
      <c r="N1106">
        <v>0.154</v>
      </c>
      <c r="O1106" t="s">
        <v>457</v>
      </c>
      <c r="P1106" t="s">
        <v>458</v>
      </c>
      <c r="Q1106" s="1">
        <v>-6.7477014821982098E-6</v>
      </c>
      <c r="R1106" s="1">
        <v>3.7279531207623198E-6</v>
      </c>
      <c r="S1106" s="1">
        <v>2.1101365273336301E-5</v>
      </c>
      <c r="T1106" s="1">
        <v>-7.8112065091323797E-5</v>
      </c>
      <c r="U1106">
        <v>2.2289038329206101</v>
      </c>
      <c r="V1106" s="1">
        <v>2.8283000836459402E-15</v>
      </c>
      <c r="W1106">
        <v>6.5330393671816603E-2</v>
      </c>
      <c r="X1106">
        <v>2.1427317247486202</v>
      </c>
      <c r="Y1106">
        <v>2.4113523485662798</v>
      </c>
      <c r="Z1106">
        <v>2.5223341848019498E-4</v>
      </c>
      <c r="AA1106">
        <v>2.5405003911183099</v>
      </c>
      <c r="AB1106" s="9">
        <f t="shared" si="152"/>
        <v>-0.92543852115135716</v>
      </c>
      <c r="AC1106" s="9">
        <f t="shared" si="153"/>
        <v>-0.87113745180923685</v>
      </c>
      <c r="AD1106" s="2">
        <f t="shared" si="154"/>
        <v>-5.8676041791045463E-2</v>
      </c>
      <c r="AE1106" s="8">
        <f t="shared" si="155"/>
        <v>0.24590160036163386</v>
      </c>
      <c r="AF1106" s="2">
        <f t="shared" si="156"/>
        <v>2.7477013385636101E-2</v>
      </c>
      <c r="AG1106" s="8">
        <f t="shared" si="157"/>
        <v>0.21842458697599776</v>
      </c>
      <c r="AH1106" s="7">
        <f t="shared" si="158"/>
        <v>0.12579633898383197</v>
      </c>
      <c r="AI1106">
        <f t="shared" si="159"/>
        <v>2</v>
      </c>
      <c r="AJ1106" s="10">
        <f t="shared" si="160"/>
        <v>0.87369834790399103</v>
      </c>
    </row>
    <row r="1107" spans="1:36" hidden="1" x14ac:dyDescent="0.25">
      <c r="A1107" t="b">
        <v>0</v>
      </c>
      <c r="B1107">
        <v>1000</v>
      </c>
      <c r="C1107">
        <v>0.87369834790399103</v>
      </c>
      <c r="D1107" t="s">
        <v>52</v>
      </c>
      <c r="E1107" t="b">
        <v>1</v>
      </c>
      <c r="F1107" t="s">
        <v>53</v>
      </c>
      <c r="G1107">
        <v>7.4999999999999997E-2</v>
      </c>
      <c r="H1107">
        <v>0.5</v>
      </c>
      <c r="I1107">
        <v>1E-4</v>
      </c>
      <c r="J1107" t="b">
        <v>1</v>
      </c>
      <c r="K1107">
        <v>2</v>
      </c>
      <c r="L1107">
        <v>1500</v>
      </c>
      <c r="M1107">
        <v>1</v>
      </c>
      <c r="N1107">
        <v>0.154</v>
      </c>
      <c r="O1107" t="s">
        <v>457</v>
      </c>
      <c r="P1107" t="s">
        <v>459</v>
      </c>
      <c r="Q1107" s="1">
        <v>-5.11597491718385E-5</v>
      </c>
      <c r="R1107" s="1">
        <v>3.0828067080980002E-5</v>
      </c>
      <c r="S1107">
        <v>1.6871028419382101E-4</v>
      </c>
      <c r="T1107">
        <v>-6.24274641998093E-4</v>
      </c>
      <c r="U1107">
        <v>2.2287200383302701</v>
      </c>
      <c r="V1107" s="1">
        <v>8.8046963472862597E-15</v>
      </c>
      <c r="W1107">
        <v>3.9895290926544397E-2</v>
      </c>
      <c r="X1107">
        <v>2.4998565817628702</v>
      </c>
      <c r="Y1107">
        <v>1.8607492349980701</v>
      </c>
      <c r="Z1107">
        <v>0.49996326160789001</v>
      </c>
      <c r="AA1107">
        <v>3.3333012202558301</v>
      </c>
      <c r="AB1107" s="9">
        <f t="shared" si="152"/>
        <v>-0.92506903918332228</v>
      </c>
      <c r="AC1107" s="9">
        <f t="shared" si="153"/>
        <v>-0.87113745180923685</v>
      </c>
      <c r="AD1107" s="2">
        <f t="shared" si="154"/>
        <v>-5.8300067443288084E-2</v>
      </c>
      <c r="AE1107" s="8">
        <f t="shared" si="155"/>
        <v>0.24571045100298686</v>
      </c>
      <c r="AF1107" s="2">
        <f t="shared" si="156"/>
        <v>2.7285864026989098E-2</v>
      </c>
      <c r="AG1107" s="8">
        <f t="shared" si="157"/>
        <v>0.21842458697599776</v>
      </c>
      <c r="AH1107" s="7">
        <f t="shared" si="158"/>
        <v>0.12492121150256535</v>
      </c>
      <c r="AI1107">
        <f t="shared" si="159"/>
        <v>2</v>
      </c>
      <c r="AJ1107" s="10">
        <f t="shared" si="160"/>
        <v>0.87369834790399103</v>
      </c>
    </row>
    <row r="1108" spans="1:36" hidden="1" x14ac:dyDescent="0.25">
      <c r="A1108" t="b">
        <v>0</v>
      </c>
      <c r="B1108">
        <v>1000</v>
      </c>
      <c r="C1108">
        <v>0.87369834790399103</v>
      </c>
      <c r="D1108" t="s">
        <v>52</v>
      </c>
      <c r="E1108" t="b">
        <v>1</v>
      </c>
      <c r="F1108" t="s">
        <v>53</v>
      </c>
      <c r="G1108">
        <v>7.4999999999999997E-2</v>
      </c>
      <c r="H1108">
        <v>0.5</v>
      </c>
      <c r="I1108">
        <v>1E-4</v>
      </c>
      <c r="J1108" t="b">
        <v>1</v>
      </c>
      <c r="K1108">
        <v>2</v>
      </c>
      <c r="L1108">
        <v>1500</v>
      </c>
      <c r="M1108">
        <v>1</v>
      </c>
      <c r="N1108">
        <v>0.154</v>
      </c>
      <c r="O1108" t="s">
        <v>457</v>
      </c>
      <c r="P1108" t="s">
        <v>460</v>
      </c>
      <c r="Q1108" s="1">
        <v>-6.7477014822002097E-6</v>
      </c>
      <c r="R1108" s="1">
        <v>3.72282203710238E-6</v>
      </c>
      <c r="S1108" s="1">
        <v>2.1101365273342101E-5</v>
      </c>
      <c r="T1108" s="1">
        <v>-7.8112065091304295E-5</v>
      </c>
      <c r="U1108">
        <v>2.22890383304216</v>
      </c>
      <c r="V1108" s="1">
        <v>2.82830009138906E-15</v>
      </c>
      <c r="W1108">
        <v>6.3765145194605702E-2</v>
      </c>
      <c r="X1108">
        <v>2.1427317247489901</v>
      </c>
      <c r="Y1108">
        <v>2.4141163771514398</v>
      </c>
      <c r="Z1108">
        <v>2.5223341848034102E-4</v>
      </c>
      <c r="AA1108">
        <v>2.5370177469109501</v>
      </c>
      <c r="AB1108" s="9">
        <f t="shared" si="152"/>
        <v>-0.92543852115087166</v>
      </c>
      <c r="AC1108" s="9">
        <f t="shared" si="153"/>
        <v>-0.87113745180923685</v>
      </c>
      <c r="AD1108" s="2">
        <f t="shared" si="154"/>
        <v>-5.8676041790551636E-2</v>
      </c>
      <c r="AE1108" s="8">
        <f t="shared" si="155"/>
        <v>0.2459016003613827</v>
      </c>
      <c r="AF1108" s="2">
        <f t="shared" si="156"/>
        <v>2.7477013385384941E-2</v>
      </c>
      <c r="AG1108" s="8">
        <f t="shared" si="157"/>
        <v>0.21842458697599776</v>
      </c>
      <c r="AH1108" s="7">
        <f t="shared" si="158"/>
        <v>0.12579633898268208</v>
      </c>
      <c r="AI1108">
        <f t="shared" si="159"/>
        <v>2</v>
      </c>
      <c r="AJ1108" s="10">
        <f t="shared" si="160"/>
        <v>0.87369834790399103</v>
      </c>
    </row>
    <row r="1109" spans="1:36" hidden="1" x14ac:dyDescent="0.25">
      <c r="A1109" t="b">
        <v>0</v>
      </c>
      <c r="B1109">
        <v>1000</v>
      </c>
      <c r="C1109">
        <v>0.87369834790399103</v>
      </c>
      <c r="D1109" t="s">
        <v>52</v>
      </c>
      <c r="E1109" t="b">
        <v>1</v>
      </c>
      <c r="F1109" t="s">
        <v>53</v>
      </c>
      <c r="G1109">
        <v>7.4999999999999997E-2</v>
      </c>
      <c r="H1109">
        <v>0.5</v>
      </c>
      <c r="I1109">
        <v>1E-4</v>
      </c>
      <c r="J1109" t="b">
        <v>1</v>
      </c>
      <c r="K1109">
        <v>2</v>
      </c>
      <c r="L1109">
        <v>1500</v>
      </c>
      <c r="M1109">
        <v>1</v>
      </c>
      <c r="N1109">
        <v>0.154</v>
      </c>
      <c r="O1109" t="s">
        <v>457</v>
      </c>
      <c r="P1109" t="s">
        <v>461</v>
      </c>
      <c r="Q1109" s="1">
        <v>-1.3495320638564199E-5</v>
      </c>
      <c r="R1109" s="1">
        <v>7.4632829354220602E-6</v>
      </c>
      <c r="S1109" s="1">
        <v>4.2202435711242802E-5</v>
      </c>
      <c r="T1109">
        <v>-1.56220996778056E-4</v>
      </c>
      <c r="U1109">
        <v>2.2288775495244</v>
      </c>
      <c r="V1109" s="1">
        <v>2.8295917758173802E-15</v>
      </c>
      <c r="W1109">
        <v>6.4953819350585904E-2</v>
      </c>
      <c r="X1109">
        <v>2.1427312400130201</v>
      </c>
      <c r="Y1109">
        <v>2.4129633812006301</v>
      </c>
      <c r="Z1109">
        <v>2.5223363486119002E-4</v>
      </c>
      <c r="AA1109">
        <v>2.5429532535321799</v>
      </c>
      <c r="AB1109" s="9">
        <f t="shared" si="152"/>
        <v>-0.92542642471485637</v>
      </c>
      <c r="AC1109" s="9">
        <f t="shared" si="153"/>
        <v>-0.87113745180923685</v>
      </c>
      <c r="AD1109" s="2">
        <f t="shared" si="154"/>
        <v>-5.8663737554659812E-2</v>
      </c>
      <c r="AE1109" s="8">
        <f t="shared" si="155"/>
        <v>0.24589534141136421</v>
      </c>
      <c r="AF1109" s="2">
        <f t="shared" si="156"/>
        <v>2.7470754435366451E-2</v>
      </c>
      <c r="AG1109" s="8">
        <f t="shared" si="157"/>
        <v>0.21842458697599776</v>
      </c>
      <c r="AH1109" s="7">
        <f t="shared" si="158"/>
        <v>0.12576768401253818</v>
      </c>
      <c r="AI1109">
        <f t="shared" si="159"/>
        <v>2</v>
      </c>
      <c r="AJ1109" s="10">
        <f t="shared" si="160"/>
        <v>0.87369834790399103</v>
      </c>
    </row>
    <row r="1110" spans="1:36" hidden="1" x14ac:dyDescent="0.25">
      <c r="A1110" t="b">
        <v>0</v>
      </c>
      <c r="B1110">
        <v>1000</v>
      </c>
      <c r="C1110">
        <v>0.87369834790399103</v>
      </c>
      <c r="D1110" t="s">
        <v>52</v>
      </c>
      <c r="E1110" t="b">
        <v>1</v>
      </c>
      <c r="F1110" t="s">
        <v>53</v>
      </c>
      <c r="G1110">
        <v>7.4999999999999997E-2</v>
      </c>
      <c r="H1110">
        <v>0.5</v>
      </c>
      <c r="I1110">
        <v>1E-4</v>
      </c>
      <c r="J1110" t="b">
        <v>1</v>
      </c>
      <c r="K1110">
        <v>2</v>
      </c>
      <c r="L1110">
        <v>1500</v>
      </c>
      <c r="M1110">
        <v>1</v>
      </c>
      <c r="N1110">
        <v>0.154</v>
      </c>
      <c r="O1110" t="s">
        <v>457</v>
      </c>
      <c r="P1110" t="s">
        <v>462</v>
      </c>
      <c r="Q1110" s="1">
        <v>-5.7557718927562899E-5</v>
      </c>
      <c r="R1110" s="1">
        <v>3.61412912073887E-5</v>
      </c>
      <c r="S1110">
        <v>1.89809292700734E-4</v>
      </c>
      <c r="T1110">
        <v>-7.0236166713127403E-4</v>
      </c>
      <c r="U1110">
        <v>2.2286937581804098</v>
      </c>
      <c r="V1110" s="1">
        <v>8.8087191886770197E-15</v>
      </c>
      <c r="W1110">
        <v>4.1641360872185999E-2</v>
      </c>
      <c r="X1110">
        <v>2.49985701564878</v>
      </c>
      <c r="Y1110">
        <v>1.9317797035402899</v>
      </c>
      <c r="Z1110">
        <v>0.499963483880144</v>
      </c>
      <c r="AA1110">
        <v>3.4755072399046099</v>
      </c>
      <c r="AB1110" s="9">
        <f t="shared" si="152"/>
        <v>-0.92508862071187459</v>
      </c>
      <c r="AC1110" s="9">
        <f t="shared" si="153"/>
        <v>-0.87113745180923685</v>
      </c>
      <c r="AD1110" s="2">
        <f t="shared" si="154"/>
        <v>-5.8320000586669418E-2</v>
      </c>
      <c r="AE1110" s="8">
        <f t="shared" si="155"/>
        <v>0.24572057992162888</v>
      </c>
      <c r="AF1110" s="2">
        <f t="shared" si="156"/>
        <v>2.729599294563112E-2</v>
      </c>
      <c r="AG1110" s="8">
        <f t="shared" si="157"/>
        <v>0.21842458697599776</v>
      </c>
      <c r="AH1110" s="7">
        <f t="shared" si="158"/>
        <v>0.12496758411465199</v>
      </c>
      <c r="AI1110">
        <f t="shared" si="159"/>
        <v>2</v>
      </c>
      <c r="AJ1110" s="10">
        <f t="shared" si="160"/>
        <v>0.87369834790399103</v>
      </c>
    </row>
    <row r="1111" spans="1:36" hidden="1" x14ac:dyDescent="0.25">
      <c r="A1111" t="b">
        <v>0</v>
      </c>
      <c r="B1111">
        <v>1000</v>
      </c>
      <c r="C1111">
        <v>0.87369834790399103</v>
      </c>
      <c r="D1111" t="s">
        <v>52</v>
      </c>
      <c r="E1111" t="b">
        <v>1</v>
      </c>
      <c r="F1111" t="s">
        <v>53</v>
      </c>
      <c r="G1111">
        <v>7.4999999999999997E-2</v>
      </c>
      <c r="H1111">
        <v>0.5</v>
      </c>
      <c r="I1111">
        <v>1E-4</v>
      </c>
      <c r="J1111" t="b">
        <v>1</v>
      </c>
      <c r="K1111">
        <v>2</v>
      </c>
      <c r="L1111">
        <v>1500</v>
      </c>
      <c r="M1111">
        <v>1</v>
      </c>
      <c r="N1111">
        <v>0.154</v>
      </c>
      <c r="O1111" t="s">
        <v>457</v>
      </c>
      <c r="P1111" t="s">
        <v>463</v>
      </c>
      <c r="Q1111" s="1">
        <v>-5.1159749458895398E-5</v>
      </c>
      <c r="R1111" s="1">
        <v>3.13384081634313E-5</v>
      </c>
      <c r="S1111">
        <v>1.6871028419382399E-4</v>
      </c>
      <c r="T1111">
        <v>-6.2427464199813095E-4</v>
      </c>
      <c r="U1111">
        <v>2.2287200383472801</v>
      </c>
      <c r="V1111" s="1">
        <v>8.8054230019775903E-15</v>
      </c>
      <c r="W1111">
        <v>4.0226090947216901E-2</v>
      </c>
      <c r="X1111">
        <v>2.4998565996802902</v>
      </c>
      <c r="Y1111">
        <v>1.89390195272619</v>
      </c>
      <c r="Z1111">
        <v>0.49996326367701799</v>
      </c>
      <c r="AA1111">
        <v>3.3870724093528102</v>
      </c>
      <c r="AB1111" s="9">
        <f t="shared" si="152"/>
        <v>-0.92506903918336214</v>
      </c>
      <c r="AC1111" s="9">
        <f t="shared" si="153"/>
        <v>-0.87113745180923685</v>
      </c>
      <c r="AD1111" s="2">
        <f t="shared" si="154"/>
        <v>-5.8300067443328718E-2</v>
      </c>
      <c r="AE1111" s="8">
        <f t="shared" si="155"/>
        <v>0.24571045100300748</v>
      </c>
      <c r="AF1111" s="2">
        <f t="shared" si="156"/>
        <v>2.7285864027009721E-2</v>
      </c>
      <c r="AG1111" s="8">
        <f t="shared" si="157"/>
        <v>0.21842458697599776</v>
      </c>
      <c r="AH1111" s="7">
        <f t="shared" si="158"/>
        <v>0.12492121150265977</v>
      </c>
      <c r="AI1111">
        <f t="shared" si="159"/>
        <v>2</v>
      </c>
      <c r="AJ1111" s="10">
        <f t="shared" si="160"/>
        <v>0.87369834790399103</v>
      </c>
    </row>
    <row r="1112" spans="1:36" hidden="1" x14ac:dyDescent="0.25">
      <c r="A1112" t="b">
        <v>0</v>
      </c>
      <c r="B1112">
        <v>1000</v>
      </c>
      <c r="C1112">
        <v>0.87369834790399103</v>
      </c>
      <c r="D1112" t="s">
        <v>52</v>
      </c>
      <c r="E1112" t="b">
        <v>1</v>
      </c>
      <c r="F1112" t="s">
        <v>53</v>
      </c>
      <c r="G1112">
        <v>7.4999999999999997E-2</v>
      </c>
      <c r="H1112">
        <v>0.5</v>
      </c>
      <c r="I1112">
        <v>1E-4</v>
      </c>
      <c r="J1112" t="b">
        <v>1</v>
      </c>
      <c r="K1112">
        <v>2</v>
      </c>
      <c r="L1112">
        <v>1500</v>
      </c>
      <c r="M1112">
        <v>1</v>
      </c>
      <c r="N1112">
        <v>0.154</v>
      </c>
      <c r="O1112" t="s">
        <v>457</v>
      </c>
      <c r="P1112" t="s">
        <v>464</v>
      </c>
      <c r="Q1112" s="1">
        <v>-5.7557716833592998E-5</v>
      </c>
      <c r="R1112" s="1">
        <v>3.6797133295482399E-5</v>
      </c>
      <c r="S1112">
        <v>1.8980929270073999E-4</v>
      </c>
      <c r="T1112">
        <v>-7.0236166713156395E-4</v>
      </c>
      <c r="U1112">
        <v>2.2286937579018899</v>
      </c>
      <c r="V1112" s="1">
        <v>8.8056431776049894E-15</v>
      </c>
      <c r="W1112">
        <v>4.1925242329594298E-2</v>
      </c>
      <c r="X1112">
        <v>2.4998569161669102</v>
      </c>
      <c r="Y1112">
        <v>1.9713060772982101</v>
      </c>
      <c r="Z1112">
        <v>0.499963475576505</v>
      </c>
      <c r="AA1112">
        <v>3.5364139389932898</v>
      </c>
      <c r="AB1112" s="9">
        <f t="shared" si="152"/>
        <v>-0.92508862071222731</v>
      </c>
      <c r="AC1112" s="9">
        <f t="shared" si="153"/>
        <v>-0.87113745180923685</v>
      </c>
      <c r="AD1112" s="2">
        <f t="shared" si="154"/>
        <v>-5.8320000587028464E-2</v>
      </c>
      <c r="AE1112" s="8">
        <f t="shared" si="155"/>
        <v>0.24572057992181134</v>
      </c>
      <c r="AF1112" s="2">
        <f t="shared" si="156"/>
        <v>2.7295992945813585E-2</v>
      </c>
      <c r="AG1112" s="8">
        <f t="shared" si="157"/>
        <v>0.21842458697599776</v>
      </c>
      <c r="AH1112" s="7">
        <f t="shared" si="158"/>
        <v>0.12496758411548736</v>
      </c>
      <c r="AI1112">
        <f t="shared" si="159"/>
        <v>2</v>
      </c>
      <c r="AJ1112" s="10">
        <f t="shared" si="160"/>
        <v>0.87369834790399103</v>
      </c>
    </row>
    <row r="1113" spans="1:36" hidden="1" x14ac:dyDescent="0.25">
      <c r="A1113" t="b">
        <v>0</v>
      </c>
      <c r="B1113">
        <v>1000</v>
      </c>
      <c r="C1113">
        <v>0.87369834790399103</v>
      </c>
      <c r="D1113" t="s">
        <v>52</v>
      </c>
      <c r="E1113" t="b">
        <v>1</v>
      </c>
      <c r="F1113" t="s">
        <v>53</v>
      </c>
      <c r="G1113">
        <v>7.4999999999999997E-2</v>
      </c>
      <c r="H1113">
        <v>0.5</v>
      </c>
      <c r="I1113">
        <v>1E-4</v>
      </c>
      <c r="J1113" t="b">
        <v>1</v>
      </c>
      <c r="K1113">
        <v>2</v>
      </c>
      <c r="L1113">
        <v>1500</v>
      </c>
      <c r="M1113">
        <v>1</v>
      </c>
      <c r="N1113">
        <v>0.154</v>
      </c>
      <c r="O1113" t="s">
        <v>457</v>
      </c>
      <c r="P1113" t="s">
        <v>465</v>
      </c>
      <c r="Q1113">
        <v>-1.0231466127275E-4</v>
      </c>
      <c r="R1113" s="1">
        <v>6.2496585545404501E-5</v>
      </c>
      <c r="S1113">
        <v>3.3740172957942701E-4</v>
      </c>
      <c r="T1113">
        <v>-1.2483491823060101E-3</v>
      </c>
      <c r="U1113">
        <v>2.2285099877419201</v>
      </c>
      <c r="V1113" s="1">
        <v>8.7879845370841394E-15</v>
      </c>
      <c r="W1113">
        <v>4.0303844347698702E-2</v>
      </c>
      <c r="X1113">
        <v>2.4998543951865302</v>
      </c>
      <c r="Y1113">
        <v>1.88652878399618</v>
      </c>
      <c r="Z1113">
        <v>0.49996208809445097</v>
      </c>
      <c r="AA1113">
        <v>3.3783815578195999</v>
      </c>
      <c r="AB1113" s="9">
        <f t="shared" si="152"/>
        <v>-0.92497242372029609</v>
      </c>
      <c r="AC1113" s="9">
        <f t="shared" si="153"/>
        <v>-0.87113745180923685</v>
      </c>
      <c r="AD1113" s="2">
        <f t="shared" si="154"/>
        <v>-5.8201704754106798E-2</v>
      </c>
      <c r="AE1113" s="8">
        <f t="shared" si="155"/>
        <v>0.24566047722557671</v>
      </c>
      <c r="AF1113" s="2">
        <f t="shared" si="156"/>
        <v>2.7235890249578953E-2</v>
      </c>
      <c r="AG1113" s="8">
        <f t="shared" si="157"/>
        <v>0.21842458697599776</v>
      </c>
      <c r="AH1113" s="7">
        <f t="shared" si="158"/>
        <v>0.12469241959730408</v>
      </c>
      <c r="AI1113">
        <f t="shared" si="159"/>
        <v>2</v>
      </c>
      <c r="AJ1113" s="10">
        <f t="shared" si="160"/>
        <v>0.87369834790399103</v>
      </c>
    </row>
    <row r="1114" spans="1:36" hidden="1" x14ac:dyDescent="0.25">
      <c r="A1114" t="b">
        <v>0</v>
      </c>
      <c r="B1114">
        <v>1000</v>
      </c>
      <c r="C1114">
        <v>0.87369834790399103</v>
      </c>
      <c r="D1114" t="s">
        <v>52</v>
      </c>
      <c r="E1114" t="b">
        <v>1</v>
      </c>
      <c r="F1114" t="s">
        <v>53</v>
      </c>
      <c r="G1114">
        <v>7.4999999999999997E-2</v>
      </c>
      <c r="H1114">
        <v>0.5</v>
      </c>
      <c r="I1114">
        <v>1E-4</v>
      </c>
      <c r="J1114" t="b">
        <v>1</v>
      </c>
      <c r="K1114">
        <v>2</v>
      </c>
      <c r="L1114">
        <v>1500</v>
      </c>
      <c r="M1114">
        <v>1</v>
      </c>
      <c r="N1114">
        <v>0.154</v>
      </c>
      <c r="O1114" t="s">
        <v>458</v>
      </c>
      <c r="P1114" t="s">
        <v>459</v>
      </c>
      <c r="Q1114" s="1">
        <v>-4.4761173590595803E-5</v>
      </c>
      <c r="R1114" s="1">
        <v>2.56340768846542E-5</v>
      </c>
      <c r="S1114">
        <v>1.4760891892048601E-4</v>
      </c>
      <c r="T1114">
        <v>-5.4616257690683198E-4</v>
      </c>
      <c r="U1114">
        <v>2.2286937544186101</v>
      </c>
      <c r="V1114" s="1">
        <v>8.7944751593109696E-15</v>
      </c>
      <c r="W1114">
        <v>3.7491619763324401E-2</v>
      </c>
      <c r="X1114">
        <v>2.4998553958580501</v>
      </c>
      <c r="Y1114">
        <v>1.7826713957561799</v>
      </c>
      <c r="Z1114">
        <v>0.49996264965327603</v>
      </c>
      <c r="AA1114">
        <v>3.1629324819253601</v>
      </c>
      <c r="AB1114" s="9">
        <f t="shared" si="152"/>
        <v>-0.92501622005821837</v>
      </c>
      <c r="AC1114" s="9">
        <f t="shared" si="153"/>
        <v>-0.87113745180923685</v>
      </c>
      <c r="AD1114" s="2">
        <f t="shared" si="154"/>
        <v>-5.8246295665594361E-2</v>
      </c>
      <c r="AE1114" s="8">
        <f t="shared" si="155"/>
        <v>0.24568313012576845</v>
      </c>
      <c r="AF1114" s="2">
        <f t="shared" si="156"/>
        <v>2.7258543149770692E-2</v>
      </c>
      <c r="AG1114" s="8">
        <f t="shared" si="157"/>
        <v>0.21842458697599776</v>
      </c>
      <c r="AH1114" s="7">
        <f t="shared" si="158"/>
        <v>0.12479612999229835</v>
      </c>
      <c r="AI1114">
        <f t="shared" si="159"/>
        <v>2</v>
      </c>
      <c r="AJ1114" s="10">
        <f t="shared" si="160"/>
        <v>0.87369834790399103</v>
      </c>
    </row>
    <row r="1115" spans="1:36" hidden="1" x14ac:dyDescent="0.25">
      <c r="A1115" t="b">
        <v>0</v>
      </c>
      <c r="B1115">
        <v>1000</v>
      </c>
      <c r="C1115">
        <v>0.87369834790399103</v>
      </c>
      <c r="D1115" t="s">
        <v>52</v>
      </c>
      <c r="E1115" t="b">
        <v>1</v>
      </c>
      <c r="F1115" t="s">
        <v>53</v>
      </c>
      <c r="G1115">
        <v>7.4999999999999997E-2</v>
      </c>
      <c r="H1115">
        <v>0.5</v>
      </c>
      <c r="I1115">
        <v>1E-4</v>
      </c>
      <c r="J1115" t="b">
        <v>1</v>
      </c>
      <c r="K1115">
        <v>2</v>
      </c>
      <c r="L1115">
        <v>1500</v>
      </c>
      <c r="M1115">
        <v>1</v>
      </c>
      <c r="N1115">
        <v>0.154</v>
      </c>
      <c r="O1115" t="s">
        <v>458</v>
      </c>
      <c r="P1115" t="s">
        <v>460</v>
      </c>
      <c r="Q1115" s="1">
        <v>-1E-10</v>
      </c>
      <c r="R1115" s="1">
        <v>3.58578591821794E-12</v>
      </c>
      <c r="S1115" s="1">
        <v>6.9411826305196604E-18</v>
      </c>
      <c r="T1115" s="1">
        <v>5.5042614891451797E-17</v>
      </c>
      <c r="U1115">
        <v>2.2288775491305</v>
      </c>
      <c r="V1115">
        <v>0</v>
      </c>
      <c r="W1115">
        <v>6.8474547996335094E-2</v>
      </c>
      <c r="X1115">
        <v>2</v>
      </c>
      <c r="Y1115">
        <v>4.0005663986207099E-3</v>
      </c>
      <c r="Z1115">
        <v>2.5000000000000001E-4</v>
      </c>
      <c r="AA1115">
        <v>4.7933529628715896E-3</v>
      </c>
      <c r="AB1115" s="9">
        <f t="shared" si="152"/>
        <v>1.9824653024340235</v>
      </c>
      <c r="AC1115" s="9">
        <f t="shared" si="153"/>
        <v>-0.87113745180923685</v>
      </c>
      <c r="AD1115" s="2">
        <f t="shared" si="154"/>
        <v>-1.4394212855779493</v>
      </c>
      <c r="AE1115" s="8">
        <f t="shared" si="155"/>
        <v>-0.43564453705704786</v>
      </c>
      <c r="AF1115" s="2">
        <f t="shared" si="156"/>
        <v>-0.65406912403304562</v>
      </c>
      <c r="AG1115" s="8">
        <f t="shared" si="157"/>
        <v>0.21842458697599776</v>
      </c>
      <c r="AH1115" s="7">
        <f t="shared" si="158"/>
        <v>-2.9944848841807357</v>
      </c>
      <c r="AI1115">
        <f t="shared" si="159"/>
        <v>2</v>
      </c>
      <c r="AJ1115" s="10">
        <f t="shared" si="160"/>
        <v>0.87369834790399103</v>
      </c>
    </row>
    <row r="1116" spans="1:36" hidden="1" x14ac:dyDescent="0.25">
      <c r="A1116" t="b">
        <v>0</v>
      </c>
      <c r="B1116">
        <v>1000</v>
      </c>
      <c r="C1116">
        <v>0.87369834790399103</v>
      </c>
      <c r="D1116" t="s">
        <v>52</v>
      </c>
      <c r="E1116" t="b">
        <v>1</v>
      </c>
      <c r="F1116" t="s">
        <v>53</v>
      </c>
      <c r="G1116">
        <v>7.4999999999999997E-2</v>
      </c>
      <c r="H1116">
        <v>0.5</v>
      </c>
      <c r="I1116">
        <v>1E-4</v>
      </c>
      <c r="J1116" t="b">
        <v>1</v>
      </c>
      <c r="K1116">
        <v>2</v>
      </c>
      <c r="L1116">
        <v>1500</v>
      </c>
      <c r="M1116">
        <v>1</v>
      </c>
      <c r="N1116">
        <v>0.154</v>
      </c>
      <c r="O1116" t="s">
        <v>458</v>
      </c>
      <c r="P1116" t="s">
        <v>461</v>
      </c>
      <c r="Q1116" s="1">
        <v>-6.7476191563652296E-6</v>
      </c>
      <c r="R1116" s="1">
        <v>3.7692620440206702E-6</v>
      </c>
      <c r="S1116" s="1">
        <v>2.1101070437900599E-5</v>
      </c>
      <c r="T1116" s="1">
        <v>-7.8108931686638597E-5</v>
      </c>
      <c r="U1116">
        <v>2.2288512656127399</v>
      </c>
      <c r="V1116" s="1">
        <v>2.8293369996446601E-15</v>
      </c>
      <c r="W1116">
        <v>6.3891682475235106E-2</v>
      </c>
      <c r="X1116">
        <v>2.1427307551974599</v>
      </c>
      <c r="Y1116">
        <v>2.4235676176900398</v>
      </c>
      <c r="Z1116">
        <v>2.5223385099158702E-4</v>
      </c>
      <c r="AA1116">
        <v>2.56865998746109</v>
      </c>
      <c r="AB1116" s="9">
        <f t="shared" si="152"/>
        <v>-0.92541432810848745</v>
      </c>
      <c r="AC1116" s="9">
        <f t="shared" si="153"/>
        <v>-0.87113745180923685</v>
      </c>
      <c r="AD1116" s="2">
        <f t="shared" si="154"/>
        <v>-5.8651432823814686E-2</v>
      </c>
      <c r="AE1116" s="8">
        <f t="shared" si="155"/>
        <v>0.24588908243608756</v>
      </c>
      <c r="AF1116" s="2">
        <f t="shared" si="156"/>
        <v>2.7464495460089805E-2</v>
      </c>
      <c r="AG1116" s="8">
        <f t="shared" si="157"/>
        <v>0.21842458697599776</v>
      </c>
      <c r="AH1116" s="7">
        <f t="shared" si="158"/>
        <v>0.12573902892675642</v>
      </c>
      <c r="AI1116">
        <f t="shared" si="159"/>
        <v>2</v>
      </c>
      <c r="AJ1116" s="10">
        <f t="shared" si="160"/>
        <v>0.87369834790399103</v>
      </c>
    </row>
    <row r="1117" spans="1:36" hidden="1" x14ac:dyDescent="0.25">
      <c r="A1117" t="b">
        <v>0</v>
      </c>
      <c r="B1117">
        <v>1000</v>
      </c>
      <c r="C1117">
        <v>0.87369834790399103</v>
      </c>
      <c r="D1117" t="s">
        <v>52</v>
      </c>
      <c r="E1117" t="b">
        <v>1</v>
      </c>
      <c r="F1117" t="s">
        <v>53</v>
      </c>
      <c r="G1117">
        <v>7.4999999999999997E-2</v>
      </c>
      <c r="H1117">
        <v>0.5</v>
      </c>
      <c r="I1117">
        <v>1E-4</v>
      </c>
      <c r="J1117" t="b">
        <v>1</v>
      </c>
      <c r="K1117">
        <v>2</v>
      </c>
      <c r="L1117">
        <v>1500</v>
      </c>
      <c r="M1117">
        <v>1</v>
      </c>
      <c r="N1117">
        <v>0.154</v>
      </c>
      <c r="O1117" t="s">
        <v>458</v>
      </c>
      <c r="P1117" t="s">
        <v>462</v>
      </c>
      <c r="Q1117" s="1">
        <v>-5.1159144212745203E-5</v>
      </c>
      <c r="R1117" s="1">
        <v>3.0405222241817801E-5</v>
      </c>
      <c r="S1117">
        <v>1.6870792742740799E-4</v>
      </c>
      <c r="T1117">
        <v>-6.2424960204033404E-4</v>
      </c>
      <c r="U1117">
        <v>2.2286674742687498</v>
      </c>
      <c r="V1117" s="1">
        <v>8.8017202608548307E-15</v>
      </c>
      <c r="W1117">
        <v>3.98178342126526E-2</v>
      </c>
      <c r="X1117">
        <v>2.4998560834830901</v>
      </c>
      <c r="Y1117">
        <v>1.8304590063078401</v>
      </c>
      <c r="Z1117">
        <v>0.49996298385433802</v>
      </c>
      <c r="AA1117">
        <v>3.2899091708455201</v>
      </c>
      <c r="AB1117" s="9">
        <f t="shared" si="152"/>
        <v>-0.92504485645604517</v>
      </c>
      <c r="AC1117" s="9">
        <f t="shared" si="153"/>
        <v>-0.87113745180923685</v>
      </c>
      <c r="AD1117" s="2">
        <f t="shared" si="154"/>
        <v>-5.8275449315327132E-2</v>
      </c>
      <c r="AE1117" s="8">
        <f t="shared" si="155"/>
        <v>0.24569794225397598</v>
      </c>
      <c r="AF1117" s="2">
        <f t="shared" si="156"/>
        <v>2.7273355277978223E-2</v>
      </c>
      <c r="AG1117" s="8">
        <f t="shared" si="157"/>
        <v>0.21842458697599776</v>
      </c>
      <c r="AH1117" s="7">
        <f t="shared" si="158"/>
        <v>0.12486394345786374</v>
      </c>
      <c r="AI1117">
        <f t="shared" si="159"/>
        <v>2</v>
      </c>
      <c r="AJ1117" s="10">
        <f t="shared" si="160"/>
        <v>0.87369834790399103</v>
      </c>
    </row>
    <row r="1118" spans="1:36" hidden="1" x14ac:dyDescent="0.25">
      <c r="A1118" t="b">
        <v>0</v>
      </c>
      <c r="B1118">
        <v>1000</v>
      </c>
      <c r="C1118">
        <v>0.87369834790399103</v>
      </c>
      <c r="D1118" t="s">
        <v>52</v>
      </c>
      <c r="E1118" t="b">
        <v>1</v>
      </c>
      <c r="F1118" t="s">
        <v>53</v>
      </c>
      <c r="G1118">
        <v>7.4999999999999997E-2</v>
      </c>
      <c r="H1118">
        <v>0.5</v>
      </c>
      <c r="I1118">
        <v>1E-4</v>
      </c>
      <c r="J1118" t="b">
        <v>1</v>
      </c>
      <c r="K1118">
        <v>2</v>
      </c>
      <c r="L1118">
        <v>1500</v>
      </c>
      <c r="M1118">
        <v>1</v>
      </c>
      <c r="N1118">
        <v>0.154</v>
      </c>
      <c r="O1118" t="s">
        <v>458</v>
      </c>
      <c r="P1118" t="s">
        <v>463</v>
      </c>
      <c r="Q1118" s="1">
        <v>-4.4761175703827702E-5</v>
      </c>
      <c r="R1118" s="1">
        <v>2.5551947893835201E-5</v>
      </c>
      <c r="S1118">
        <v>1.4760891892048701E-4</v>
      </c>
      <c r="T1118">
        <v>-5.4616257690687404E-4</v>
      </c>
      <c r="U1118">
        <v>2.22869375443562</v>
      </c>
      <c r="V1118" s="1">
        <v>8.79870085796028E-15</v>
      </c>
      <c r="W1118">
        <v>3.7207893550481798E-2</v>
      </c>
      <c r="X1118">
        <v>2.4998555307612902</v>
      </c>
      <c r="Y1118">
        <v>1.7795600408500001</v>
      </c>
      <c r="Z1118">
        <v>0.49996266168183501</v>
      </c>
      <c r="AA1118">
        <v>3.1517463420505298</v>
      </c>
      <c r="AB1118" s="9">
        <f t="shared" si="152"/>
        <v>-0.92501622005828332</v>
      </c>
      <c r="AC1118" s="9">
        <f t="shared" si="153"/>
        <v>-0.87113745180923685</v>
      </c>
      <c r="AD1118" s="2">
        <f t="shared" si="154"/>
        <v>-5.824629566566053E-2</v>
      </c>
      <c r="AE1118" s="8">
        <f t="shared" si="155"/>
        <v>0.24568313012580201</v>
      </c>
      <c r="AF1118" s="2">
        <f t="shared" si="156"/>
        <v>2.7258543149804249E-2</v>
      </c>
      <c r="AG1118" s="8">
        <f t="shared" si="157"/>
        <v>0.21842458697599776</v>
      </c>
      <c r="AH1118" s="7">
        <f t="shared" si="158"/>
        <v>0.12479612999245197</v>
      </c>
      <c r="AI1118">
        <f t="shared" si="159"/>
        <v>2</v>
      </c>
      <c r="AJ1118" s="10">
        <f t="shared" si="160"/>
        <v>0.87369834790399103</v>
      </c>
    </row>
    <row r="1119" spans="1:36" hidden="1" x14ac:dyDescent="0.25">
      <c r="A1119" t="b">
        <v>0</v>
      </c>
      <c r="B1119">
        <v>1000</v>
      </c>
      <c r="C1119">
        <v>0.87369834790399103</v>
      </c>
      <c r="D1119" t="s">
        <v>52</v>
      </c>
      <c r="E1119" t="b">
        <v>1</v>
      </c>
      <c r="F1119" t="s">
        <v>53</v>
      </c>
      <c r="G1119">
        <v>7.4999999999999997E-2</v>
      </c>
      <c r="H1119">
        <v>0.5</v>
      </c>
      <c r="I1119">
        <v>1E-4</v>
      </c>
      <c r="J1119" t="b">
        <v>1</v>
      </c>
      <c r="K1119">
        <v>2</v>
      </c>
      <c r="L1119">
        <v>1500</v>
      </c>
      <c r="M1119">
        <v>1</v>
      </c>
      <c r="N1119">
        <v>0.154</v>
      </c>
      <c r="O1119" t="s">
        <v>458</v>
      </c>
      <c r="P1119" t="s">
        <v>464</v>
      </c>
      <c r="Q1119" s="1">
        <v>-5.1159143560679298E-5</v>
      </c>
      <c r="R1119" s="1">
        <v>3.0804156202426297E-5</v>
      </c>
      <c r="S1119">
        <v>1.6870792742741501E-4</v>
      </c>
      <c r="T1119">
        <v>-6.2424960204068099E-4</v>
      </c>
      <c r="U1119">
        <v>2.2286674739902299</v>
      </c>
      <c r="V1119" s="1">
        <v>8.8001336046405995E-15</v>
      </c>
      <c r="W1119">
        <v>4.01655083461009E-2</v>
      </c>
      <c r="X1119">
        <v>2.4998560445908802</v>
      </c>
      <c r="Y1119">
        <v>1.8554490617956501</v>
      </c>
      <c r="Z1119">
        <v>0.49996297977387399</v>
      </c>
      <c r="AA1119">
        <v>3.3324563885198999</v>
      </c>
      <c r="AB1119" s="9">
        <f t="shared" si="152"/>
        <v>-0.92504485645652079</v>
      </c>
      <c r="AC1119" s="9">
        <f t="shared" si="153"/>
        <v>-0.87113745180923685</v>
      </c>
      <c r="AD1119" s="2">
        <f t="shared" si="154"/>
        <v>-5.8275449315811301E-2</v>
      </c>
      <c r="AE1119" s="8">
        <f t="shared" si="155"/>
        <v>0.24569794225422209</v>
      </c>
      <c r="AF1119" s="2">
        <f t="shared" si="156"/>
        <v>2.7273355278224332E-2</v>
      </c>
      <c r="AG1119" s="8">
        <f t="shared" si="157"/>
        <v>0.21842458697599776</v>
      </c>
      <c r="AH1119" s="7">
        <f t="shared" si="158"/>
        <v>0.12486394345899048</v>
      </c>
      <c r="AI1119">
        <f t="shared" si="159"/>
        <v>2</v>
      </c>
      <c r="AJ1119" s="10">
        <f t="shared" si="160"/>
        <v>0.87369834790399103</v>
      </c>
    </row>
    <row r="1120" spans="1:36" hidden="1" x14ac:dyDescent="0.25">
      <c r="A1120" t="b">
        <v>0</v>
      </c>
      <c r="B1120">
        <v>1000</v>
      </c>
      <c r="C1120">
        <v>0.87369834790399103</v>
      </c>
      <c r="D1120" t="s">
        <v>52</v>
      </c>
      <c r="E1120" t="b">
        <v>1</v>
      </c>
      <c r="F1120" t="s">
        <v>53</v>
      </c>
      <c r="G1120">
        <v>7.4999999999999997E-2</v>
      </c>
      <c r="H1120">
        <v>0.5</v>
      </c>
      <c r="I1120">
        <v>1E-4</v>
      </c>
      <c r="J1120" t="b">
        <v>1</v>
      </c>
      <c r="K1120">
        <v>2</v>
      </c>
      <c r="L1120">
        <v>1500</v>
      </c>
      <c r="M1120">
        <v>1</v>
      </c>
      <c r="N1120">
        <v>0.154</v>
      </c>
      <c r="O1120" t="s">
        <v>458</v>
      </c>
      <c r="P1120" t="s">
        <v>465</v>
      </c>
      <c r="Q1120" s="1">
        <v>-9.5916083904930104E-5</v>
      </c>
      <c r="R1120" s="1">
        <v>5.6730062774061699E-5</v>
      </c>
      <c r="S1120">
        <v>3.1630036430609402E-4</v>
      </c>
      <c r="T1120">
        <v>-1.1702371172147099E-3</v>
      </c>
      <c r="U1120">
        <v>2.2284837038302601</v>
      </c>
      <c r="V1120" s="1">
        <v>8.7805441678198596E-15</v>
      </c>
      <c r="W1120">
        <v>3.9542351575972197E-2</v>
      </c>
      <c r="X1120">
        <v>2.4998536559761</v>
      </c>
      <c r="Y1120">
        <v>1.8237586521520599</v>
      </c>
      <c r="Z1120">
        <v>0.49996171824990499</v>
      </c>
      <c r="AA1120">
        <v>3.2732398104679898</v>
      </c>
      <c r="AB1120" s="9">
        <f t="shared" si="152"/>
        <v>-0.92494132893428627</v>
      </c>
      <c r="AC1120" s="9">
        <f t="shared" si="153"/>
        <v>-0.87113745180923685</v>
      </c>
      <c r="AD1120" s="2">
        <f t="shared" si="154"/>
        <v>-5.8170043268627625E-2</v>
      </c>
      <c r="AE1120" s="8">
        <f t="shared" si="155"/>
        <v>0.24564439448410041</v>
      </c>
      <c r="AF1120" s="2">
        <f t="shared" si="156"/>
        <v>2.7219807508102656E-2</v>
      </c>
      <c r="AG1120" s="8">
        <f t="shared" si="157"/>
        <v>0.21842458697599776</v>
      </c>
      <c r="AH1120" s="7">
        <f t="shared" si="158"/>
        <v>0.12461878896030046</v>
      </c>
      <c r="AI1120">
        <f t="shared" si="159"/>
        <v>2</v>
      </c>
      <c r="AJ1120" s="10">
        <f t="shared" si="160"/>
        <v>0.87369834790399103</v>
      </c>
    </row>
    <row r="1121" spans="1:36" hidden="1" x14ac:dyDescent="0.25">
      <c r="A1121" t="b">
        <v>0</v>
      </c>
      <c r="B1121">
        <v>1000</v>
      </c>
      <c r="C1121">
        <v>0.87369834790399103</v>
      </c>
      <c r="D1121" t="s">
        <v>52</v>
      </c>
      <c r="E1121" t="b">
        <v>1</v>
      </c>
      <c r="F1121" t="s">
        <v>53</v>
      </c>
      <c r="G1121">
        <v>7.4999999999999997E-2</v>
      </c>
      <c r="H1121">
        <v>0.5</v>
      </c>
      <c r="I1121">
        <v>1E-4</v>
      </c>
      <c r="J1121" t="b">
        <v>1</v>
      </c>
      <c r="K1121">
        <v>2</v>
      </c>
      <c r="L1121">
        <v>1500</v>
      </c>
      <c r="M1121">
        <v>1</v>
      </c>
      <c r="N1121">
        <v>0.154</v>
      </c>
      <c r="O1121" t="s">
        <v>459</v>
      </c>
      <c r="P1121" t="s">
        <v>462</v>
      </c>
      <c r="Q1121" s="1">
        <v>-6.74704337185521E-6</v>
      </c>
      <c r="R1121" s="1">
        <v>3.68747083359398E-6</v>
      </c>
      <c r="S1121" s="1">
        <v>2.1099008506917798E-5</v>
      </c>
      <c r="T1121" s="1">
        <v>-7.8087025133310797E-5</v>
      </c>
      <c r="U1121">
        <v>2.2284836796784102</v>
      </c>
      <c r="V1121" s="1">
        <v>2.8299379560702298E-15</v>
      </c>
      <c r="W1121">
        <v>6.3909868337560502E-2</v>
      </c>
      <c r="X1121">
        <v>2.1427239763511401</v>
      </c>
      <c r="Y1121">
        <v>2.40671709459781</v>
      </c>
      <c r="Z1121">
        <v>2.52236874574535E-4</v>
      </c>
      <c r="AA1121">
        <v>2.5130998616755802</v>
      </c>
      <c r="AB1121" s="9">
        <f t="shared" si="152"/>
        <v>-0.9252451970398059</v>
      </c>
      <c r="AC1121" s="9">
        <f t="shared" si="153"/>
        <v>-0.87113745180923685</v>
      </c>
      <c r="AD1121" s="2">
        <f t="shared" si="154"/>
        <v>-5.8479358124396974E-2</v>
      </c>
      <c r="AE1121" s="8">
        <f t="shared" si="155"/>
        <v>0.2458015779345723</v>
      </c>
      <c r="AF1121" s="2">
        <f t="shared" si="156"/>
        <v>2.7376990958574543E-2</v>
      </c>
      <c r="AG1121" s="8">
        <f t="shared" si="157"/>
        <v>0.21842458697599776</v>
      </c>
      <c r="AH1121" s="7">
        <f t="shared" si="158"/>
        <v>0.12533841239028162</v>
      </c>
      <c r="AI1121">
        <f t="shared" si="159"/>
        <v>2</v>
      </c>
      <c r="AJ1121" s="10">
        <f t="shared" si="160"/>
        <v>0.87369834790399103</v>
      </c>
    </row>
    <row r="1122" spans="1:36" hidden="1" x14ac:dyDescent="0.25">
      <c r="A1122" t="b">
        <v>0</v>
      </c>
      <c r="B1122">
        <v>1000</v>
      </c>
      <c r="C1122">
        <v>0.87369834790399103</v>
      </c>
      <c r="D1122" t="s">
        <v>52</v>
      </c>
      <c r="E1122" t="b">
        <v>1</v>
      </c>
      <c r="F1122" t="s">
        <v>53</v>
      </c>
      <c r="G1122">
        <v>7.4999999999999997E-2</v>
      </c>
      <c r="H1122">
        <v>0.5</v>
      </c>
      <c r="I1122">
        <v>1E-4</v>
      </c>
      <c r="J1122" t="b">
        <v>1</v>
      </c>
      <c r="K1122">
        <v>2</v>
      </c>
      <c r="L1122">
        <v>1500</v>
      </c>
      <c r="M1122">
        <v>1</v>
      </c>
      <c r="N1122">
        <v>0.154</v>
      </c>
      <c r="O1122" t="s">
        <v>459</v>
      </c>
      <c r="P1122" t="s">
        <v>463</v>
      </c>
      <c r="Q1122" s="1">
        <v>-1E-10</v>
      </c>
      <c r="R1122" s="1">
        <v>3.5857859714174201E-12</v>
      </c>
      <c r="S1122" s="1">
        <v>4.5562685934434001E-18</v>
      </c>
      <c r="T1122" s="1">
        <v>-4.7289720191873499E-17</v>
      </c>
      <c r="U1122">
        <v>2.22850995984528</v>
      </c>
      <c r="V1122">
        <v>0</v>
      </c>
      <c r="W1122">
        <v>6.8474549012238095E-2</v>
      </c>
      <c r="X1122">
        <v>2</v>
      </c>
      <c r="Y1122">
        <v>4.00056645797397E-3</v>
      </c>
      <c r="Z1122">
        <v>2.5000000000000001E-4</v>
      </c>
      <c r="AA1122">
        <v>4.7933530339867997E-3</v>
      </c>
      <c r="AB1122" s="9">
        <f t="shared" si="152"/>
        <v>-2.5947614381165298</v>
      </c>
      <c r="AC1122" s="9">
        <f t="shared" si="153"/>
        <v>-0.87113745180923685</v>
      </c>
      <c r="AD1122" s="2">
        <f t="shared" si="154"/>
        <v>-0.66427069594437438</v>
      </c>
      <c r="AE1122" s="8">
        <f t="shared" si="155"/>
        <v>3.0618929848655658</v>
      </c>
      <c r="AF1122" s="2">
        <f t="shared" si="156"/>
        <v>2.8434683978895681</v>
      </c>
      <c r="AG1122" s="8">
        <f t="shared" si="157"/>
        <v>0.21842458697599776</v>
      </c>
      <c r="AH1122" s="7">
        <f t="shared" si="158"/>
        <v>13.018078400679459</v>
      </c>
      <c r="AI1122">
        <f t="shared" si="159"/>
        <v>2</v>
      </c>
      <c r="AJ1122" s="10">
        <f t="shared" si="160"/>
        <v>0.87369834790399103</v>
      </c>
    </row>
    <row r="1123" spans="1:36" hidden="1" x14ac:dyDescent="0.25">
      <c r="A1123" t="b">
        <v>0</v>
      </c>
      <c r="B1123">
        <v>1000</v>
      </c>
      <c r="C1123">
        <v>0.87369834790399103</v>
      </c>
      <c r="D1123" t="s">
        <v>52</v>
      </c>
      <c r="E1123" t="b">
        <v>1</v>
      </c>
      <c r="F1123" t="s">
        <v>53</v>
      </c>
      <c r="G1123">
        <v>7.4999999999999997E-2</v>
      </c>
      <c r="H1123">
        <v>0.5</v>
      </c>
      <c r="I1123">
        <v>1E-4</v>
      </c>
      <c r="J1123" t="b">
        <v>1</v>
      </c>
      <c r="K1123">
        <v>2</v>
      </c>
      <c r="L1123">
        <v>1500</v>
      </c>
      <c r="M1123">
        <v>1</v>
      </c>
      <c r="N1123">
        <v>0.154</v>
      </c>
      <c r="O1123" t="s">
        <v>459</v>
      </c>
      <c r="P1123" t="s">
        <v>464</v>
      </c>
      <c r="Q1123" s="1">
        <v>-6.7470433718556302E-6</v>
      </c>
      <c r="R1123" s="1">
        <v>3.6816119782110502E-6</v>
      </c>
      <c r="S1123" s="1">
        <v>2.1099008506925002E-5</v>
      </c>
      <c r="T1123" s="1">
        <v>-7.8087025133637101E-5</v>
      </c>
      <c r="U1123">
        <v>2.2284836793998899</v>
      </c>
      <c r="V1123" s="1">
        <v>2.82993796117245E-15</v>
      </c>
      <c r="W1123">
        <v>6.3963277459229195E-2</v>
      </c>
      <c r="X1123">
        <v>2.14272397635178</v>
      </c>
      <c r="Y1123">
        <v>2.4055133003142801</v>
      </c>
      <c r="Z1123">
        <v>2.52236874574649E-4</v>
      </c>
      <c r="AA1123">
        <v>2.5091576421320898</v>
      </c>
      <c r="AB1123" s="9">
        <f t="shared" si="152"/>
        <v>-0.92524519704335639</v>
      </c>
      <c r="AC1123" s="9">
        <f t="shared" si="153"/>
        <v>-0.87113745180923685</v>
      </c>
      <c r="AD1123" s="2">
        <f t="shared" si="154"/>
        <v>-5.8479358128009973E-2</v>
      </c>
      <c r="AE1123" s="8">
        <f t="shared" si="155"/>
        <v>0.24580157793640919</v>
      </c>
      <c r="AF1123" s="2">
        <f t="shared" si="156"/>
        <v>2.7376990960411435E-2</v>
      </c>
      <c r="AG1123" s="8">
        <f t="shared" si="157"/>
        <v>0.21842458697599776</v>
      </c>
      <c r="AH1123" s="7">
        <f t="shared" si="158"/>
        <v>0.12533841239869134</v>
      </c>
      <c r="AI1123">
        <f t="shared" si="159"/>
        <v>2</v>
      </c>
      <c r="AJ1123" s="10">
        <f t="shared" si="160"/>
        <v>0.87369834790399103</v>
      </c>
    </row>
    <row r="1124" spans="1:36" hidden="1" x14ac:dyDescent="0.25">
      <c r="A1124" t="b">
        <v>0</v>
      </c>
      <c r="B1124">
        <v>1000</v>
      </c>
      <c r="C1124">
        <v>0.87369834790399103</v>
      </c>
      <c r="D1124" t="s">
        <v>52</v>
      </c>
      <c r="E1124" t="b">
        <v>1</v>
      </c>
      <c r="F1124" t="s">
        <v>53</v>
      </c>
      <c r="G1124">
        <v>7.4999999999999997E-2</v>
      </c>
      <c r="H1124">
        <v>0.5</v>
      </c>
      <c r="I1124">
        <v>1E-4</v>
      </c>
      <c r="J1124" t="b">
        <v>1</v>
      </c>
      <c r="K1124">
        <v>2</v>
      </c>
      <c r="L1124">
        <v>1500</v>
      </c>
      <c r="M1124">
        <v>1</v>
      </c>
      <c r="N1124">
        <v>0.154</v>
      </c>
      <c r="O1124" t="s">
        <v>459</v>
      </c>
      <c r="P1124" t="s">
        <v>465</v>
      </c>
      <c r="Q1124" s="1">
        <v>-5.1154909733182698E-5</v>
      </c>
      <c r="R1124" s="1">
        <v>3.1085595658626601E-5</v>
      </c>
      <c r="S1124">
        <v>1.6869144538560801E-4</v>
      </c>
      <c r="T1124">
        <v>-6.24074540307862E-4</v>
      </c>
      <c r="U1124">
        <v>2.2282999092399201</v>
      </c>
      <c r="V1124" s="1">
        <v>8.7718781972757805E-15</v>
      </c>
      <c r="W1124">
        <v>3.9912384098542697E-2</v>
      </c>
      <c r="X1124">
        <v>2.4998523500187901</v>
      </c>
      <c r="Y1124">
        <v>1.8800925851002299</v>
      </c>
      <c r="Z1124">
        <v>0.49996096868391099</v>
      </c>
      <c r="AA1124">
        <v>3.3596328436424101</v>
      </c>
      <c r="AB1124" s="9">
        <f t="shared" ref="AB1124:AB1187" si="161">T1124/S1124/K1124^2</f>
        <v>-0.92487579746753601</v>
      </c>
      <c r="AC1124" s="9">
        <f t="shared" ref="AC1124:AC1187" si="162">(1+10*C1124/K1124^2)/(-3-3*C1124/K1124^2)</f>
        <v>-0.87113745180923685</v>
      </c>
      <c r="AD1124" s="2">
        <f t="shared" ref="AD1124:AD1187" si="163">(AC1124/AB1124-1)</f>
        <v>-5.8103310526065988E-2</v>
      </c>
      <c r="AE1124" s="8">
        <f t="shared" ref="AE1124:AE1187" si="164">-(1+3*AB1124)/(10+3*AB1124)</f>
        <v>0.24561050187731615</v>
      </c>
      <c r="AF1124" s="2">
        <f t="shared" ref="AF1124:AF1187" si="165">(AE1124-C1124/K1124^2)</f>
        <v>2.7185914901318387E-2</v>
      </c>
      <c r="AG1124" s="8">
        <f t="shared" ref="AG1124:AG1187" si="166">C1124/K1124^2</f>
        <v>0.21842458697599776</v>
      </c>
      <c r="AH1124" s="7">
        <f t="shared" ref="AH1124:AH1187" si="167">AF1124/AG1124</f>
        <v>0.12446362050031388</v>
      </c>
      <c r="AI1124">
        <f t="shared" ref="AI1124:AI1187" si="168">K1124</f>
        <v>2</v>
      </c>
      <c r="AJ1124" s="10">
        <f t="shared" ref="AJ1124:AJ1187" si="169">C1124</f>
        <v>0.87369834790399103</v>
      </c>
    </row>
    <row r="1125" spans="1:36" hidden="1" x14ac:dyDescent="0.25">
      <c r="A1125" t="b">
        <v>0</v>
      </c>
      <c r="B1125">
        <v>1000</v>
      </c>
      <c r="C1125">
        <v>0.87369834790399103</v>
      </c>
      <c r="D1125" t="s">
        <v>52</v>
      </c>
      <c r="E1125" t="b">
        <v>1</v>
      </c>
      <c r="F1125" t="s">
        <v>53</v>
      </c>
      <c r="G1125">
        <v>7.4999999999999997E-2</v>
      </c>
      <c r="H1125">
        <v>0.5</v>
      </c>
      <c r="I1125">
        <v>1E-4</v>
      </c>
      <c r="J1125" t="b">
        <v>1</v>
      </c>
      <c r="K1125">
        <v>2</v>
      </c>
      <c r="L1125">
        <v>1500</v>
      </c>
      <c r="M1125">
        <v>1</v>
      </c>
      <c r="N1125">
        <v>0.154</v>
      </c>
      <c r="O1125" t="s">
        <v>460</v>
      </c>
      <c r="P1125" t="s">
        <v>461</v>
      </c>
      <c r="Q1125" s="1">
        <v>-6.7476191563642098E-6</v>
      </c>
      <c r="R1125" s="1">
        <v>3.72793342730334E-6</v>
      </c>
      <c r="S1125" s="1">
        <v>2.1101070437896401E-5</v>
      </c>
      <c r="T1125" s="1">
        <v>-7.8108931686577299E-5</v>
      </c>
      <c r="U1125">
        <v>2.2288512657342898</v>
      </c>
      <c r="V1125" s="1">
        <v>2.8293369919592E-15</v>
      </c>
      <c r="W1125">
        <v>6.3797648648400596E-2</v>
      </c>
      <c r="X1125">
        <v>2.1427307551971499</v>
      </c>
      <c r="Y1125">
        <v>2.4149609952217199</v>
      </c>
      <c r="Z1125">
        <v>2.5223385099149503E-4</v>
      </c>
      <c r="AA1125">
        <v>2.5404677117444598</v>
      </c>
      <c r="AB1125" s="9">
        <f t="shared" si="161"/>
        <v>-0.92541432810794533</v>
      </c>
      <c r="AC1125" s="9">
        <f t="shared" si="162"/>
        <v>-0.87113745180923685</v>
      </c>
      <c r="AD1125" s="2">
        <f t="shared" si="163"/>
        <v>-5.8651432823263239E-2</v>
      </c>
      <c r="AE1125" s="8">
        <f t="shared" si="164"/>
        <v>0.24588908243580712</v>
      </c>
      <c r="AF1125" s="2">
        <f t="shared" si="165"/>
        <v>2.7464495459809363E-2</v>
      </c>
      <c r="AG1125" s="8">
        <f t="shared" si="166"/>
        <v>0.21842458697599776</v>
      </c>
      <c r="AH1125" s="7">
        <f t="shared" si="167"/>
        <v>0.12573902892547248</v>
      </c>
      <c r="AI1125">
        <f t="shared" si="168"/>
        <v>2</v>
      </c>
      <c r="AJ1125" s="10">
        <f t="shared" si="169"/>
        <v>0.87369834790399103</v>
      </c>
    </row>
    <row r="1126" spans="1:36" hidden="1" x14ac:dyDescent="0.25">
      <c r="A1126" t="b">
        <v>0</v>
      </c>
      <c r="B1126">
        <v>1000</v>
      </c>
      <c r="C1126">
        <v>0.87369834790399103</v>
      </c>
      <c r="D1126" t="s">
        <v>52</v>
      </c>
      <c r="E1126" t="b">
        <v>1</v>
      </c>
      <c r="F1126" t="s">
        <v>53</v>
      </c>
      <c r="G1126">
        <v>7.4999999999999997E-2</v>
      </c>
      <c r="H1126">
        <v>0.5</v>
      </c>
      <c r="I1126">
        <v>1E-4</v>
      </c>
      <c r="J1126" t="b">
        <v>1</v>
      </c>
      <c r="K1126">
        <v>2</v>
      </c>
      <c r="L1126">
        <v>1500</v>
      </c>
      <c r="M1126">
        <v>1</v>
      </c>
      <c r="N1126">
        <v>0.154</v>
      </c>
      <c r="O1126" t="s">
        <v>460</v>
      </c>
      <c r="P1126" t="s">
        <v>462</v>
      </c>
      <c r="Q1126" s="1">
        <v>-5.11591453673177E-5</v>
      </c>
      <c r="R1126" s="1">
        <v>3.1332157550837303E-5</v>
      </c>
      <c r="S1126">
        <v>1.6870792742740401E-4</v>
      </c>
      <c r="T1126">
        <v>-6.2424960204038803E-4</v>
      </c>
      <c r="U1126">
        <v>2.2286674743903001</v>
      </c>
      <c r="V1126" s="1">
        <v>8.8033539907257692E-15</v>
      </c>
      <c r="W1126">
        <v>4.0209078289154501E-2</v>
      </c>
      <c r="X1126">
        <v>2.49985614366325</v>
      </c>
      <c r="Y1126">
        <v>1.89393733036389</v>
      </c>
      <c r="Z1126">
        <v>0.49996298836198</v>
      </c>
      <c r="AA1126">
        <v>3.3863504578842001</v>
      </c>
      <c r="AB1126" s="9">
        <f t="shared" si="161"/>
        <v>-0.92504485645614698</v>
      </c>
      <c r="AC1126" s="9">
        <f t="shared" si="162"/>
        <v>-0.87113745180923685</v>
      </c>
      <c r="AD1126" s="2">
        <f t="shared" si="163"/>
        <v>-5.8275449315430827E-2</v>
      </c>
      <c r="AE1126" s="8">
        <f t="shared" si="164"/>
        <v>0.24569794225402866</v>
      </c>
      <c r="AF1126" s="2">
        <f t="shared" si="165"/>
        <v>2.7273355278030903E-2</v>
      </c>
      <c r="AG1126" s="8">
        <f t="shared" si="166"/>
        <v>0.21842458697599776</v>
      </c>
      <c r="AH1126" s="7">
        <f t="shared" si="167"/>
        <v>0.12486394345810492</v>
      </c>
      <c r="AI1126">
        <f t="shared" si="168"/>
        <v>2</v>
      </c>
      <c r="AJ1126" s="10">
        <f t="shared" si="169"/>
        <v>0.87369834790399103</v>
      </c>
    </row>
    <row r="1127" spans="1:36" hidden="1" x14ac:dyDescent="0.25">
      <c r="A1127" t="b">
        <v>0</v>
      </c>
      <c r="B1127">
        <v>1000</v>
      </c>
      <c r="C1127">
        <v>0.87369834790399103</v>
      </c>
      <c r="D1127" t="s">
        <v>52</v>
      </c>
      <c r="E1127" t="b">
        <v>1</v>
      </c>
      <c r="F1127" t="s">
        <v>53</v>
      </c>
      <c r="G1127">
        <v>7.4999999999999997E-2</v>
      </c>
      <c r="H1127">
        <v>0.5</v>
      </c>
      <c r="I1127">
        <v>1E-4</v>
      </c>
      <c r="J1127" t="b">
        <v>1</v>
      </c>
      <c r="K1127">
        <v>2</v>
      </c>
      <c r="L1127">
        <v>1500</v>
      </c>
      <c r="M1127">
        <v>1</v>
      </c>
      <c r="N1127">
        <v>0.154</v>
      </c>
      <c r="O1127" t="s">
        <v>460</v>
      </c>
      <c r="P1127" t="s">
        <v>463</v>
      </c>
      <c r="Q1127" s="1">
        <v>-4.4761175915806899E-5</v>
      </c>
      <c r="R1127" s="1">
        <v>2.54582681748592E-5</v>
      </c>
      <c r="S1127">
        <v>1.4760891892048601E-4</v>
      </c>
      <c r="T1127">
        <v>-5.4616257690703299E-4</v>
      </c>
      <c r="U1127">
        <v>2.2286937545571699</v>
      </c>
      <c r="V1127" s="1">
        <v>8.7990945154903393E-15</v>
      </c>
      <c r="W1127">
        <v>3.6839491245269002E-2</v>
      </c>
      <c r="X1127">
        <v>2.4998555419224999</v>
      </c>
      <c r="Y1127">
        <v>1.77694260545023</v>
      </c>
      <c r="Z1127">
        <v>0.49996266215483898</v>
      </c>
      <c r="AA1127">
        <v>3.1386605648749</v>
      </c>
      <c r="AB1127" s="9">
        <f t="shared" si="161"/>
        <v>-0.92501622005855877</v>
      </c>
      <c r="AC1127" s="9">
        <f t="shared" si="162"/>
        <v>-0.87113745180923685</v>
      </c>
      <c r="AD1127" s="2">
        <f t="shared" si="163"/>
        <v>-5.8246295665940973E-2</v>
      </c>
      <c r="AE1127" s="8">
        <f t="shared" si="164"/>
        <v>0.24568313012594448</v>
      </c>
      <c r="AF1127" s="2">
        <f t="shared" si="165"/>
        <v>2.7258543149946718E-2</v>
      </c>
      <c r="AG1127" s="8">
        <f t="shared" si="166"/>
        <v>0.21842458697599776</v>
      </c>
      <c r="AH1127" s="7">
        <f t="shared" si="167"/>
        <v>0.12479612999310423</v>
      </c>
      <c r="AI1127">
        <f t="shared" si="168"/>
        <v>2</v>
      </c>
      <c r="AJ1127" s="10">
        <f t="shared" si="169"/>
        <v>0.87369834790399103</v>
      </c>
    </row>
    <row r="1128" spans="1:36" hidden="1" x14ac:dyDescent="0.25">
      <c r="A1128" t="b">
        <v>0</v>
      </c>
      <c r="B1128">
        <v>1000</v>
      </c>
      <c r="C1128">
        <v>0.87369834790399103</v>
      </c>
      <c r="D1128" t="s">
        <v>52</v>
      </c>
      <c r="E1128" t="b">
        <v>1</v>
      </c>
      <c r="F1128" t="s">
        <v>53</v>
      </c>
      <c r="G1128">
        <v>7.4999999999999997E-2</v>
      </c>
      <c r="H1128">
        <v>0.5</v>
      </c>
      <c r="I1128">
        <v>1E-4</v>
      </c>
      <c r="J1128" t="b">
        <v>1</v>
      </c>
      <c r="K1128">
        <v>2</v>
      </c>
      <c r="L1128">
        <v>1500</v>
      </c>
      <c r="M1128">
        <v>1</v>
      </c>
      <c r="N1128">
        <v>0.154</v>
      </c>
      <c r="O1128" t="s">
        <v>460</v>
      </c>
      <c r="P1128" t="s">
        <v>464</v>
      </c>
      <c r="Q1128" s="1">
        <v>-5.1159143547397401E-5</v>
      </c>
      <c r="R1128" s="1">
        <v>3.1113724878413301E-5</v>
      </c>
      <c r="S1128">
        <v>1.68707927427409E-4</v>
      </c>
      <c r="T1128">
        <v>-6.24249602040658E-4</v>
      </c>
      <c r="U1128">
        <v>2.22866747411179</v>
      </c>
      <c r="V1128" s="1">
        <v>8.8003893381254901E-15</v>
      </c>
      <c r="W1128">
        <v>4.0514475868101002E-2</v>
      </c>
      <c r="X1128">
        <v>2.49985604392131</v>
      </c>
      <c r="Y1128">
        <v>1.8732251791638901</v>
      </c>
      <c r="Z1128">
        <v>0.49996297972436998</v>
      </c>
      <c r="AA1128">
        <v>3.3659687365836999</v>
      </c>
      <c r="AB1128" s="9">
        <f t="shared" si="161"/>
        <v>-0.92504485645651968</v>
      </c>
      <c r="AC1128" s="9">
        <f t="shared" si="162"/>
        <v>-0.87113745180923685</v>
      </c>
      <c r="AD1128" s="2">
        <f t="shared" si="163"/>
        <v>-5.827544931581019E-2</v>
      </c>
      <c r="AE1128" s="8">
        <f t="shared" si="164"/>
        <v>0.24569794225422148</v>
      </c>
      <c r="AF1128" s="2">
        <f t="shared" si="165"/>
        <v>2.7273355278223721E-2</v>
      </c>
      <c r="AG1128" s="8">
        <f t="shared" si="166"/>
        <v>0.21842458697599776</v>
      </c>
      <c r="AH1128" s="7">
        <f t="shared" si="167"/>
        <v>0.12486394345898769</v>
      </c>
      <c r="AI1128">
        <f t="shared" si="168"/>
        <v>2</v>
      </c>
      <c r="AJ1128" s="10">
        <f t="shared" si="169"/>
        <v>0.87369834790399103</v>
      </c>
    </row>
    <row r="1129" spans="1:36" hidden="1" x14ac:dyDescent="0.25">
      <c r="A1129" t="b">
        <v>0</v>
      </c>
      <c r="B1129">
        <v>1000</v>
      </c>
      <c r="C1129">
        <v>0.87369834790399103</v>
      </c>
      <c r="D1129" t="s">
        <v>52</v>
      </c>
      <c r="E1129" t="b">
        <v>1</v>
      </c>
      <c r="F1129" t="s">
        <v>53</v>
      </c>
      <c r="G1129">
        <v>7.4999999999999997E-2</v>
      </c>
      <c r="H1129">
        <v>0.5</v>
      </c>
      <c r="I1129">
        <v>1E-4</v>
      </c>
      <c r="J1129" t="b">
        <v>1</v>
      </c>
      <c r="K1129">
        <v>2</v>
      </c>
      <c r="L1129">
        <v>1500</v>
      </c>
      <c r="M1129">
        <v>1</v>
      </c>
      <c r="N1129">
        <v>0.154</v>
      </c>
      <c r="O1129" t="s">
        <v>460</v>
      </c>
      <c r="P1129" t="s">
        <v>465</v>
      </c>
      <c r="Q1129" s="1">
        <v>-9.5916085960597494E-5</v>
      </c>
      <c r="R1129" s="1">
        <v>5.6470876645640702E-5</v>
      </c>
      <c r="S1129">
        <v>3.1630036430609098E-4</v>
      </c>
      <c r="T1129">
        <v>-1.1702371172147999E-3</v>
      </c>
      <c r="U1129">
        <v>2.2284837039518099</v>
      </c>
      <c r="V1129" s="1">
        <v>8.7823167186383007E-15</v>
      </c>
      <c r="W1129">
        <v>3.8502111341599497E-2</v>
      </c>
      <c r="X1129">
        <v>2.49985371564425</v>
      </c>
      <c r="Y1129">
        <v>1.8286226969352899</v>
      </c>
      <c r="Z1129">
        <v>0.49996172294227997</v>
      </c>
      <c r="AA1129">
        <v>3.2527505799915901</v>
      </c>
      <c r="AB1129" s="9">
        <f t="shared" si="161"/>
        <v>-0.9249413289343662</v>
      </c>
      <c r="AC1129" s="9">
        <f t="shared" si="162"/>
        <v>-0.87113745180923685</v>
      </c>
      <c r="AD1129" s="2">
        <f t="shared" si="163"/>
        <v>-5.8170043268709115E-2</v>
      </c>
      <c r="AE1129" s="8">
        <f t="shared" si="164"/>
        <v>0.24564439448414177</v>
      </c>
      <c r="AF1129" s="2">
        <f t="shared" si="165"/>
        <v>2.7219807508144012E-2</v>
      </c>
      <c r="AG1129" s="8">
        <f t="shared" si="166"/>
        <v>0.21842458697599776</v>
      </c>
      <c r="AH1129" s="7">
        <f t="shared" si="167"/>
        <v>0.12461878896048979</v>
      </c>
      <c r="AI1129">
        <f t="shared" si="168"/>
        <v>2</v>
      </c>
      <c r="AJ1129" s="10">
        <f t="shared" si="169"/>
        <v>0.87369834790399103</v>
      </c>
    </row>
    <row r="1130" spans="1:36" hidden="1" x14ac:dyDescent="0.25">
      <c r="A1130" t="b">
        <v>0</v>
      </c>
      <c r="B1130">
        <v>1000</v>
      </c>
      <c r="C1130">
        <v>0.87369834790399103</v>
      </c>
      <c r="D1130" t="s">
        <v>52</v>
      </c>
      <c r="E1130" t="b">
        <v>1</v>
      </c>
      <c r="F1130" t="s">
        <v>53</v>
      </c>
      <c r="G1130">
        <v>7.4999999999999997E-2</v>
      </c>
      <c r="H1130">
        <v>0.5</v>
      </c>
      <c r="I1130">
        <v>1E-4</v>
      </c>
      <c r="J1130" t="b">
        <v>1</v>
      </c>
      <c r="K1130">
        <v>2</v>
      </c>
      <c r="L1130">
        <v>1500</v>
      </c>
      <c r="M1130">
        <v>1</v>
      </c>
      <c r="N1130">
        <v>0.154</v>
      </c>
      <c r="O1130" t="s">
        <v>461</v>
      </c>
      <c r="P1130" t="s">
        <v>462</v>
      </c>
      <c r="Q1130" s="1">
        <v>-4.4760642791183201E-5</v>
      </c>
      <c r="R1130" s="1">
        <v>2.6083468357834101E-5</v>
      </c>
      <c r="S1130">
        <v>1.4760685698950101E-4</v>
      </c>
      <c r="T1130">
        <v>-5.4614067035359205E-4</v>
      </c>
      <c r="U1130">
        <v>2.2286411908725401</v>
      </c>
      <c r="V1130" s="1">
        <v>8.7880274849528504E-15</v>
      </c>
      <c r="W1130">
        <v>3.7493100942950601E-2</v>
      </c>
      <c r="X1130">
        <v>2.4998547918886098</v>
      </c>
      <c r="Y1130">
        <v>1.8206936730596801</v>
      </c>
      <c r="Z1130">
        <v>0.499962357793308</v>
      </c>
      <c r="AA1130">
        <v>3.2151813511689</v>
      </c>
      <c r="AB1130" s="9">
        <f t="shared" si="161"/>
        <v>-0.92499203880555159</v>
      </c>
      <c r="AC1130" s="9">
        <f t="shared" si="162"/>
        <v>-0.87113745180923685</v>
      </c>
      <c r="AD1130" s="2">
        <f t="shared" si="163"/>
        <v>-5.8221676227459773E-2</v>
      </c>
      <c r="AE1130" s="8">
        <f t="shared" si="164"/>
        <v>0.24567062268814702</v>
      </c>
      <c r="AF1130" s="2">
        <f t="shared" si="165"/>
        <v>2.7246035712149258E-2</v>
      </c>
      <c r="AG1130" s="8">
        <f t="shared" si="166"/>
        <v>0.21842458697599776</v>
      </c>
      <c r="AH1130" s="7">
        <f t="shared" si="167"/>
        <v>0.12473886795145123</v>
      </c>
      <c r="AI1130">
        <f t="shared" si="168"/>
        <v>2</v>
      </c>
      <c r="AJ1130" s="10">
        <f t="shared" si="169"/>
        <v>0.87369834790399103</v>
      </c>
    </row>
    <row r="1131" spans="1:36" hidden="1" x14ac:dyDescent="0.25">
      <c r="A1131" t="b">
        <v>0</v>
      </c>
      <c r="B1131">
        <v>1000</v>
      </c>
      <c r="C1131">
        <v>0.87369834790399103</v>
      </c>
      <c r="D1131" t="s">
        <v>52</v>
      </c>
      <c r="E1131" t="b">
        <v>1</v>
      </c>
      <c r="F1131" t="s">
        <v>53</v>
      </c>
      <c r="G1131">
        <v>7.4999999999999997E-2</v>
      </c>
      <c r="H1131">
        <v>0.5</v>
      </c>
      <c r="I1131">
        <v>1E-4</v>
      </c>
      <c r="J1131" t="b">
        <v>1</v>
      </c>
      <c r="K1131">
        <v>2</v>
      </c>
      <c r="L1131">
        <v>1500</v>
      </c>
      <c r="M1131">
        <v>1</v>
      </c>
      <c r="N1131">
        <v>0.154</v>
      </c>
      <c r="O1131" t="s">
        <v>461</v>
      </c>
      <c r="P1131" t="s">
        <v>463</v>
      </c>
      <c r="Q1131" s="1">
        <v>-3.8362675716628603E-5</v>
      </c>
      <c r="R1131" s="1">
        <v>2.4947647626296199E-5</v>
      </c>
      <c r="S1131">
        <v>1.2650784848258599E-4</v>
      </c>
      <c r="T1131">
        <v>-4.6805364522021597E-4</v>
      </c>
      <c r="U1131">
        <v>2.2286674710394099</v>
      </c>
      <c r="V1131" s="1">
        <v>8.7854186363961293E-15</v>
      </c>
      <c r="W1131">
        <v>4.3640189539960801E-2</v>
      </c>
      <c r="X1131">
        <v>2.4998540255736001</v>
      </c>
      <c r="Y1131">
        <v>1.98799202640277</v>
      </c>
      <c r="Z1131">
        <v>0.49996187756718702</v>
      </c>
      <c r="AA1131">
        <v>3.6040237214676201</v>
      </c>
      <c r="AB1131" s="9">
        <f t="shared" si="161"/>
        <v>-0.924949817015986</v>
      </c>
      <c r="AC1131" s="9">
        <f t="shared" si="162"/>
        <v>-0.87113745180923685</v>
      </c>
      <c r="AD1131" s="2">
        <f t="shared" si="163"/>
        <v>-5.8178686256034062E-2</v>
      </c>
      <c r="AE1131" s="8">
        <f t="shared" si="164"/>
        <v>0.2456487846201886</v>
      </c>
      <c r="AF1131" s="2">
        <f t="shared" si="165"/>
        <v>2.7224197644190845E-2</v>
      </c>
      <c r="AG1131" s="8">
        <f t="shared" si="166"/>
        <v>0.21842458697599776</v>
      </c>
      <c r="AH1131" s="7">
        <f t="shared" si="167"/>
        <v>0.12463888805330536</v>
      </c>
      <c r="AI1131">
        <f t="shared" si="168"/>
        <v>2</v>
      </c>
      <c r="AJ1131" s="10">
        <f t="shared" si="169"/>
        <v>0.87369834790399103</v>
      </c>
    </row>
    <row r="1132" spans="1:36" hidden="1" x14ac:dyDescent="0.25">
      <c r="A1132" t="b">
        <v>0</v>
      </c>
      <c r="B1132">
        <v>1000</v>
      </c>
      <c r="C1132">
        <v>0.87369834790399103</v>
      </c>
      <c r="D1132" t="s">
        <v>52</v>
      </c>
      <c r="E1132" t="b">
        <v>1</v>
      </c>
      <c r="F1132" t="s">
        <v>53</v>
      </c>
      <c r="G1132">
        <v>7.4999999999999997E-2</v>
      </c>
      <c r="H1132">
        <v>0.5</v>
      </c>
      <c r="I1132">
        <v>1E-4</v>
      </c>
      <c r="J1132" t="b">
        <v>1</v>
      </c>
      <c r="K1132">
        <v>2</v>
      </c>
      <c r="L1132">
        <v>1500</v>
      </c>
      <c r="M1132">
        <v>1</v>
      </c>
      <c r="N1132">
        <v>0.154</v>
      </c>
      <c r="O1132" t="s">
        <v>461</v>
      </c>
      <c r="P1132" t="s">
        <v>464</v>
      </c>
      <c r="Q1132" s="1">
        <v>-4.4760643971471002E-5</v>
      </c>
      <c r="R1132" s="1">
        <v>2.60313205320281E-5</v>
      </c>
      <c r="S1132">
        <v>1.47606856989508E-4</v>
      </c>
      <c r="T1132">
        <v>-5.4614067035388002E-4</v>
      </c>
      <c r="U1132">
        <v>2.2286411905940202</v>
      </c>
      <c r="V1132" s="1">
        <v>8.7904341235395199E-15</v>
      </c>
      <c r="W1132">
        <v>3.81273808861574E-2</v>
      </c>
      <c r="X1132">
        <v>2.4998548671723801</v>
      </c>
      <c r="Y1132">
        <v>1.8067232866476901</v>
      </c>
      <c r="Z1132">
        <v>0.49996236439135799</v>
      </c>
      <c r="AA1132">
        <v>3.2131622643169799</v>
      </c>
      <c r="AB1132" s="9">
        <f t="shared" si="161"/>
        <v>-0.92499203880599545</v>
      </c>
      <c r="AC1132" s="9">
        <f t="shared" si="162"/>
        <v>-0.87113745180923685</v>
      </c>
      <c r="AD1132" s="2">
        <f t="shared" si="163"/>
        <v>-5.8221676227911745E-2</v>
      </c>
      <c r="AE1132" s="8">
        <f t="shared" si="164"/>
        <v>0.24567062268837664</v>
      </c>
      <c r="AF1132" s="2">
        <f t="shared" si="165"/>
        <v>2.724603571237888E-2</v>
      </c>
      <c r="AG1132" s="8">
        <f t="shared" si="166"/>
        <v>0.21842458697599776</v>
      </c>
      <c r="AH1132" s="7">
        <f t="shared" si="167"/>
        <v>0.1247388679525025</v>
      </c>
      <c r="AI1132">
        <f t="shared" si="168"/>
        <v>2</v>
      </c>
      <c r="AJ1132" s="10">
        <f t="shared" si="169"/>
        <v>0.87369834790399103</v>
      </c>
    </row>
    <row r="1133" spans="1:36" hidden="1" x14ac:dyDescent="0.25">
      <c r="A1133" t="b">
        <v>0</v>
      </c>
      <c r="B1133">
        <v>1000</v>
      </c>
      <c r="C1133">
        <v>0.87369834790399103</v>
      </c>
      <c r="D1133" t="s">
        <v>52</v>
      </c>
      <c r="E1133" t="b">
        <v>1</v>
      </c>
      <c r="F1133" t="s">
        <v>53</v>
      </c>
      <c r="G1133">
        <v>7.4999999999999997E-2</v>
      </c>
      <c r="H1133">
        <v>0.5</v>
      </c>
      <c r="I1133">
        <v>1E-4</v>
      </c>
      <c r="J1133" t="b">
        <v>1</v>
      </c>
      <c r="K1133">
        <v>2</v>
      </c>
      <c r="L1133">
        <v>1500</v>
      </c>
      <c r="M1133">
        <v>1</v>
      </c>
      <c r="N1133">
        <v>0.154</v>
      </c>
      <c r="O1133" t="s">
        <v>461</v>
      </c>
      <c r="P1133" t="s">
        <v>465</v>
      </c>
      <c r="Q1133" s="1">
        <v>-8.9517585474741202E-5</v>
      </c>
      <c r="R1133" s="1">
        <v>5.1549376148506898E-5</v>
      </c>
      <c r="S1133">
        <v>2.9519929386819199E-4</v>
      </c>
      <c r="T1133">
        <v>-1.09212818552817E-3</v>
      </c>
      <c r="U1133">
        <v>2.2284574204340499</v>
      </c>
      <c r="V1133" s="1">
        <v>8.7755367157151194E-15</v>
      </c>
      <c r="W1133">
        <v>3.7575233832706501E-2</v>
      </c>
      <c r="X1133">
        <v>2.4998529432435799</v>
      </c>
      <c r="Y1133">
        <v>1.7936589722057801</v>
      </c>
      <c r="Z1133">
        <v>0.49996131996814502</v>
      </c>
      <c r="AA1133">
        <v>3.1797969798610901</v>
      </c>
      <c r="AB1133" s="9">
        <f t="shared" si="161"/>
        <v>-0.92490751859302456</v>
      </c>
      <c r="AC1133" s="9">
        <f t="shared" si="162"/>
        <v>-0.87113745180923685</v>
      </c>
      <c r="AD1133" s="2">
        <f t="shared" si="163"/>
        <v>-5.8135614321292439E-2</v>
      </c>
      <c r="AE1133" s="8">
        <f t="shared" si="164"/>
        <v>0.24562690768346473</v>
      </c>
      <c r="AF1133" s="2">
        <f t="shared" si="165"/>
        <v>2.7202320707466976E-2</v>
      </c>
      <c r="AG1133" s="8">
        <f t="shared" si="166"/>
        <v>0.21842458697599776</v>
      </c>
      <c r="AH1133" s="7">
        <f t="shared" si="167"/>
        <v>0.12453873020465496</v>
      </c>
      <c r="AI1133">
        <f t="shared" si="168"/>
        <v>2</v>
      </c>
      <c r="AJ1133" s="10">
        <f t="shared" si="169"/>
        <v>0.87369834790399103</v>
      </c>
    </row>
    <row r="1134" spans="1:36" hidden="1" x14ac:dyDescent="0.25">
      <c r="A1134" t="b">
        <v>0</v>
      </c>
      <c r="B1134">
        <v>1000</v>
      </c>
      <c r="C1134">
        <v>0.87369834790399103</v>
      </c>
      <c r="D1134" t="s">
        <v>52</v>
      </c>
      <c r="E1134" t="b">
        <v>1</v>
      </c>
      <c r="F1134" t="s">
        <v>53</v>
      </c>
      <c r="G1134">
        <v>7.4999999999999997E-2</v>
      </c>
      <c r="H1134">
        <v>0.5</v>
      </c>
      <c r="I1134">
        <v>1E-4</v>
      </c>
      <c r="J1134" t="b">
        <v>1</v>
      </c>
      <c r="K1134">
        <v>2</v>
      </c>
      <c r="L1134">
        <v>1500</v>
      </c>
      <c r="M1134">
        <v>1</v>
      </c>
      <c r="N1134">
        <v>0.154</v>
      </c>
      <c r="O1134" t="s">
        <v>462</v>
      </c>
      <c r="P1134" t="s">
        <v>464</v>
      </c>
      <c r="Q1134" s="1">
        <v>-1E-10</v>
      </c>
      <c r="R1134" s="1">
        <v>3.5857859751817498E-12</v>
      </c>
      <c r="S1134" s="1">
        <v>1.13595254405512E-17</v>
      </c>
      <c r="T1134" s="1">
        <v>-4.1985988206550202E-16</v>
      </c>
      <c r="U1134">
        <v>2.2284573992500301</v>
      </c>
      <c r="V1134">
        <v>0</v>
      </c>
      <c r="W1134">
        <v>6.8474549084122094E-2</v>
      </c>
      <c r="X1134">
        <v>2</v>
      </c>
      <c r="Y1134">
        <v>4.0005664621737304E-3</v>
      </c>
      <c r="Z1134">
        <v>2.5000000000000001E-4</v>
      </c>
      <c r="AA1134">
        <v>4.7933530390188196E-3</v>
      </c>
      <c r="AB1134" s="9">
        <f t="shared" si="161"/>
        <v>-9.2402601733406815</v>
      </c>
      <c r="AC1134" s="9">
        <f t="shared" si="162"/>
        <v>-0.87113745180923685</v>
      </c>
      <c r="AD1134" s="2">
        <f t="shared" si="163"/>
        <v>-0.90572370956365722</v>
      </c>
      <c r="AE1134" s="8">
        <f t="shared" si="164"/>
        <v>-1.5078783064792907</v>
      </c>
      <c r="AF1134" s="2">
        <f t="shared" si="165"/>
        <v>-1.7263028934552884</v>
      </c>
      <c r="AG1134" s="8">
        <f t="shared" si="166"/>
        <v>0.21842458697599776</v>
      </c>
      <c r="AH1134" s="7">
        <f t="shared" si="167"/>
        <v>-7.9034275278038564</v>
      </c>
      <c r="AI1134">
        <f t="shared" si="168"/>
        <v>2</v>
      </c>
      <c r="AJ1134" s="10">
        <f t="shared" si="169"/>
        <v>0.87369834790399103</v>
      </c>
    </row>
    <row r="1135" spans="1:36" hidden="1" x14ac:dyDescent="0.25">
      <c r="A1135" t="b">
        <v>0</v>
      </c>
      <c r="B1135">
        <v>1000</v>
      </c>
      <c r="C1135">
        <v>0.87369834790399103</v>
      </c>
      <c r="D1135" t="s">
        <v>52</v>
      </c>
      <c r="E1135" t="b">
        <v>1</v>
      </c>
      <c r="F1135" t="s">
        <v>53</v>
      </c>
      <c r="G1135">
        <v>7.4999999999999997E-2</v>
      </c>
      <c r="H1135">
        <v>0.5</v>
      </c>
      <c r="I1135">
        <v>1E-4</v>
      </c>
      <c r="J1135" t="b">
        <v>1</v>
      </c>
      <c r="K1135">
        <v>2</v>
      </c>
      <c r="L1135">
        <v>1500</v>
      </c>
      <c r="M1135">
        <v>1</v>
      </c>
      <c r="N1135">
        <v>0.154</v>
      </c>
      <c r="O1135" t="s">
        <v>462</v>
      </c>
      <c r="P1135" t="s">
        <v>465</v>
      </c>
      <c r="Q1135" s="1">
        <v>-4.4756940115351801E-5</v>
      </c>
      <c r="R1135" s="1">
        <v>2.5411762092122601E-5</v>
      </c>
      <c r="S1135">
        <v>1.4759243687869101E-4</v>
      </c>
      <c r="T1135">
        <v>-5.4598751517468205E-4</v>
      </c>
      <c r="U1135">
        <v>2.2282736290900602</v>
      </c>
      <c r="V1135" s="1">
        <v>8.7616546724065707E-15</v>
      </c>
      <c r="W1135">
        <v>3.71551367577505E-2</v>
      </c>
      <c r="X1135">
        <v>2.4998511872088098</v>
      </c>
      <c r="Y1135">
        <v>1.7686453665967901</v>
      </c>
      <c r="Z1135">
        <v>0.49996033350229702</v>
      </c>
      <c r="AA1135">
        <v>3.1354904395863898</v>
      </c>
      <c r="AB1135" s="9">
        <f t="shared" si="161"/>
        <v>-0.92482299012286007</v>
      </c>
      <c r="AC1135" s="9">
        <f t="shared" si="162"/>
        <v>-0.87113745180923685</v>
      </c>
      <c r="AD1135" s="2">
        <f t="shared" si="163"/>
        <v>-5.8049528274044415E-2</v>
      </c>
      <c r="AE1135" s="8">
        <f t="shared" si="164"/>
        <v>0.2455831914763914</v>
      </c>
      <c r="AF1135" s="2">
        <f t="shared" si="165"/>
        <v>2.7158604500393646E-2</v>
      </c>
      <c r="AG1135" s="8">
        <f t="shared" si="166"/>
        <v>0.21842458697599776</v>
      </c>
      <c r="AH1135" s="7">
        <f t="shared" si="167"/>
        <v>0.1243385869530249</v>
      </c>
      <c r="AI1135">
        <f t="shared" si="168"/>
        <v>2</v>
      </c>
      <c r="AJ1135" s="10">
        <f t="shared" si="169"/>
        <v>0.87369834790399103</v>
      </c>
    </row>
    <row r="1136" spans="1:36" hidden="1" x14ac:dyDescent="0.25">
      <c r="A1136" t="b">
        <v>0</v>
      </c>
      <c r="B1136">
        <v>1000</v>
      </c>
      <c r="C1136">
        <v>0.87369834790399103</v>
      </c>
      <c r="D1136" t="s">
        <v>52</v>
      </c>
      <c r="E1136" t="b">
        <v>1</v>
      </c>
      <c r="F1136" t="s">
        <v>53</v>
      </c>
      <c r="G1136">
        <v>7.4999999999999997E-2</v>
      </c>
      <c r="H1136">
        <v>0.5</v>
      </c>
      <c r="I1136">
        <v>1E-4</v>
      </c>
      <c r="J1136" t="b">
        <v>1</v>
      </c>
      <c r="K1136">
        <v>2</v>
      </c>
      <c r="L1136">
        <v>1500</v>
      </c>
      <c r="M1136">
        <v>1</v>
      </c>
      <c r="N1136">
        <v>0.154</v>
      </c>
      <c r="O1136" t="s">
        <v>463</v>
      </c>
      <c r="P1136" t="s">
        <v>464</v>
      </c>
      <c r="Q1136" s="1">
        <v>-6.7470433718544502E-6</v>
      </c>
      <c r="R1136" s="1">
        <v>3.6798867239191099E-6</v>
      </c>
      <c r="S1136" s="1">
        <v>2.10990085069183E-5</v>
      </c>
      <c r="T1136" s="1">
        <v>-7.8087025133466298E-5</v>
      </c>
      <c r="U1136">
        <v>2.2284836794168998</v>
      </c>
      <c r="V1136" s="1">
        <v>2.8299379590106E-15</v>
      </c>
      <c r="W1136">
        <v>6.3159554163363898E-2</v>
      </c>
      <c r="X1136">
        <v>2.1427239763512498</v>
      </c>
      <c r="Y1136">
        <v>2.40682307073451</v>
      </c>
      <c r="Z1136">
        <v>2.5223687457451798E-4</v>
      </c>
      <c r="AA1136">
        <v>2.5080514088137198</v>
      </c>
      <c r="AB1136" s="9">
        <f t="shared" si="161"/>
        <v>-0.92524519704162644</v>
      </c>
      <c r="AC1136" s="9">
        <f t="shared" si="162"/>
        <v>-0.87113745180923685</v>
      </c>
      <c r="AD1136" s="2">
        <f t="shared" si="163"/>
        <v>-5.8479358126249492E-2</v>
      </c>
      <c r="AE1136" s="8">
        <f t="shared" si="164"/>
        <v>0.24580157793551421</v>
      </c>
      <c r="AF1136" s="2">
        <f t="shared" si="165"/>
        <v>2.7376990959516456E-2</v>
      </c>
      <c r="AG1136" s="8">
        <f t="shared" si="166"/>
        <v>0.21842458697599776</v>
      </c>
      <c r="AH1136" s="7">
        <f t="shared" si="167"/>
        <v>0.12533841239459392</v>
      </c>
      <c r="AI1136">
        <f t="shared" si="168"/>
        <v>2</v>
      </c>
      <c r="AJ1136" s="10">
        <f t="shared" si="169"/>
        <v>0.87369834790399103</v>
      </c>
    </row>
    <row r="1137" spans="1:36" hidden="1" x14ac:dyDescent="0.25">
      <c r="A1137" t="b">
        <v>0</v>
      </c>
      <c r="B1137">
        <v>1000</v>
      </c>
      <c r="C1137">
        <v>0.87369834790399103</v>
      </c>
      <c r="D1137" t="s">
        <v>52</v>
      </c>
      <c r="E1137" t="b">
        <v>1</v>
      </c>
      <c r="F1137" t="s">
        <v>53</v>
      </c>
      <c r="G1137">
        <v>7.4999999999999997E-2</v>
      </c>
      <c r="H1137">
        <v>0.5</v>
      </c>
      <c r="I1137">
        <v>1E-4</v>
      </c>
      <c r="J1137" t="b">
        <v>1</v>
      </c>
      <c r="K1137">
        <v>2</v>
      </c>
      <c r="L1137">
        <v>1500</v>
      </c>
      <c r="M1137">
        <v>1</v>
      </c>
      <c r="N1137">
        <v>0.154</v>
      </c>
      <c r="O1137" t="s">
        <v>463</v>
      </c>
      <c r="P1137" t="s">
        <v>465</v>
      </c>
      <c r="Q1137" s="1">
        <v>-5.1154909684664197E-5</v>
      </c>
      <c r="R1137" s="1">
        <v>3.0910991789887197E-5</v>
      </c>
      <c r="S1137">
        <v>1.6869144538560299E-4</v>
      </c>
      <c r="T1137">
        <v>-6.2407454030769796E-4</v>
      </c>
      <c r="U1137">
        <v>2.22829990925693</v>
      </c>
      <c r="V1137" s="1">
        <v>8.7717252062951293E-15</v>
      </c>
      <c r="W1137">
        <v>3.9775241693572598E-2</v>
      </c>
      <c r="X1137">
        <v>2.4998523451216998</v>
      </c>
      <c r="Y1137">
        <v>1.8684740265856301</v>
      </c>
      <c r="Z1137">
        <v>0.49996096776955601</v>
      </c>
      <c r="AA1137">
        <v>3.3414930943105401</v>
      </c>
      <c r="AB1137" s="9">
        <f t="shared" si="161"/>
        <v>-0.9248757974673204</v>
      </c>
      <c r="AC1137" s="9">
        <f t="shared" si="162"/>
        <v>-0.87113745180923685</v>
      </c>
      <c r="AD1137" s="2">
        <f t="shared" si="163"/>
        <v>-5.8103310525846386E-2</v>
      </c>
      <c r="AE1137" s="8">
        <f t="shared" si="164"/>
        <v>0.24561050187720468</v>
      </c>
      <c r="AF1137" s="2">
        <f t="shared" si="165"/>
        <v>2.718591490120692E-2</v>
      </c>
      <c r="AG1137" s="8">
        <f t="shared" si="166"/>
        <v>0.21842458697599776</v>
      </c>
      <c r="AH1137" s="7">
        <f t="shared" si="167"/>
        <v>0.12446362049980356</v>
      </c>
      <c r="AI1137">
        <f t="shared" si="168"/>
        <v>2</v>
      </c>
      <c r="AJ1137" s="10">
        <f t="shared" si="169"/>
        <v>0.87369834790399103</v>
      </c>
    </row>
    <row r="1138" spans="1:36" hidden="1" x14ac:dyDescent="0.25">
      <c r="A1138" t="b">
        <v>0</v>
      </c>
      <c r="B1138">
        <v>1000</v>
      </c>
      <c r="C1138">
        <v>0.87369834790399103</v>
      </c>
      <c r="D1138" t="s">
        <v>52</v>
      </c>
      <c r="E1138" t="b">
        <v>1</v>
      </c>
      <c r="F1138" t="s">
        <v>53</v>
      </c>
      <c r="G1138">
        <v>7.4999999999999997E-2</v>
      </c>
      <c r="H1138">
        <v>0.5</v>
      </c>
      <c r="I1138">
        <v>1E-4</v>
      </c>
      <c r="J1138" t="b">
        <v>1</v>
      </c>
      <c r="K1138">
        <v>2</v>
      </c>
      <c r="L1138">
        <v>1500</v>
      </c>
      <c r="M1138">
        <v>1</v>
      </c>
      <c r="N1138">
        <v>0.154</v>
      </c>
      <c r="O1138" t="s">
        <v>464</v>
      </c>
      <c r="P1138" t="s">
        <v>465</v>
      </c>
      <c r="Q1138" s="1">
        <v>-4.47569412432238E-5</v>
      </c>
      <c r="R1138" s="1">
        <v>2.5670163507102599E-5</v>
      </c>
      <c r="S1138">
        <v>1.4759243687868499E-4</v>
      </c>
      <c r="T1138">
        <v>-5.4598751517436004E-4</v>
      </c>
      <c r="U1138">
        <v>2.2282736288115399</v>
      </c>
      <c r="V1138" s="1">
        <v>8.7641643932800505E-15</v>
      </c>
      <c r="W1138">
        <v>3.7456862978228797E-2</v>
      </c>
      <c r="X1138">
        <v>2.4998512615462301</v>
      </c>
      <c r="Y1138">
        <v>1.78657220425088</v>
      </c>
      <c r="Z1138">
        <v>0.49996033986779098</v>
      </c>
      <c r="AA1138">
        <v>3.1671005522072102</v>
      </c>
      <c r="AB1138" s="9">
        <f t="shared" si="161"/>
        <v>-0.92482299012235236</v>
      </c>
      <c r="AC1138" s="9">
        <f t="shared" si="162"/>
        <v>-0.87113745180923685</v>
      </c>
      <c r="AD1138" s="2">
        <f t="shared" si="163"/>
        <v>-5.8049528273527273E-2</v>
      </c>
      <c r="AE1138" s="8">
        <f t="shared" si="164"/>
        <v>0.24558319147612878</v>
      </c>
      <c r="AF1138" s="2">
        <f t="shared" si="165"/>
        <v>2.7158604500131023E-2</v>
      </c>
      <c r="AG1138" s="8">
        <f t="shared" si="166"/>
        <v>0.21842458697599776</v>
      </c>
      <c r="AH1138" s="7">
        <f t="shared" si="167"/>
        <v>0.12433858695182254</v>
      </c>
      <c r="AI1138">
        <f t="shared" si="168"/>
        <v>2</v>
      </c>
      <c r="AJ1138" s="10">
        <f t="shared" si="169"/>
        <v>0.87369834790399103</v>
      </c>
    </row>
    <row r="1139" spans="1:36" hidden="1" x14ac:dyDescent="0.25">
      <c r="A1139" t="b">
        <v>0</v>
      </c>
      <c r="B1139">
        <v>1000</v>
      </c>
      <c r="C1139">
        <v>0.97355066569360804</v>
      </c>
      <c r="D1139" t="s">
        <v>52</v>
      </c>
      <c r="E1139" t="b">
        <v>1</v>
      </c>
      <c r="F1139" t="s">
        <v>53</v>
      </c>
      <c r="G1139">
        <v>7.4999999999999997E-2</v>
      </c>
      <c r="H1139">
        <v>0.5</v>
      </c>
      <c r="I1139">
        <v>1E-4</v>
      </c>
      <c r="J1139" t="b">
        <v>1</v>
      </c>
      <c r="K1139">
        <v>6</v>
      </c>
      <c r="L1139">
        <v>1500</v>
      </c>
      <c r="M1139">
        <v>1</v>
      </c>
      <c r="N1139">
        <v>0.154</v>
      </c>
      <c r="O1139" t="s">
        <v>466</v>
      </c>
      <c r="P1139" t="s">
        <v>467</v>
      </c>
      <c r="Q1139" s="1">
        <v>-3.6882836947657199E-5</v>
      </c>
      <c r="R1139">
        <v>3.93794174328969E-4</v>
      </c>
      <c r="S1139">
        <v>1.5252302890877799E-4</v>
      </c>
      <c r="T1139">
        <v>-2.0876568490522402E-3</v>
      </c>
      <c r="U1139">
        <v>6.0047684301187898</v>
      </c>
      <c r="V1139" s="1">
        <v>9.9999999999990108E-15</v>
      </c>
      <c r="W1139">
        <v>0.72909052947547504</v>
      </c>
      <c r="X1139">
        <v>2.4999999999999898</v>
      </c>
      <c r="Y1139">
        <v>32.2833659652105</v>
      </c>
      <c r="Z1139">
        <v>0.499999999999999</v>
      </c>
      <c r="AA1139">
        <v>59.303877205253599</v>
      </c>
      <c r="AB1139" s="9">
        <f t="shared" si="161"/>
        <v>-0.38020794921344125</v>
      </c>
      <c r="AC1139" s="9">
        <f t="shared" si="162"/>
        <v>-0.41232634170000848</v>
      </c>
      <c r="AD1139" s="2">
        <f t="shared" si="163"/>
        <v>8.4475857364403995E-2</v>
      </c>
      <c r="AE1139" s="8">
        <f t="shared" si="164"/>
        <v>1.5872883736048279E-2</v>
      </c>
      <c r="AF1139" s="2">
        <f t="shared" si="165"/>
        <v>-1.1170190310996388E-2</v>
      </c>
      <c r="AG1139" s="8">
        <f t="shared" si="166"/>
        <v>2.7043074047044667E-2</v>
      </c>
      <c r="AH1139" s="7">
        <f t="shared" si="167"/>
        <v>-0.41305179624049043</v>
      </c>
      <c r="AI1139">
        <f t="shared" si="168"/>
        <v>6</v>
      </c>
      <c r="AJ1139" s="10">
        <f t="shared" si="169"/>
        <v>0.97355066569360804</v>
      </c>
    </row>
    <row r="1140" spans="1:36" hidden="1" x14ac:dyDescent="0.25">
      <c r="A1140" t="b">
        <v>0</v>
      </c>
      <c r="B1140">
        <v>1000</v>
      </c>
      <c r="C1140">
        <v>0.97355066569360804</v>
      </c>
      <c r="D1140" t="s">
        <v>52</v>
      </c>
      <c r="E1140" t="b">
        <v>1</v>
      </c>
      <c r="F1140" t="s">
        <v>53</v>
      </c>
      <c r="G1140">
        <v>7.4999999999999997E-2</v>
      </c>
      <c r="H1140">
        <v>0.5</v>
      </c>
      <c r="I1140">
        <v>1E-4</v>
      </c>
      <c r="J1140" t="b">
        <v>1</v>
      </c>
      <c r="K1140">
        <v>6</v>
      </c>
      <c r="L1140">
        <v>1500</v>
      </c>
      <c r="M1140">
        <v>1</v>
      </c>
      <c r="N1140">
        <v>0.154</v>
      </c>
      <c r="O1140" t="s">
        <v>466</v>
      </c>
      <c r="P1140" t="s">
        <v>468</v>
      </c>
      <c r="Q1140">
        <v>-2.9474198983000702E-4</v>
      </c>
      <c r="R1140">
        <v>3.16145606022394E-3</v>
      </c>
      <c r="S1140">
        <v>1.2183605469292299E-3</v>
      </c>
      <c r="T1140">
        <v>-1.66567320635717E-2</v>
      </c>
      <c r="U1140">
        <v>6.0029481109836196</v>
      </c>
      <c r="V1140" s="1">
        <v>9.9999999999962797E-15</v>
      </c>
      <c r="W1140">
        <v>0.73354464781846296</v>
      </c>
      <c r="X1140">
        <v>2.4999999999999898</v>
      </c>
      <c r="Y1140">
        <v>32.409365347070697</v>
      </c>
      <c r="Z1140">
        <v>0.49999999999998801</v>
      </c>
      <c r="AA1140">
        <v>59.584311529306603</v>
      </c>
      <c r="AB1140" s="9">
        <f t="shared" si="161"/>
        <v>-0.37976197024110986</v>
      </c>
      <c r="AC1140" s="9">
        <f t="shared" si="162"/>
        <v>-0.41232634170000848</v>
      </c>
      <c r="AD1140" s="2">
        <f t="shared" si="163"/>
        <v>8.5749427301063275E-2</v>
      </c>
      <c r="AE1140" s="8">
        <f t="shared" si="164"/>
        <v>1.5719490474463541E-2</v>
      </c>
      <c r="AF1140" s="2">
        <f t="shared" si="165"/>
        <v>-1.1323583572581127E-2</v>
      </c>
      <c r="AG1140" s="8">
        <f t="shared" si="166"/>
        <v>2.7043074047044667E-2</v>
      </c>
      <c r="AH1140" s="7">
        <f t="shared" si="167"/>
        <v>-0.41872397911873466</v>
      </c>
      <c r="AI1140">
        <f t="shared" si="168"/>
        <v>6</v>
      </c>
      <c r="AJ1140" s="10">
        <f t="shared" si="169"/>
        <v>0.97355066569360804</v>
      </c>
    </row>
    <row r="1141" spans="1:36" hidden="1" x14ac:dyDescent="0.25">
      <c r="A1141" t="b">
        <v>0</v>
      </c>
      <c r="B1141">
        <v>1000</v>
      </c>
      <c r="C1141">
        <v>0.97355066569360804</v>
      </c>
      <c r="D1141" t="s">
        <v>52</v>
      </c>
      <c r="E1141" t="b">
        <v>1</v>
      </c>
      <c r="F1141" t="s">
        <v>53</v>
      </c>
      <c r="G1141">
        <v>7.4999999999999997E-2</v>
      </c>
      <c r="H1141">
        <v>0.5</v>
      </c>
      <c r="I1141">
        <v>1E-4</v>
      </c>
      <c r="J1141" t="b">
        <v>1</v>
      </c>
      <c r="K1141">
        <v>6</v>
      </c>
      <c r="L1141">
        <v>1500</v>
      </c>
      <c r="M1141">
        <v>1</v>
      </c>
      <c r="N1141">
        <v>0.154</v>
      </c>
      <c r="O1141" t="s">
        <v>466</v>
      </c>
      <c r="P1141" t="s">
        <v>469</v>
      </c>
      <c r="Q1141" s="1">
        <v>-3.6882836947657897E-5</v>
      </c>
      <c r="R1141">
        <v>3.9835478224198702E-4</v>
      </c>
      <c r="S1141">
        <v>1.52523028908771E-4</v>
      </c>
      <c r="T1141">
        <v>-2.0876568490517701E-3</v>
      </c>
      <c r="U1141">
        <v>6.00476843005488</v>
      </c>
      <c r="V1141" s="1">
        <v>9.9999999999990108E-15</v>
      </c>
      <c r="W1141">
        <v>0.73762160582318204</v>
      </c>
      <c r="X1141">
        <v>2.4999999999999898</v>
      </c>
      <c r="Y1141">
        <v>32.633923593873803</v>
      </c>
      <c r="Z1141">
        <v>0.499999999999999</v>
      </c>
      <c r="AA1141">
        <v>59.995851407261</v>
      </c>
      <c r="AB1141" s="9">
        <f t="shared" si="161"/>
        <v>-0.38020794921337303</v>
      </c>
      <c r="AC1141" s="9">
        <f t="shared" si="162"/>
        <v>-0.41232634170000848</v>
      </c>
      <c r="AD1141" s="2">
        <f t="shared" si="163"/>
        <v>8.4475857364598506E-2</v>
      </c>
      <c r="AE1141" s="8">
        <f t="shared" si="164"/>
        <v>1.5872883736024804E-2</v>
      </c>
      <c r="AF1141" s="2">
        <f t="shared" si="165"/>
        <v>-1.1170190311019863E-2</v>
      </c>
      <c r="AG1141" s="8">
        <f t="shared" si="166"/>
        <v>2.7043074047044667E-2</v>
      </c>
      <c r="AH1141" s="7">
        <f t="shared" si="167"/>
        <v>-0.41305179624135846</v>
      </c>
      <c r="AI1141">
        <f t="shared" si="168"/>
        <v>6</v>
      </c>
      <c r="AJ1141" s="10">
        <f t="shared" si="169"/>
        <v>0.97355066569360804</v>
      </c>
    </row>
    <row r="1142" spans="1:36" hidden="1" x14ac:dyDescent="0.25">
      <c r="A1142" t="b">
        <v>0</v>
      </c>
      <c r="B1142">
        <v>1000</v>
      </c>
      <c r="C1142">
        <v>0.97355066569360804</v>
      </c>
      <c r="D1142" t="s">
        <v>52</v>
      </c>
      <c r="E1142" t="b">
        <v>1</v>
      </c>
      <c r="F1142" t="s">
        <v>53</v>
      </c>
      <c r="G1142">
        <v>7.4999999999999997E-2</v>
      </c>
      <c r="H1142">
        <v>0.5</v>
      </c>
      <c r="I1142">
        <v>1E-4</v>
      </c>
      <c r="J1142" t="b">
        <v>1</v>
      </c>
      <c r="K1142">
        <v>6</v>
      </c>
      <c r="L1142">
        <v>1500</v>
      </c>
      <c r="M1142">
        <v>1</v>
      </c>
      <c r="N1142">
        <v>0.154</v>
      </c>
      <c r="O1142" t="s">
        <v>466</v>
      </c>
      <c r="P1142" t="s">
        <v>470</v>
      </c>
      <c r="Q1142" s="1">
        <v>-7.3765816203658001E-5</v>
      </c>
      <c r="R1142">
        <v>8.0464829085377903E-4</v>
      </c>
      <c r="S1142">
        <v>3.0504344811548299E-4</v>
      </c>
      <c r="T1142">
        <v>-4.1751522201257298E-3</v>
      </c>
      <c r="U1142">
        <v>6.0045076777106701</v>
      </c>
      <c r="V1142" s="1">
        <v>9.99999999999858E-15</v>
      </c>
      <c r="W1142">
        <v>0.73744892563562603</v>
      </c>
      <c r="X1142">
        <v>2.4999999999999898</v>
      </c>
      <c r="Y1142">
        <v>33.058271233029998</v>
      </c>
      <c r="Z1142">
        <v>0.499999999999999</v>
      </c>
      <c r="AA1142">
        <v>60.550625350187197</v>
      </c>
      <c r="AB1142" s="9">
        <f t="shared" si="161"/>
        <v>-0.3801964975007161</v>
      </c>
      <c r="AC1142" s="9">
        <f t="shared" si="162"/>
        <v>-0.41232634170000848</v>
      </c>
      <c r="AD1142" s="2">
        <f t="shared" si="163"/>
        <v>8.4508522331223856E-2</v>
      </c>
      <c r="AE1142" s="8">
        <f t="shared" si="164"/>
        <v>1.58689443708659E-2</v>
      </c>
      <c r="AF1142" s="2">
        <f t="shared" si="165"/>
        <v>-1.1174129676178767E-2</v>
      </c>
      <c r="AG1142" s="8">
        <f t="shared" si="166"/>
        <v>2.7043074047044667E-2</v>
      </c>
      <c r="AH1142" s="7">
        <f t="shared" si="167"/>
        <v>-0.41319746626215753</v>
      </c>
      <c r="AI1142">
        <f t="shared" si="168"/>
        <v>6</v>
      </c>
      <c r="AJ1142" s="10">
        <f t="shared" si="169"/>
        <v>0.97355066569360804</v>
      </c>
    </row>
    <row r="1143" spans="1:36" hidden="1" x14ac:dyDescent="0.25">
      <c r="A1143" t="b">
        <v>0</v>
      </c>
      <c r="B1143">
        <v>1000</v>
      </c>
      <c r="C1143">
        <v>0.97355066569360804</v>
      </c>
      <c r="D1143" t="s">
        <v>52</v>
      </c>
      <c r="E1143" t="b">
        <v>1</v>
      </c>
      <c r="F1143" t="s">
        <v>53</v>
      </c>
      <c r="G1143">
        <v>7.4999999999999997E-2</v>
      </c>
      <c r="H1143">
        <v>0.5</v>
      </c>
      <c r="I1143">
        <v>1E-4</v>
      </c>
      <c r="J1143" t="b">
        <v>1</v>
      </c>
      <c r="K1143">
        <v>6</v>
      </c>
      <c r="L1143">
        <v>1500</v>
      </c>
      <c r="M1143">
        <v>1</v>
      </c>
      <c r="N1143">
        <v>0.154</v>
      </c>
      <c r="O1143" t="s">
        <v>466</v>
      </c>
      <c r="P1143" t="s">
        <v>471</v>
      </c>
      <c r="Q1143">
        <v>-3.3162595890728203E-4</v>
      </c>
      <c r="R1143">
        <v>3.06083323820406E-3</v>
      </c>
      <c r="S1143">
        <v>1.37086274982856E-3</v>
      </c>
      <c r="T1143">
        <v>-1.8743100854849901E-2</v>
      </c>
      <c r="U1143">
        <v>6.00268734126381</v>
      </c>
      <c r="V1143" s="1">
        <v>9.9999999999958506E-15</v>
      </c>
      <c r="W1143">
        <v>0.60999865372753703</v>
      </c>
      <c r="X1143">
        <v>2.49999999999998</v>
      </c>
      <c r="Y1143">
        <v>28.5058787083832</v>
      </c>
      <c r="Z1143">
        <v>0.49999999999998401</v>
      </c>
      <c r="AA1143">
        <v>51.057418689511401</v>
      </c>
      <c r="AB1143" s="9">
        <f t="shared" si="161"/>
        <v>-0.37979125953900833</v>
      </c>
      <c r="AC1143" s="9">
        <f t="shared" si="162"/>
        <v>-0.41232634170000848</v>
      </c>
      <c r="AD1143" s="2">
        <f t="shared" si="163"/>
        <v>8.5665694888532595E-2</v>
      </c>
      <c r="AE1143" s="8">
        <f t="shared" si="164"/>
        <v>1.5729563028026187E-2</v>
      </c>
      <c r="AF1143" s="2">
        <f t="shared" si="165"/>
        <v>-1.131351101901848E-2</v>
      </c>
      <c r="AG1143" s="8">
        <f t="shared" si="166"/>
        <v>2.7043074047044667E-2</v>
      </c>
      <c r="AH1143" s="7">
        <f t="shared" si="167"/>
        <v>-0.41835151578320096</v>
      </c>
      <c r="AI1143">
        <f t="shared" si="168"/>
        <v>6</v>
      </c>
      <c r="AJ1143" s="10">
        <f t="shared" si="169"/>
        <v>0.97355066569360804</v>
      </c>
    </row>
    <row r="1144" spans="1:36" hidden="1" x14ac:dyDescent="0.25">
      <c r="A1144" t="b">
        <v>0</v>
      </c>
      <c r="B1144">
        <v>1000</v>
      </c>
      <c r="C1144">
        <v>0.97355066569360804</v>
      </c>
      <c r="D1144" t="s">
        <v>52</v>
      </c>
      <c r="E1144" t="b">
        <v>1</v>
      </c>
      <c r="F1144" t="s">
        <v>53</v>
      </c>
      <c r="G1144">
        <v>7.4999999999999997E-2</v>
      </c>
      <c r="H1144">
        <v>0.5</v>
      </c>
      <c r="I1144">
        <v>1E-4</v>
      </c>
      <c r="J1144" t="b">
        <v>1</v>
      </c>
      <c r="K1144">
        <v>6</v>
      </c>
      <c r="L1144">
        <v>1500</v>
      </c>
      <c r="M1144">
        <v>1</v>
      </c>
      <c r="N1144">
        <v>0.154</v>
      </c>
      <c r="O1144" t="s">
        <v>466</v>
      </c>
      <c r="P1144" t="s">
        <v>472</v>
      </c>
      <c r="Q1144">
        <v>-2.9474198983000502E-4</v>
      </c>
      <c r="R1144">
        <v>3.1366580885426199E-3</v>
      </c>
      <c r="S1144">
        <v>1.2183605469292299E-3</v>
      </c>
      <c r="T1144">
        <v>-1.6656732063571902E-2</v>
      </c>
      <c r="U1144">
        <v>6.0029481109356002</v>
      </c>
      <c r="V1144" s="1">
        <v>9.9999999999962797E-15</v>
      </c>
      <c r="W1144">
        <v>0.73018243457460097</v>
      </c>
      <c r="X1144">
        <v>2.4999999999999898</v>
      </c>
      <c r="Y1144">
        <v>32.1351004428574</v>
      </c>
      <c r="Z1144">
        <v>0.49999999999998801</v>
      </c>
      <c r="AA1144">
        <v>59.127413247918099</v>
      </c>
      <c r="AB1144" s="9">
        <f t="shared" si="161"/>
        <v>-0.37976197024111447</v>
      </c>
      <c r="AC1144" s="9">
        <f t="shared" si="162"/>
        <v>-0.41232634170000848</v>
      </c>
      <c r="AD1144" s="2">
        <f t="shared" si="163"/>
        <v>8.5749427301050174E-2</v>
      </c>
      <c r="AE1144" s="8">
        <f t="shared" si="164"/>
        <v>1.5719490474465143E-2</v>
      </c>
      <c r="AF1144" s="2">
        <f t="shared" si="165"/>
        <v>-1.1323583572579524E-2</v>
      </c>
      <c r="AG1144" s="8">
        <f t="shared" si="166"/>
        <v>2.7043074047044667E-2</v>
      </c>
      <c r="AH1144" s="7">
        <f t="shared" si="167"/>
        <v>-0.41872397911867537</v>
      </c>
      <c r="AI1144">
        <f t="shared" si="168"/>
        <v>6</v>
      </c>
      <c r="AJ1144" s="10">
        <f t="shared" si="169"/>
        <v>0.97355066569360804</v>
      </c>
    </row>
    <row r="1145" spans="1:36" hidden="1" x14ac:dyDescent="0.25">
      <c r="A1145" t="b">
        <v>0</v>
      </c>
      <c r="B1145">
        <v>1000</v>
      </c>
      <c r="C1145">
        <v>0.97355066569360804</v>
      </c>
      <c r="D1145" t="s">
        <v>52</v>
      </c>
      <c r="E1145" t="b">
        <v>1</v>
      </c>
      <c r="F1145" t="s">
        <v>53</v>
      </c>
      <c r="G1145">
        <v>7.4999999999999997E-2</v>
      </c>
      <c r="H1145">
        <v>0.5</v>
      </c>
      <c r="I1145">
        <v>1E-4</v>
      </c>
      <c r="J1145" t="b">
        <v>1</v>
      </c>
      <c r="K1145">
        <v>6</v>
      </c>
      <c r="L1145">
        <v>1500</v>
      </c>
      <c r="M1145">
        <v>1</v>
      </c>
      <c r="N1145">
        <v>0.154</v>
      </c>
      <c r="O1145" t="s">
        <v>466</v>
      </c>
      <c r="P1145" t="s">
        <v>473</v>
      </c>
      <c r="Q1145">
        <v>-3.31625958907281E-4</v>
      </c>
      <c r="R1145">
        <v>3.0077147021209199E-3</v>
      </c>
      <c r="S1145">
        <v>1.37086274982856E-3</v>
      </c>
      <c r="T1145">
        <v>-1.8743100854849801E-2</v>
      </c>
      <c r="U1145">
        <v>6.0026873412939299</v>
      </c>
      <c r="V1145" s="1">
        <v>9.99999999999586E-15</v>
      </c>
      <c r="W1145">
        <v>0.60000202288834104</v>
      </c>
      <c r="X1145">
        <v>2.49999999999998</v>
      </c>
      <c r="Y1145">
        <v>28.041290716894501</v>
      </c>
      <c r="Z1145">
        <v>0.49999999999998401</v>
      </c>
      <c r="AA1145">
        <v>50.165130464176102</v>
      </c>
      <c r="AB1145" s="9">
        <f t="shared" si="161"/>
        <v>-0.37979125953900628</v>
      </c>
      <c r="AC1145" s="9">
        <f t="shared" si="162"/>
        <v>-0.41232634170000848</v>
      </c>
      <c r="AD1145" s="2">
        <f t="shared" si="163"/>
        <v>8.5665694888538368E-2</v>
      </c>
      <c r="AE1145" s="8">
        <f t="shared" si="164"/>
        <v>1.5729563028025476E-2</v>
      </c>
      <c r="AF1145" s="2">
        <f t="shared" si="165"/>
        <v>-1.1313511019019191E-2</v>
      </c>
      <c r="AG1145" s="8">
        <f t="shared" si="166"/>
        <v>2.7043074047044667E-2</v>
      </c>
      <c r="AH1145" s="7">
        <f t="shared" si="167"/>
        <v>-0.41835151578322727</v>
      </c>
      <c r="AI1145">
        <f t="shared" si="168"/>
        <v>6</v>
      </c>
      <c r="AJ1145" s="10">
        <f t="shared" si="169"/>
        <v>0.97355066569360804</v>
      </c>
    </row>
    <row r="1146" spans="1:36" hidden="1" x14ac:dyDescent="0.25">
      <c r="A1146" t="b">
        <v>0</v>
      </c>
      <c r="B1146">
        <v>1000</v>
      </c>
      <c r="C1146">
        <v>0.97355066569360804</v>
      </c>
      <c r="D1146" t="s">
        <v>52</v>
      </c>
      <c r="E1146" t="b">
        <v>1</v>
      </c>
      <c r="F1146" t="s">
        <v>53</v>
      </c>
      <c r="G1146">
        <v>7.4999999999999997E-2</v>
      </c>
      <c r="H1146">
        <v>0.5</v>
      </c>
      <c r="I1146">
        <v>1E-4</v>
      </c>
      <c r="J1146" t="b">
        <v>1</v>
      </c>
      <c r="K1146">
        <v>6</v>
      </c>
      <c r="L1146">
        <v>1500</v>
      </c>
      <c r="M1146">
        <v>1</v>
      </c>
      <c r="N1146">
        <v>0.154</v>
      </c>
      <c r="O1146" t="s">
        <v>466</v>
      </c>
      <c r="P1146" t="s">
        <v>474</v>
      </c>
      <c r="Q1146">
        <v>-5.8949298620319403E-4</v>
      </c>
      <c r="R1146">
        <v>6.46006062524207E-3</v>
      </c>
      <c r="S1146">
        <v>2.4365548975950799E-3</v>
      </c>
      <c r="T1146">
        <v>-3.3303189705247302E-2</v>
      </c>
      <c r="U1146">
        <v>6.0008668826509997</v>
      </c>
      <c r="V1146" s="1">
        <v>9.9999999999920593E-15</v>
      </c>
      <c r="W1146">
        <v>0.72971288869704798</v>
      </c>
      <c r="X1146">
        <v>2.4999999999999498</v>
      </c>
      <c r="Y1146">
        <v>33.366119367888103</v>
      </c>
      <c r="Z1146">
        <v>0.499999999999932</v>
      </c>
      <c r="AA1146">
        <v>60.762505563298099</v>
      </c>
      <c r="AB1146" s="9">
        <f t="shared" si="161"/>
        <v>-0.37967074078101581</v>
      </c>
      <c r="AC1146" s="9">
        <f t="shared" si="162"/>
        <v>-0.41232634170000848</v>
      </c>
      <c r="AD1146" s="2">
        <f t="shared" si="163"/>
        <v>8.6010317391899127E-2</v>
      </c>
      <c r="AE1146" s="8">
        <f t="shared" si="164"/>
        <v>1.5688118055367125E-2</v>
      </c>
      <c r="AF1146" s="2">
        <f t="shared" si="165"/>
        <v>-1.1354955991677542E-2</v>
      </c>
      <c r="AG1146" s="8">
        <f t="shared" si="166"/>
        <v>2.7043074047044667E-2</v>
      </c>
      <c r="AH1146" s="7">
        <f t="shared" si="167"/>
        <v>-0.41988406983334203</v>
      </c>
      <c r="AI1146">
        <f t="shared" si="168"/>
        <v>6</v>
      </c>
      <c r="AJ1146" s="10">
        <f t="shared" si="169"/>
        <v>0.97355066569360804</v>
      </c>
    </row>
    <row r="1147" spans="1:36" hidden="1" x14ac:dyDescent="0.25">
      <c r="A1147" t="b">
        <v>0</v>
      </c>
      <c r="B1147">
        <v>1000</v>
      </c>
      <c r="C1147">
        <v>0.97355066569360804</v>
      </c>
      <c r="D1147" t="s">
        <v>52</v>
      </c>
      <c r="E1147" t="b">
        <v>1</v>
      </c>
      <c r="F1147" t="s">
        <v>53</v>
      </c>
      <c r="G1147">
        <v>7.4999999999999997E-2</v>
      </c>
      <c r="H1147">
        <v>0.5</v>
      </c>
      <c r="I1147">
        <v>1E-4</v>
      </c>
      <c r="J1147" t="b">
        <v>1</v>
      </c>
      <c r="K1147">
        <v>6</v>
      </c>
      <c r="L1147">
        <v>1500</v>
      </c>
      <c r="M1147">
        <v>1</v>
      </c>
      <c r="N1147">
        <v>0.154</v>
      </c>
      <c r="O1147" t="s">
        <v>467</v>
      </c>
      <c r="P1147" t="s">
        <v>468</v>
      </c>
      <c r="Q1147">
        <v>-2.5785915288421E-4</v>
      </c>
      <c r="R1147">
        <v>2.69764618269444E-3</v>
      </c>
      <c r="S1147">
        <v>1.0658375180204499E-3</v>
      </c>
      <c r="T1147">
        <v>-1.4569075214519601E-2</v>
      </c>
      <c r="U1147">
        <v>6.0026873610921401</v>
      </c>
      <c r="V1147" s="1">
        <v>9.9999999999966805E-15</v>
      </c>
      <c r="W1147">
        <v>0.70187162177900098</v>
      </c>
      <c r="X1147">
        <v>2.4999999999999898</v>
      </c>
      <c r="Y1147">
        <v>31.866569122965899</v>
      </c>
      <c r="Z1147">
        <v>0.49999999999999101</v>
      </c>
      <c r="AA1147">
        <v>58.016450730758599</v>
      </c>
      <c r="AB1147" s="9">
        <f t="shared" si="161"/>
        <v>-0.37969814994717682</v>
      </c>
      <c r="AC1147" s="9">
        <f t="shared" si="162"/>
        <v>-0.41232634170000848</v>
      </c>
      <c r="AD1147" s="2">
        <f t="shared" si="163"/>
        <v>8.5931921863119154E-2</v>
      </c>
      <c r="AE1147" s="8">
        <f t="shared" si="164"/>
        <v>1.5697543445663174E-2</v>
      </c>
      <c r="AF1147" s="2">
        <f t="shared" si="165"/>
        <v>-1.1345530601381493E-2</v>
      </c>
      <c r="AG1147" s="8">
        <f t="shared" si="166"/>
        <v>2.7043074047044667E-2</v>
      </c>
      <c r="AH1147" s="7">
        <f t="shared" si="167"/>
        <v>-0.41953553732998633</v>
      </c>
      <c r="AI1147">
        <f t="shared" si="168"/>
        <v>6</v>
      </c>
      <c r="AJ1147" s="10">
        <f t="shared" si="169"/>
        <v>0.97355066569360804</v>
      </c>
    </row>
    <row r="1148" spans="1:36" hidden="1" x14ac:dyDescent="0.25">
      <c r="A1148" t="b">
        <v>0</v>
      </c>
      <c r="B1148">
        <v>1000</v>
      </c>
      <c r="C1148">
        <v>0.97355066569360804</v>
      </c>
      <c r="D1148" t="s">
        <v>52</v>
      </c>
      <c r="E1148" t="b">
        <v>1</v>
      </c>
      <c r="F1148" t="s">
        <v>53</v>
      </c>
      <c r="G1148">
        <v>7.4999999999999997E-2</v>
      </c>
      <c r="H1148">
        <v>0.5</v>
      </c>
      <c r="I1148">
        <v>1E-4</v>
      </c>
      <c r="J1148" t="b">
        <v>1</v>
      </c>
      <c r="K1148">
        <v>6</v>
      </c>
      <c r="L1148">
        <v>1500</v>
      </c>
      <c r="M1148">
        <v>1</v>
      </c>
      <c r="N1148">
        <v>0.154</v>
      </c>
      <c r="O1148" t="s">
        <v>467</v>
      </c>
      <c r="P1148" t="s">
        <v>470</v>
      </c>
      <c r="Q1148" s="1">
        <v>-3.6882979256216802E-5</v>
      </c>
      <c r="R1148">
        <v>3.93990095334851E-4</v>
      </c>
      <c r="S1148">
        <v>1.5252041920670099E-4</v>
      </c>
      <c r="T1148">
        <v>-2.0874953710733001E-3</v>
      </c>
      <c r="U1148">
        <v>6.0042469278191897</v>
      </c>
      <c r="V1148" s="1">
        <v>9.9999999999990108E-15</v>
      </c>
      <c r="W1148">
        <v>0.72973917766063201</v>
      </c>
      <c r="X1148">
        <v>2.4999999999999898</v>
      </c>
      <c r="Y1148">
        <v>32.293767591880901</v>
      </c>
      <c r="Z1148">
        <v>0.499999999999999</v>
      </c>
      <c r="AA1148">
        <v>59.334894890104302</v>
      </c>
      <c r="AB1148" s="9">
        <f t="shared" si="161"/>
        <v>-0.38018504559202182</v>
      </c>
      <c r="AC1148" s="9">
        <f t="shared" si="162"/>
        <v>-0.41232634170000848</v>
      </c>
      <c r="AD1148" s="2">
        <f t="shared" si="163"/>
        <v>8.4541189824908658E-2</v>
      </c>
      <c r="AE1148" s="8">
        <f t="shared" si="164"/>
        <v>1.5865004968823503E-2</v>
      </c>
      <c r="AF1148" s="2">
        <f t="shared" si="165"/>
        <v>-1.1178069078221164E-2</v>
      </c>
      <c r="AG1148" s="8">
        <f t="shared" si="166"/>
        <v>2.7043074047044667E-2</v>
      </c>
      <c r="AH1148" s="7">
        <f t="shared" si="167"/>
        <v>-0.41334313764683611</v>
      </c>
      <c r="AI1148">
        <f t="shared" si="168"/>
        <v>6</v>
      </c>
      <c r="AJ1148" s="10">
        <f t="shared" si="169"/>
        <v>0.97355066569360804</v>
      </c>
    </row>
    <row r="1149" spans="1:36" hidden="1" x14ac:dyDescent="0.25">
      <c r="A1149" t="b">
        <v>0</v>
      </c>
      <c r="B1149">
        <v>1000</v>
      </c>
      <c r="C1149">
        <v>0.97355066569360804</v>
      </c>
      <c r="D1149" t="s">
        <v>52</v>
      </c>
      <c r="E1149" t="b">
        <v>1</v>
      </c>
      <c r="F1149" t="s">
        <v>53</v>
      </c>
      <c r="G1149">
        <v>7.4999999999999997E-2</v>
      </c>
      <c r="H1149">
        <v>0.5</v>
      </c>
      <c r="I1149">
        <v>1E-4</v>
      </c>
      <c r="J1149" t="b">
        <v>1</v>
      </c>
      <c r="K1149">
        <v>6</v>
      </c>
      <c r="L1149">
        <v>1500</v>
      </c>
      <c r="M1149">
        <v>1</v>
      </c>
      <c r="N1149">
        <v>0.154</v>
      </c>
      <c r="O1149" t="s">
        <v>467</v>
      </c>
      <c r="P1149" t="s">
        <v>471</v>
      </c>
      <c r="Q1149">
        <v>-2.9474312196178099E-4</v>
      </c>
      <c r="R1149">
        <v>3.0765770023283602E-3</v>
      </c>
      <c r="S1149">
        <v>1.21833972091978E-3</v>
      </c>
      <c r="T1149">
        <v>-1.66554440057976E-2</v>
      </c>
      <c r="U1149">
        <v>6.0024265913723296</v>
      </c>
      <c r="V1149" s="1">
        <v>9.9999999999962797E-15</v>
      </c>
      <c r="W1149">
        <v>0.71233507302259302</v>
      </c>
      <c r="X1149">
        <v>2.4999999999999898</v>
      </c>
      <c r="Y1149">
        <v>31.6169008027973</v>
      </c>
      <c r="Z1149">
        <v>0.49999999999998801</v>
      </c>
      <c r="AA1149">
        <v>57.960632110420697</v>
      </c>
      <c r="AB1149" s="9">
        <f t="shared" si="161"/>
        <v>-0.37973909447357612</v>
      </c>
      <c r="AC1149" s="9">
        <f t="shared" si="162"/>
        <v>-0.41232634170000848</v>
      </c>
      <c r="AD1149" s="2">
        <f t="shared" si="163"/>
        <v>8.5814833659956236E-2</v>
      </c>
      <c r="AE1149" s="8">
        <f t="shared" si="164"/>
        <v>1.5711623665056261E-2</v>
      </c>
      <c r="AF1149" s="2">
        <f t="shared" si="165"/>
        <v>-1.1331450381988406E-2</v>
      </c>
      <c r="AG1149" s="8">
        <f t="shared" si="166"/>
        <v>2.7043074047044667E-2</v>
      </c>
      <c r="AH1149" s="7">
        <f t="shared" si="167"/>
        <v>-0.41901487834837087</v>
      </c>
      <c r="AI1149">
        <f t="shared" si="168"/>
        <v>6</v>
      </c>
      <c r="AJ1149" s="10">
        <f t="shared" si="169"/>
        <v>0.97355066569360804</v>
      </c>
    </row>
    <row r="1150" spans="1:36" hidden="1" x14ac:dyDescent="0.25">
      <c r="A1150" t="b">
        <v>0</v>
      </c>
      <c r="B1150">
        <v>1000</v>
      </c>
      <c r="C1150">
        <v>0.97355066569360804</v>
      </c>
      <c r="D1150" t="s">
        <v>52</v>
      </c>
      <c r="E1150" t="b">
        <v>1</v>
      </c>
      <c r="F1150" t="s">
        <v>53</v>
      </c>
      <c r="G1150">
        <v>7.4999999999999997E-2</v>
      </c>
      <c r="H1150">
        <v>0.5</v>
      </c>
      <c r="I1150">
        <v>1E-4</v>
      </c>
      <c r="J1150" t="b">
        <v>1</v>
      </c>
      <c r="K1150">
        <v>6</v>
      </c>
      <c r="L1150">
        <v>1500</v>
      </c>
      <c r="M1150">
        <v>1</v>
      </c>
      <c r="N1150">
        <v>0.154</v>
      </c>
      <c r="O1150" t="s">
        <v>467</v>
      </c>
      <c r="P1150" t="s">
        <v>472</v>
      </c>
      <c r="Q1150">
        <v>-2.5785915288421298E-4</v>
      </c>
      <c r="R1150">
        <v>2.7100096489641001E-3</v>
      </c>
      <c r="S1150">
        <v>1.0658375180204499E-3</v>
      </c>
      <c r="T1150">
        <v>-1.45690752145197E-2</v>
      </c>
      <c r="U1150">
        <v>6.0026873610441198</v>
      </c>
      <c r="V1150" s="1">
        <v>9.9999999999966805E-15</v>
      </c>
      <c r="W1150">
        <v>0.70851457424997899</v>
      </c>
      <c r="X1150">
        <v>2.4999999999999898</v>
      </c>
      <c r="Y1150">
        <v>31.951857223402602</v>
      </c>
      <c r="Z1150">
        <v>0.49999999999999101</v>
      </c>
      <c r="AA1150">
        <v>58.305956180788897</v>
      </c>
      <c r="AB1150" s="9">
        <f t="shared" si="161"/>
        <v>-0.37969814994717938</v>
      </c>
      <c r="AC1150" s="9">
        <f t="shared" si="162"/>
        <v>-0.41232634170000848</v>
      </c>
      <c r="AD1150" s="2">
        <f t="shared" si="163"/>
        <v>8.5931921863111826E-2</v>
      </c>
      <c r="AE1150" s="8">
        <f t="shared" si="164"/>
        <v>1.5697543445664038E-2</v>
      </c>
      <c r="AF1150" s="2">
        <f t="shared" si="165"/>
        <v>-1.1345530601380629E-2</v>
      </c>
      <c r="AG1150" s="8">
        <f t="shared" si="166"/>
        <v>2.7043074047044667E-2</v>
      </c>
      <c r="AH1150" s="7">
        <f t="shared" si="167"/>
        <v>-0.41953553732995441</v>
      </c>
      <c r="AI1150">
        <f t="shared" si="168"/>
        <v>6</v>
      </c>
      <c r="AJ1150" s="10">
        <f t="shared" si="169"/>
        <v>0.97355066569360804</v>
      </c>
    </row>
    <row r="1151" spans="1:36" hidden="1" x14ac:dyDescent="0.25">
      <c r="A1151" t="b">
        <v>0</v>
      </c>
      <c r="B1151">
        <v>1000</v>
      </c>
      <c r="C1151">
        <v>0.97355066569360804</v>
      </c>
      <c r="D1151" t="s">
        <v>52</v>
      </c>
      <c r="E1151" t="b">
        <v>1</v>
      </c>
      <c r="F1151" t="s">
        <v>53</v>
      </c>
      <c r="G1151">
        <v>7.4999999999999997E-2</v>
      </c>
      <c r="H1151">
        <v>0.5</v>
      </c>
      <c r="I1151">
        <v>1E-4</v>
      </c>
      <c r="J1151" t="b">
        <v>1</v>
      </c>
      <c r="K1151">
        <v>6</v>
      </c>
      <c r="L1151">
        <v>1500</v>
      </c>
      <c r="M1151">
        <v>1</v>
      </c>
      <c r="N1151">
        <v>0.154</v>
      </c>
      <c r="O1151" t="s">
        <v>467</v>
      </c>
      <c r="P1151" t="s">
        <v>473</v>
      </c>
      <c r="Q1151">
        <v>-2.9474312196178001E-4</v>
      </c>
      <c r="R1151">
        <v>3.1605020211814198E-3</v>
      </c>
      <c r="S1151">
        <v>1.21833972091978E-3</v>
      </c>
      <c r="T1151">
        <v>-1.66554440057976E-2</v>
      </c>
      <c r="U1151">
        <v>6.0024265914024504</v>
      </c>
      <c r="V1151" s="1">
        <v>9.9999999999962797E-15</v>
      </c>
      <c r="W1151">
        <v>0.733411911502031</v>
      </c>
      <c r="X1151">
        <v>2.4999999999999898</v>
      </c>
      <c r="Y1151">
        <v>32.396895598244399</v>
      </c>
      <c r="Z1151">
        <v>0.49999999999998801</v>
      </c>
      <c r="AA1151">
        <v>59.5679757509143</v>
      </c>
      <c r="AB1151" s="9">
        <f t="shared" si="161"/>
        <v>-0.37973909447357612</v>
      </c>
      <c r="AC1151" s="9">
        <f t="shared" si="162"/>
        <v>-0.41232634170000848</v>
      </c>
      <c r="AD1151" s="2">
        <f t="shared" si="163"/>
        <v>8.5814833659956236E-2</v>
      </c>
      <c r="AE1151" s="8">
        <f t="shared" si="164"/>
        <v>1.5711623665056261E-2</v>
      </c>
      <c r="AF1151" s="2">
        <f t="shared" si="165"/>
        <v>-1.1331450381988406E-2</v>
      </c>
      <c r="AG1151" s="8">
        <f t="shared" si="166"/>
        <v>2.7043074047044667E-2</v>
      </c>
      <c r="AH1151" s="7">
        <f t="shared" si="167"/>
        <v>-0.41901487834837087</v>
      </c>
      <c r="AI1151">
        <f t="shared" si="168"/>
        <v>6</v>
      </c>
      <c r="AJ1151" s="10">
        <f t="shared" si="169"/>
        <v>0.97355066569360804</v>
      </c>
    </row>
    <row r="1152" spans="1:36" hidden="1" x14ac:dyDescent="0.25">
      <c r="A1152" t="b">
        <v>0</v>
      </c>
      <c r="B1152">
        <v>1000</v>
      </c>
      <c r="C1152">
        <v>0.97355066569360804</v>
      </c>
      <c r="D1152" t="s">
        <v>52</v>
      </c>
      <c r="E1152" t="b">
        <v>1</v>
      </c>
      <c r="F1152" t="s">
        <v>53</v>
      </c>
      <c r="G1152">
        <v>7.4999999999999997E-2</v>
      </c>
      <c r="H1152">
        <v>0.5</v>
      </c>
      <c r="I1152">
        <v>1E-4</v>
      </c>
      <c r="J1152" t="b">
        <v>1</v>
      </c>
      <c r="K1152">
        <v>6</v>
      </c>
      <c r="L1152">
        <v>1500</v>
      </c>
      <c r="M1152">
        <v>1</v>
      </c>
      <c r="N1152">
        <v>0.154</v>
      </c>
      <c r="O1152" t="s">
        <v>467</v>
      </c>
      <c r="P1152" t="s">
        <v>474</v>
      </c>
      <c r="Q1152">
        <v>-5.5261014926006897E-4</v>
      </c>
      <c r="R1152">
        <v>5.8833725077512104E-3</v>
      </c>
      <c r="S1152">
        <v>2.2840318686863001E-3</v>
      </c>
      <c r="T1152">
        <v>-3.1215532856195001E-2</v>
      </c>
      <c r="U1152">
        <v>6.0006061327595202</v>
      </c>
      <c r="V1152" s="1">
        <v>9.9999999999927204E-15</v>
      </c>
      <c r="W1152">
        <v>0.72055555708036301</v>
      </c>
      <c r="X1152">
        <v>2.4999999999999498</v>
      </c>
      <c r="Y1152">
        <v>32.290229602948699</v>
      </c>
      <c r="Z1152">
        <v>0.49999999999994299</v>
      </c>
      <c r="AA1152">
        <v>59.092809031796797</v>
      </c>
      <c r="AB1152" s="9">
        <f t="shared" si="161"/>
        <v>-0.37963486708836158</v>
      </c>
      <c r="AC1152" s="9">
        <f t="shared" si="162"/>
        <v>-0.41232634170000848</v>
      </c>
      <c r="AD1152" s="2">
        <f t="shared" si="163"/>
        <v>8.6112940211147126E-2</v>
      </c>
      <c r="AE1152" s="8">
        <f t="shared" si="164"/>
        <v>1.5675782170781721E-2</v>
      </c>
      <c r="AF1152" s="2">
        <f t="shared" si="165"/>
        <v>-1.1367291876262946E-2</v>
      </c>
      <c r="AG1152" s="8">
        <f t="shared" si="166"/>
        <v>2.7043074047044667E-2</v>
      </c>
      <c r="AH1152" s="7">
        <f t="shared" si="167"/>
        <v>-0.4203402267245277</v>
      </c>
      <c r="AI1152">
        <f t="shared" si="168"/>
        <v>6</v>
      </c>
      <c r="AJ1152" s="10">
        <f t="shared" si="169"/>
        <v>0.97355066569360804</v>
      </c>
    </row>
    <row r="1153" spans="1:36" hidden="1" x14ac:dyDescent="0.25">
      <c r="A1153" t="b">
        <v>0</v>
      </c>
      <c r="B1153">
        <v>1000</v>
      </c>
      <c r="C1153">
        <v>0.97355066569360804</v>
      </c>
      <c r="D1153" t="s">
        <v>52</v>
      </c>
      <c r="E1153" t="b">
        <v>1</v>
      </c>
      <c r="F1153" t="s">
        <v>53</v>
      </c>
      <c r="G1153">
        <v>7.4999999999999997E-2</v>
      </c>
      <c r="H1153">
        <v>0.5</v>
      </c>
      <c r="I1153">
        <v>1E-4</v>
      </c>
      <c r="J1153" t="b">
        <v>1</v>
      </c>
      <c r="K1153">
        <v>6</v>
      </c>
      <c r="L1153">
        <v>1500</v>
      </c>
      <c r="M1153">
        <v>1</v>
      </c>
      <c r="N1153">
        <v>0.154</v>
      </c>
      <c r="O1153" t="s">
        <v>468</v>
      </c>
      <c r="P1153" t="s">
        <v>471</v>
      </c>
      <c r="Q1153" s="1">
        <v>-3.6883969079428702E-5</v>
      </c>
      <c r="R1153">
        <v>3.9915521258112701E-4</v>
      </c>
      <c r="S1153">
        <v>1.5250220289932801E-4</v>
      </c>
      <c r="T1153">
        <v>-2.08636879127784E-3</v>
      </c>
      <c r="U1153">
        <v>6.0006062722371496</v>
      </c>
      <c r="V1153" s="1">
        <v>9.9999999999990202E-15</v>
      </c>
      <c r="W1153">
        <v>0.735564106068469</v>
      </c>
      <c r="X1153">
        <v>2.4999999999999898</v>
      </c>
      <c r="Y1153">
        <v>32.746401932365799</v>
      </c>
      <c r="Z1153">
        <v>0.499999999999999</v>
      </c>
      <c r="AA1153">
        <v>60.094407015256202</v>
      </c>
      <c r="AB1153" s="9">
        <f t="shared" si="161"/>
        <v>-0.38002525566705792</v>
      </c>
      <c r="AC1153" s="9">
        <f t="shared" si="162"/>
        <v>-0.41232634170000848</v>
      </c>
      <c r="AD1153" s="2">
        <f t="shared" si="163"/>
        <v>8.4997208873006436E-2</v>
      </c>
      <c r="AE1153" s="8">
        <f t="shared" si="164"/>
        <v>1.5810041182909986E-2</v>
      </c>
      <c r="AF1153" s="2">
        <f t="shared" si="165"/>
        <v>-1.1233032864134681E-2</v>
      </c>
      <c r="AG1153" s="8">
        <f t="shared" si="166"/>
        <v>2.7043074047044667E-2</v>
      </c>
      <c r="AH1153" s="7">
        <f t="shared" si="167"/>
        <v>-0.41537559097732285</v>
      </c>
      <c r="AI1153">
        <f t="shared" si="168"/>
        <v>6</v>
      </c>
      <c r="AJ1153" s="10">
        <f t="shared" si="169"/>
        <v>0.97355066569360804</v>
      </c>
    </row>
    <row r="1154" spans="1:36" hidden="1" x14ac:dyDescent="0.25">
      <c r="A1154" t="b">
        <v>0</v>
      </c>
      <c r="B1154">
        <v>1000</v>
      </c>
      <c r="C1154">
        <v>0.97355066569360804</v>
      </c>
      <c r="D1154" t="s">
        <v>52</v>
      </c>
      <c r="E1154" t="b">
        <v>1</v>
      </c>
      <c r="F1154" t="s">
        <v>53</v>
      </c>
      <c r="G1154">
        <v>7.4999999999999997E-2</v>
      </c>
      <c r="H1154">
        <v>0.5</v>
      </c>
      <c r="I1154">
        <v>1E-4</v>
      </c>
      <c r="J1154" t="b">
        <v>1</v>
      </c>
      <c r="K1154">
        <v>6</v>
      </c>
      <c r="L1154">
        <v>1500</v>
      </c>
      <c r="M1154">
        <v>1</v>
      </c>
      <c r="N1154">
        <v>0.154</v>
      </c>
      <c r="O1154" t="s">
        <v>468</v>
      </c>
      <c r="P1154" t="s">
        <v>472</v>
      </c>
      <c r="Q1154" s="1">
        <v>-1E-10</v>
      </c>
      <c r="R1154" s="1">
        <v>3.58578594637761E-12</v>
      </c>
      <c r="S1154" s="1">
        <v>9.7161048911838605E-18</v>
      </c>
      <c r="T1154" s="1">
        <v>-2.10677236239553E-16</v>
      </c>
      <c r="U1154">
        <v>6.0008670419089496</v>
      </c>
      <c r="V1154">
        <v>0</v>
      </c>
      <c r="W1154">
        <v>6.8474548534075197E-2</v>
      </c>
      <c r="X1154">
        <v>2</v>
      </c>
      <c r="Y1154">
        <v>4.00056643003771E-3</v>
      </c>
      <c r="Z1154">
        <v>2.5000000000000001E-4</v>
      </c>
      <c r="AA1154">
        <v>4.7933530005144498E-3</v>
      </c>
      <c r="AB1154" s="9">
        <f t="shared" si="161"/>
        <v>-0.6023139433590079</v>
      </c>
      <c r="AC1154" s="9">
        <f t="shared" si="162"/>
        <v>-0.41232634170000848</v>
      </c>
      <c r="AD1154" s="2">
        <f t="shared" si="163"/>
        <v>-0.31542952600344787</v>
      </c>
      <c r="AE1154" s="8">
        <f t="shared" si="164"/>
        <v>9.8490919183185768E-2</v>
      </c>
      <c r="AF1154" s="2">
        <f t="shared" si="165"/>
        <v>7.1447845136141108E-2</v>
      </c>
      <c r="AG1154" s="8">
        <f t="shared" si="166"/>
        <v>2.7043074047044667E-2</v>
      </c>
      <c r="AH1154" s="7">
        <f t="shared" si="167"/>
        <v>2.6420016086872748</v>
      </c>
      <c r="AI1154">
        <f t="shared" si="168"/>
        <v>6</v>
      </c>
      <c r="AJ1154" s="10">
        <f t="shared" si="169"/>
        <v>0.97355066569360804</v>
      </c>
    </row>
    <row r="1155" spans="1:36" hidden="1" x14ac:dyDescent="0.25">
      <c r="A1155" t="b">
        <v>0</v>
      </c>
      <c r="B1155">
        <v>1000</v>
      </c>
      <c r="C1155">
        <v>0.97355066569360804</v>
      </c>
      <c r="D1155" t="s">
        <v>52</v>
      </c>
      <c r="E1155" t="b">
        <v>1</v>
      </c>
      <c r="F1155" t="s">
        <v>53</v>
      </c>
      <c r="G1155">
        <v>7.4999999999999997E-2</v>
      </c>
      <c r="H1155">
        <v>0.5</v>
      </c>
      <c r="I1155">
        <v>1E-4</v>
      </c>
      <c r="J1155" t="b">
        <v>1</v>
      </c>
      <c r="K1155">
        <v>6</v>
      </c>
      <c r="L1155">
        <v>1500</v>
      </c>
      <c r="M1155">
        <v>1</v>
      </c>
      <c r="N1155">
        <v>0.154</v>
      </c>
      <c r="O1155" t="s">
        <v>468</v>
      </c>
      <c r="P1155" t="s">
        <v>473</v>
      </c>
      <c r="Q1155" s="1">
        <v>-3.6883969079428099E-5</v>
      </c>
      <c r="R1155">
        <v>3.9516781639524202E-4</v>
      </c>
      <c r="S1155">
        <v>1.5250220289932901E-4</v>
      </c>
      <c r="T1155">
        <v>-2.08636879127802E-3</v>
      </c>
      <c r="U1155">
        <v>6.0006062722672802</v>
      </c>
      <c r="V1155" s="1">
        <v>9.9999999999990202E-15</v>
      </c>
      <c r="W1155">
        <v>0.73109060401590698</v>
      </c>
      <c r="X1155">
        <v>2.4999999999999898</v>
      </c>
      <c r="Y1155">
        <v>32.3950679443087</v>
      </c>
      <c r="Z1155">
        <v>0.499999999999999</v>
      </c>
      <c r="AA1155">
        <v>59.506918789014598</v>
      </c>
      <c r="AB1155" s="9">
        <f t="shared" si="161"/>
        <v>-0.38002525566708822</v>
      </c>
      <c r="AC1155" s="9">
        <f t="shared" si="162"/>
        <v>-0.41232634170000848</v>
      </c>
      <c r="AD1155" s="2">
        <f t="shared" si="163"/>
        <v>8.4997208872919838E-2</v>
      </c>
      <c r="AE1155" s="8">
        <f t="shared" si="164"/>
        <v>1.5810041182920426E-2</v>
      </c>
      <c r="AF1155" s="2">
        <f t="shared" si="165"/>
        <v>-1.1233032864124241E-2</v>
      </c>
      <c r="AG1155" s="8">
        <f t="shared" si="166"/>
        <v>2.7043074047044667E-2</v>
      </c>
      <c r="AH1155" s="7">
        <f t="shared" si="167"/>
        <v>-0.41537559097693683</v>
      </c>
      <c r="AI1155">
        <f t="shared" si="168"/>
        <v>6</v>
      </c>
      <c r="AJ1155" s="10">
        <f t="shared" si="169"/>
        <v>0.97355066569360804</v>
      </c>
    </row>
    <row r="1156" spans="1:36" hidden="1" x14ac:dyDescent="0.25">
      <c r="A1156" t="b">
        <v>0</v>
      </c>
      <c r="B1156">
        <v>1000</v>
      </c>
      <c r="C1156">
        <v>0.97355066569360804</v>
      </c>
      <c r="D1156" t="s">
        <v>52</v>
      </c>
      <c r="E1156" t="b">
        <v>1</v>
      </c>
      <c r="F1156" t="s">
        <v>53</v>
      </c>
      <c r="G1156">
        <v>7.4999999999999997E-2</v>
      </c>
      <c r="H1156">
        <v>0.5</v>
      </c>
      <c r="I1156">
        <v>1E-4</v>
      </c>
      <c r="J1156" t="b">
        <v>1</v>
      </c>
      <c r="K1156">
        <v>6</v>
      </c>
      <c r="L1156">
        <v>1500</v>
      </c>
      <c r="M1156">
        <v>1</v>
      </c>
      <c r="N1156">
        <v>0.154</v>
      </c>
      <c r="O1156" t="s">
        <v>468</v>
      </c>
      <c r="P1156" t="s">
        <v>474</v>
      </c>
      <c r="Q1156">
        <v>-2.9475099639198702E-4</v>
      </c>
      <c r="R1156">
        <v>3.1484341963039799E-3</v>
      </c>
      <c r="S1156">
        <v>1.21819435066585E-3</v>
      </c>
      <c r="T1156">
        <v>-1.6646457641675501E-2</v>
      </c>
      <c r="U1156">
        <v>5.9987858136243402</v>
      </c>
      <c r="V1156" s="1">
        <v>9.9999999999963002E-15</v>
      </c>
      <c r="W1156">
        <v>0.73394196975098602</v>
      </c>
      <c r="X1156">
        <v>2.4999999999999898</v>
      </c>
      <c r="Y1156">
        <v>32.228862959371803</v>
      </c>
      <c r="Z1156">
        <v>0.49999999999998801</v>
      </c>
      <c r="AA1156">
        <v>59.356920402822396</v>
      </c>
      <c r="AB1156" s="9">
        <f t="shared" si="161"/>
        <v>-0.37957949887463344</v>
      </c>
      <c r="AC1156" s="9">
        <f t="shared" si="162"/>
        <v>-0.41232634170000848</v>
      </c>
      <c r="AD1156" s="2">
        <f t="shared" si="163"/>
        <v>8.62713685076828E-2</v>
      </c>
      <c r="AE1156" s="8">
        <f t="shared" si="164"/>
        <v>1.5656743294511909E-2</v>
      </c>
      <c r="AF1156" s="2">
        <f t="shared" si="165"/>
        <v>-1.1386330752532758E-2</v>
      </c>
      <c r="AG1156" s="8">
        <f t="shared" si="166"/>
        <v>2.7043074047044667E-2</v>
      </c>
      <c r="AH1156" s="7">
        <f t="shared" si="167"/>
        <v>-0.42104424714161087</v>
      </c>
      <c r="AI1156">
        <f t="shared" si="168"/>
        <v>6</v>
      </c>
      <c r="AJ1156" s="10">
        <f t="shared" si="169"/>
        <v>0.97355066569360804</v>
      </c>
    </row>
    <row r="1157" spans="1:36" hidden="1" x14ac:dyDescent="0.25">
      <c r="A1157" t="b">
        <v>0</v>
      </c>
      <c r="B1157">
        <v>1000</v>
      </c>
      <c r="C1157">
        <v>0.97355066569360804</v>
      </c>
      <c r="D1157" t="s">
        <v>52</v>
      </c>
      <c r="E1157" t="b">
        <v>1</v>
      </c>
      <c r="F1157" t="s">
        <v>53</v>
      </c>
      <c r="G1157">
        <v>7.4999999999999997E-2</v>
      </c>
      <c r="H1157">
        <v>0.5</v>
      </c>
      <c r="I1157">
        <v>1E-4</v>
      </c>
      <c r="J1157" t="b">
        <v>1</v>
      </c>
      <c r="K1157">
        <v>6</v>
      </c>
      <c r="L1157">
        <v>1500</v>
      </c>
      <c r="M1157">
        <v>1</v>
      </c>
      <c r="N1157">
        <v>0.154</v>
      </c>
      <c r="O1157" t="s">
        <v>469</v>
      </c>
      <c r="P1157" t="s">
        <v>470</v>
      </c>
      <c r="Q1157" s="1">
        <v>-3.6882979256216301E-5</v>
      </c>
      <c r="R1157">
        <v>3.9638370160675299E-4</v>
      </c>
      <c r="S1157">
        <v>1.5252041920670601E-4</v>
      </c>
      <c r="T1157">
        <v>-2.08749537107367E-3</v>
      </c>
      <c r="U1157">
        <v>6.0042469277552799</v>
      </c>
      <c r="V1157" s="1">
        <v>9.9999999999990202E-15</v>
      </c>
      <c r="W1157">
        <v>0.733188546783203</v>
      </c>
      <c r="X1157">
        <v>2.4999999999999898</v>
      </c>
      <c r="Y1157">
        <v>32.492181988284997</v>
      </c>
      <c r="Z1157">
        <v>0.499999999999999</v>
      </c>
      <c r="AA1157">
        <v>59.693064081516297</v>
      </c>
      <c r="AB1157" s="9">
        <f t="shared" si="161"/>
        <v>-0.38018504559207666</v>
      </c>
      <c r="AC1157" s="9">
        <f t="shared" si="162"/>
        <v>-0.41232634170000848</v>
      </c>
      <c r="AD1157" s="2">
        <f t="shared" si="163"/>
        <v>8.4541189824752117E-2</v>
      </c>
      <c r="AE1157" s="8">
        <f t="shared" si="164"/>
        <v>1.5865004968842345E-2</v>
      </c>
      <c r="AF1157" s="2">
        <f t="shared" si="165"/>
        <v>-1.1178069078202322E-2</v>
      </c>
      <c r="AG1157" s="8">
        <f t="shared" si="166"/>
        <v>2.7043074047044667E-2</v>
      </c>
      <c r="AH1157" s="7">
        <f t="shared" si="167"/>
        <v>-0.41334313764613934</v>
      </c>
      <c r="AI1157">
        <f t="shared" si="168"/>
        <v>6</v>
      </c>
      <c r="AJ1157" s="10">
        <f t="shared" si="169"/>
        <v>0.97355066569360804</v>
      </c>
    </row>
    <row r="1158" spans="1:36" hidden="1" x14ac:dyDescent="0.25">
      <c r="A1158" t="b">
        <v>0</v>
      </c>
      <c r="B1158">
        <v>1000</v>
      </c>
      <c r="C1158">
        <v>0.97355066569360804</v>
      </c>
      <c r="D1158" t="s">
        <v>52</v>
      </c>
      <c r="E1158" t="b">
        <v>1</v>
      </c>
      <c r="F1158" t="s">
        <v>53</v>
      </c>
      <c r="G1158">
        <v>7.4999999999999997E-2</v>
      </c>
      <c r="H1158">
        <v>0.5</v>
      </c>
      <c r="I1158">
        <v>1E-4</v>
      </c>
      <c r="J1158" t="b">
        <v>1</v>
      </c>
      <c r="K1158">
        <v>6</v>
      </c>
      <c r="L1158">
        <v>1500</v>
      </c>
      <c r="M1158">
        <v>1</v>
      </c>
      <c r="N1158">
        <v>0.154</v>
      </c>
      <c r="O1158" t="s">
        <v>469</v>
      </c>
      <c r="P1158" t="s">
        <v>471</v>
      </c>
      <c r="Q1158">
        <v>-2.9474312196178099E-4</v>
      </c>
      <c r="R1158">
        <v>3.1054567541831499E-3</v>
      </c>
      <c r="S1158">
        <v>1.2183397209197899E-3</v>
      </c>
      <c r="T1158">
        <v>-1.6655444005797899E-2</v>
      </c>
      <c r="U1158">
        <v>6.0024265913084198</v>
      </c>
      <c r="V1158" s="1">
        <v>9.9999999999962908E-15</v>
      </c>
      <c r="W1158">
        <v>0.71785938915434799</v>
      </c>
      <c r="X1158">
        <v>2.4999999999999898</v>
      </c>
      <c r="Y1158">
        <v>31.912971169560901</v>
      </c>
      <c r="Z1158">
        <v>0.49999999999998801</v>
      </c>
      <c r="AA1158">
        <v>58.501552615791802</v>
      </c>
      <c r="AB1158" s="9">
        <f t="shared" si="161"/>
        <v>-0.37973909447357979</v>
      </c>
      <c r="AC1158" s="9">
        <f t="shared" si="162"/>
        <v>-0.41232634170000848</v>
      </c>
      <c r="AD1158" s="2">
        <f t="shared" si="163"/>
        <v>8.5814833659945799E-2</v>
      </c>
      <c r="AE1158" s="8">
        <f t="shared" si="164"/>
        <v>1.5711623665057507E-2</v>
      </c>
      <c r="AF1158" s="2">
        <f t="shared" si="165"/>
        <v>-1.1331450381987161E-2</v>
      </c>
      <c r="AG1158" s="8">
        <f t="shared" si="166"/>
        <v>2.7043074047044667E-2</v>
      </c>
      <c r="AH1158" s="7">
        <f t="shared" si="167"/>
        <v>-0.41901487834832479</v>
      </c>
      <c r="AI1158">
        <f t="shared" si="168"/>
        <v>6</v>
      </c>
      <c r="AJ1158" s="10">
        <f t="shared" si="169"/>
        <v>0.97355066569360804</v>
      </c>
    </row>
    <row r="1159" spans="1:36" hidden="1" x14ac:dyDescent="0.25">
      <c r="A1159" t="b">
        <v>0</v>
      </c>
      <c r="B1159">
        <v>1000</v>
      </c>
      <c r="C1159">
        <v>0.97355066569360804</v>
      </c>
      <c r="D1159" t="s">
        <v>52</v>
      </c>
      <c r="E1159" t="b">
        <v>1</v>
      </c>
      <c r="F1159" t="s">
        <v>53</v>
      </c>
      <c r="G1159">
        <v>7.4999999999999997E-2</v>
      </c>
      <c r="H1159">
        <v>0.5</v>
      </c>
      <c r="I1159">
        <v>1E-4</v>
      </c>
      <c r="J1159" t="b">
        <v>1</v>
      </c>
      <c r="K1159">
        <v>6</v>
      </c>
      <c r="L1159">
        <v>1500</v>
      </c>
      <c r="M1159">
        <v>1</v>
      </c>
      <c r="N1159">
        <v>0.154</v>
      </c>
      <c r="O1159" t="s">
        <v>469</v>
      </c>
      <c r="P1159" t="s">
        <v>472</v>
      </c>
      <c r="Q1159">
        <v>-2.5785915288421E-4</v>
      </c>
      <c r="R1159">
        <v>2.7242179331792402E-3</v>
      </c>
      <c r="S1159">
        <v>1.0658375180204599E-3</v>
      </c>
      <c r="T1159">
        <v>-1.45690752145203E-2</v>
      </c>
      <c r="U1159">
        <v>6.0026873609802101</v>
      </c>
      <c r="V1159" s="1">
        <v>9.9999999999966805E-15</v>
      </c>
      <c r="W1159">
        <v>0.71173309958008002</v>
      </c>
      <c r="X1159">
        <v>2.4999999999999898</v>
      </c>
      <c r="Y1159">
        <v>32.117147209984999</v>
      </c>
      <c r="Z1159">
        <v>0.49999999999999101</v>
      </c>
      <c r="AA1159">
        <v>58.610838276241303</v>
      </c>
      <c r="AB1159" s="9">
        <f t="shared" si="161"/>
        <v>-0.37969814994719148</v>
      </c>
      <c r="AC1159" s="9">
        <f t="shared" si="162"/>
        <v>-0.41232634170000848</v>
      </c>
      <c r="AD1159" s="2">
        <f t="shared" si="163"/>
        <v>8.5931921863077187E-2</v>
      </c>
      <c r="AE1159" s="8">
        <f t="shared" si="164"/>
        <v>1.5697543445668212E-2</v>
      </c>
      <c r="AF1159" s="2">
        <f t="shared" si="165"/>
        <v>-1.1345530601376455E-2</v>
      </c>
      <c r="AG1159" s="8">
        <f t="shared" si="166"/>
        <v>2.7043074047044667E-2</v>
      </c>
      <c r="AH1159" s="7">
        <f t="shared" si="167"/>
        <v>-0.41953553732980003</v>
      </c>
      <c r="AI1159">
        <f t="shared" si="168"/>
        <v>6</v>
      </c>
      <c r="AJ1159" s="10">
        <f t="shared" si="169"/>
        <v>0.97355066569360804</v>
      </c>
    </row>
    <row r="1160" spans="1:36" hidden="1" x14ac:dyDescent="0.25">
      <c r="A1160" t="b">
        <v>0</v>
      </c>
      <c r="B1160">
        <v>1000</v>
      </c>
      <c r="C1160">
        <v>0.97355066569360804</v>
      </c>
      <c r="D1160" t="s">
        <v>52</v>
      </c>
      <c r="E1160" t="b">
        <v>1</v>
      </c>
      <c r="F1160" t="s">
        <v>53</v>
      </c>
      <c r="G1160">
        <v>7.4999999999999997E-2</v>
      </c>
      <c r="H1160">
        <v>0.5</v>
      </c>
      <c r="I1160">
        <v>1E-4</v>
      </c>
      <c r="J1160" t="b">
        <v>1</v>
      </c>
      <c r="K1160">
        <v>6</v>
      </c>
      <c r="L1160">
        <v>1500</v>
      </c>
      <c r="M1160">
        <v>1</v>
      </c>
      <c r="N1160">
        <v>0.154</v>
      </c>
      <c r="O1160" t="s">
        <v>469</v>
      </c>
      <c r="P1160" t="s">
        <v>473</v>
      </c>
      <c r="Q1160">
        <v>-2.9474312196178099E-4</v>
      </c>
      <c r="R1160">
        <v>3.1967518346689601E-3</v>
      </c>
      <c r="S1160">
        <v>1.2183397209197899E-3</v>
      </c>
      <c r="T1160">
        <v>-1.6655444005797999E-2</v>
      </c>
      <c r="U1160">
        <v>6.0024265913385397</v>
      </c>
      <c r="V1160" s="1">
        <v>9.9999999999962797E-15</v>
      </c>
      <c r="W1160">
        <v>0.74322236325041602</v>
      </c>
      <c r="X1160">
        <v>2.4999999999999898</v>
      </c>
      <c r="Y1160">
        <v>32.726499798066698</v>
      </c>
      <c r="Z1160">
        <v>0.49999999999998801</v>
      </c>
      <c r="AA1160">
        <v>60.264058466250397</v>
      </c>
      <c r="AB1160" s="9">
        <f t="shared" si="161"/>
        <v>-0.37973909447358212</v>
      </c>
      <c r="AC1160" s="9">
        <f t="shared" si="162"/>
        <v>-0.41232634170000848</v>
      </c>
      <c r="AD1160" s="2">
        <f t="shared" si="163"/>
        <v>8.5814833659939138E-2</v>
      </c>
      <c r="AE1160" s="8">
        <f t="shared" si="164"/>
        <v>1.5711623665058322E-2</v>
      </c>
      <c r="AF1160" s="2">
        <f t="shared" si="165"/>
        <v>-1.1331450381986345E-2</v>
      </c>
      <c r="AG1160" s="8">
        <f t="shared" si="166"/>
        <v>2.7043074047044667E-2</v>
      </c>
      <c r="AH1160" s="7">
        <f t="shared" si="167"/>
        <v>-0.41901487834829465</v>
      </c>
      <c r="AI1160">
        <f t="shared" si="168"/>
        <v>6</v>
      </c>
      <c r="AJ1160" s="10">
        <f t="shared" si="169"/>
        <v>0.97355066569360804</v>
      </c>
    </row>
    <row r="1161" spans="1:36" hidden="1" x14ac:dyDescent="0.25">
      <c r="A1161" t="b">
        <v>0</v>
      </c>
      <c r="B1161">
        <v>1000</v>
      </c>
      <c r="C1161">
        <v>0.97355066569360804</v>
      </c>
      <c r="D1161" t="s">
        <v>52</v>
      </c>
      <c r="E1161" t="b">
        <v>1</v>
      </c>
      <c r="F1161" t="s">
        <v>53</v>
      </c>
      <c r="G1161">
        <v>7.4999999999999997E-2</v>
      </c>
      <c r="H1161">
        <v>0.5</v>
      </c>
      <c r="I1161">
        <v>1E-4</v>
      </c>
      <c r="J1161" t="b">
        <v>1</v>
      </c>
      <c r="K1161">
        <v>6</v>
      </c>
      <c r="L1161">
        <v>1500</v>
      </c>
      <c r="M1161">
        <v>1</v>
      </c>
      <c r="N1161">
        <v>0.154</v>
      </c>
      <c r="O1161" t="s">
        <v>469</v>
      </c>
      <c r="P1161" t="s">
        <v>474</v>
      </c>
      <c r="Q1161">
        <v>-5.5261014926007504E-4</v>
      </c>
      <c r="R1161">
        <v>5.7980684417814196E-3</v>
      </c>
      <c r="S1161">
        <v>2.2840318686863101E-3</v>
      </c>
      <c r="T1161">
        <v>-3.1215532856195501E-2</v>
      </c>
      <c r="U1161">
        <v>6.0006061326956104</v>
      </c>
      <c r="V1161" s="1">
        <v>9.9999999999927204E-15</v>
      </c>
      <c r="W1161">
        <v>0.71093915237135596</v>
      </c>
      <c r="X1161">
        <v>2.4999999999999498</v>
      </c>
      <c r="Y1161">
        <v>31.839147889395299</v>
      </c>
      <c r="Z1161">
        <v>0.49999999999994299</v>
      </c>
      <c r="AA1161">
        <v>58.233225915538902</v>
      </c>
      <c r="AB1161" s="9">
        <f t="shared" si="161"/>
        <v>-0.37963486708836597</v>
      </c>
      <c r="AC1161" s="9">
        <f t="shared" si="162"/>
        <v>-0.41232634170000848</v>
      </c>
      <c r="AD1161" s="2">
        <f t="shared" si="163"/>
        <v>8.6112940211134692E-2</v>
      </c>
      <c r="AE1161" s="8">
        <f t="shared" si="164"/>
        <v>1.5675782170783227E-2</v>
      </c>
      <c r="AF1161" s="2">
        <f t="shared" si="165"/>
        <v>-1.136729187626144E-2</v>
      </c>
      <c r="AG1161" s="8">
        <f t="shared" si="166"/>
        <v>2.7043074047044667E-2</v>
      </c>
      <c r="AH1161" s="7">
        <f t="shared" si="167"/>
        <v>-0.42034022672447202</v>
      </c>
      <c r="AI1161">
        <f t="shared" si="168"/>
        <v>6</v>
      </c>
      <c r="AJ1161" s="10">
        <f t="shared" si="169"/>
        <v>0.97355066569360804</v>
      </c>
    </row>
    <row r="1162" spans="1:36" hidden="1" x14ac:dyDescent="0.25">
      <c r="A1162" t="b">
        <v>0</v>
      </c>
      <c r="B1162">
        <v>1000</v>
      </c>
      <c r="C1162">
        <v>0.97355066569360804</v>
      </c>
      <c r="D1162" t="s">
        <v>52</v>
      </c>
      <c r="E1162" t="b">
        <v>1</v>
      </c>
      <c r="F1162" t="s">
        <v>53</v>
      </c>
      <c r="G1162">
        <v>7.4999999999999997E-2</v>
      </c>
      <c r="H1162">
        <v>0.5</v>
      </c>
      <c r="I1162">
        <v>1E-4</v>
      </c>
      <c r="J1162" t="b">
        <v>1</v>
      </c>
      <c r="K1162">
        <v>6</v>
      </c>
      <c r="L1162">
        <v>1500</v>
      </c>
      <c r="M1162">
        <v>1</v>
      </c>
      <c r="N1162">
        <v>0.154</v>
      </c>
      <c r="O1162" t="s">
        <v>470</v>
      </c>
      <c r="P1162" t="s">
        <v>471</v>
      </c>
      <c r="Q1162">
        <v>-2.5786014270742498E-4</v>
      </c>
      <c r="R1162">
        <v>2.7296772356738002E-3</v>
      </c>
      <c r="S1162">
        <v>1.0658193017130801E-3</v>
      </c>
      <c r="T1162">
        <v>-1.4567948634724E-2</v>
      </c>
      <c r="U1162">
        <v>6.0021658389642099</v>
      </c>
      <c r="V1162" s="1">
        <v>9.9999999999966805E-15</v>
      </c>
      <c r="W1162">
        <v>0.71207475006880405</v>
      </c>
      <c r="X1162">
        <v>2.4999999999999898</v>
      </c>
      <c r="Y1162">
        <v>32.193364082193497</v>
      </c>
      <c r="Z1162">
        <v>0.49999999999999101</v>
      </c>
      <c r="AA1162">
        <v>58.722423266362703</v>
      </c>
      <c r="AB1162" s="9">
        <f t="shared" si="161"/>
        <v>-0.37967527816678709</v>
      </c>
      <c r="AC1162" s="9">
        <f t="shared" si="162"/>
        <v>-0.41232634170000848</v>
      </c>
      <c r="AD1162" s="2">
        <f t="shared" si="163"/>
        <v>8.5997338807185075E-2</v>
      </c>
      <c r="AE1162" s="8">
        <f t="shared" si="164"/>
        <v>1.568967834729287E-2</v>
      </c>
      <c r="AF1162" s="2">
        <f t="shared" si="165"/>
        <v>-1.1353395699751797E-2</v>
      </c>
      <c r="AG1162" s="8">
        <f t="shared" si="166"/>
        <v>2.7043074047044667E-2</v>
      </c>
      <c r="AH1162" s="7">
        <f t="shared" si="167"/>
        <v>-0.41982637328882083</v>
      </c>
      <c r="AI1162">
        <f t="shared" si="168"/>
        <v>6</v>
      </c>
      <c r="AJ1162" s="10">
        <f t="shared" si="169"/>
        <v>0.97355066569360804</v>
      </c>
    </row>
    <row r="1163" spans="1:36" hidden="1" x14ac:dyDescent="0.25">
      <c r="A1163" t="b">
        <v>0</v>
      </c>
      <c r="B1163">
        <v>1000</v>
      </c>
      <c r="C1163">
        <v>0.97355066569360804</v>
      </c>
      <c r="D1163" t="s">
        <v>52</v>
      </c>
      <c r="E1163" t="b">
        <v>1</v>
      </c>
      <c r="F1163" t="s">
        <v>53</v>
      </c>
      <c r="G1163">
        <v>7.4999999999999997E-2</v>
      </c>
      <c r="H1163">
        <v>0.5</v>
      </c>
      <c r="I1163">
        <v>1E-4</v>
      </c>
      <c r="J1163" t="b">
        <v>1</v>
      </c>
      <c r="K1163">
        <v>6</v>
      </c>
      <c r="L1163">
        <v>1500</v>
      </c>
      <c r="M1163">
        <v>1</v>
      </c>
      <c r="N1163">
        <v>0.154</v>
      </c>
      <c r="O1163" t="s">
        <v>470</v>
      </c>
      <c r="P1163" t="s">
        <v>472</v>
      </c>
      <c r="Q1163">
        <v>-2.2097617362957299E-4</v>
      </c>
      <c r="R1163">
        <v>2.2541537360867099E-3</v>
      </c>
      <c r="S1163">
        <v>9.1331709881374795E-4</v>
      </c>
      <c r="T1163">
        <v>-1.2481579843446101E-2</v>
      </c>
      <c r="U1163">
        <v>6.0024266086360001</v>
      </c>
      <c r="V1163" s="1">
        <v>9.9999999999970607E-15</v>
      </c>
      <c r="W1163">
        <v>0.67765543036119802</v>
      </c>
      <c r="X1163">
        <v>2.4999999999999898</v>
      </c>
      <c r="Y1163">
        <v>31.221807328700098</v>
      </c>
      <c r="Z1163">
        <v>0.499999999999994</v>
      </c>
      <c r="AA1163">
        <v>56.513878689748701</v>
      </c>
      <c r="AB1163" s="9">
        <f t="shared" si="161"/>
        <v>-0.37961684025970543</v>
      </c>
      <c r="AC1163" s="9">
        <f t="shared" si="162"/>
        <v>-0.41232634170000848</v>
      </c>
      <c r="AD1163" s="2">
        <f t="shared" si="163"/>
        <v>8.6164516352661424E-2</v>
      </c>
      <c r="AE1163" s="8">
        <f t="shared" si="164"/>
        <v>1.5669583399390397E-2</v>
      </c>
      <c r="AF1163" s="2">
        <f t="shared" si="165"/>
        <v>-1.137349064765427E-2</v>
      </c>
      <c r="AG1163" s="8">
        <f t="shared" si="166"/>
        <v>2.7043074047044667E-2</v>
      </c>
      <c r="AH1163" s="7">
        <f t="shared" si="167"/>
        <v>-0.42056944516990641</v>
      </c>
      <c r="AI1163">
        <f t="shared" si="168"/>
        <v>6</v>
      </c>
      <c r="AJ1163" s="10">
        <f t="shared" si="169"/>
        <v>0.97355066569360804</v>
      </c>
    </row>
    <row r="1164" spans="1:36" hidden="1" x14ac:dyDescent="0.25">
      <c r="A1164" t="b">
        <v>0</v>
      </c>
      <c r="B1164">
        <v>1000</v>
      </c>
      <c r="C1164">
        <v>0.97355066569360804</v>
      </c>
      <c r="D1164" t="s">
        <v>52</v>
      </c>
      <c r="E1164" t="b">
        <v>1</v>
      </c>
      <c r="F1164" t="s">
        <v>53</v>
      </c>
      <c r="G1164">
        <v>7.4999999999999997E-2</v>
      </c>
      <c r="H1164">
        <v>0.5</v>
      </c>
      <c r="I1164">
        <v>1E-4</v>
      </c>
      <c r="J1164" t="b">
        <v>1</v>
      </c>
      <c r="K1164">
        <v>6</v>
      </c>
      <c r="L1164">
        <v>1500</v>
      </c>
      <c r="M1164">
        <v>1</v>
      </c>
      <c r="N1164">
        <v>0.154</v>
      </c>
      <c r="O1164" t="s">
        <v>470</v>
      </c>
      <c r="P1164" t="s">
        <v>473</v>
      </c>
      <c r="Q1164">
        <v>-2.5786014270742498E-4</v>
      </c>
      <c r="R1164">
        <v>2.73267613958194E-3</v>
      </c>
      <c r="S1164">
        <v>1.0658193017130701E-3</v>
      </c>
      <c r="T1164">
        <v>-1.4567948634724E-2</v>
      </c>
      <c r="U1164">
        <v>6.0021658389943298</v>
      </c>
      <c r="V1164" s="1">
        <v>9.9999999999966805E-15</v>
      </c>
      <c r="W1164">
        <v>0.70966442277554198</v>
      </c>
      <c r="X1164">
        <v>2.4999999999999898</v>
      </c>
      <c r="Y1164">
        <v>32.2738488107004</v>
      </c>
      <c r="Z1164">
        <v>0.49999999999999101</v>
      </c>
      <c r="AA1164">
        <v>58.768392628118796</v>
      </c>
      <c r="AB1164" s="9">
        <f t="shared" si="161"/>
        <v>-0.37967527816679064</v>
      </c>
      <c r="AC1164" s="9">
        <f t="shared" si="162"/>
        <v>-0.41232634170000848</v>
      </c>
      <c r="AD1164" s="2">
        <f t="shared" si="163"/>
        <v>8.5997338807174861E-2</v>
      </c>
      <c r="AE1164" s="8">
        <f t="shared" si="164"/>
        <v>1.5689678347294091E-2</v>
      </c>
      <c r="AF1164" s="2">
        <f t="shared" si="165"/>
        <v>-1.1353395699750576E-2</v>
      </c>
      <c r="AG1164" s="8">
        <f t="shared" si="166"/>
        <v>2.7043074047044667E-2</v>
      </c>
      <c r="AH1164" s="7">
        <f t="shared" si="167"/>
        <v>-0.41982637328877564</v>
      </c>
      <c r="AI1164">
        <f t="shared" si="168"/>
        <v>6</v>
      </c>
      <c r="AJ1164" s="10">
        <f t="shared" si="169"/>
        <v>0.97355066569360804</v>
      </c>
    </row>
    <row r="1165" spans="1:36" hidden="1" x14ac:dyDescent="0.25">
      <c r="A1165" t="b">
        <v>0</v>
      </c>
      <c r="B1165">
        <v>1000</v>
      </c>
      <c r="C1165">
        <v>0.97355066569360804</v>
      </c>
      <c r="D1165" t="s">
        <v>52</v>
      </c>
      <c r="E1165" t="b">
        <v>1</v>
      </c>
      <c r="F1165" t="s">
        <v>53</v>
      </c>
      <c r="G1165">
        <v>7.4999999999999997E-2</v>
      </c>
      <c r="H1165">
        <v>0.5</v>
      </c>
      <c r="I1165">
        <v>1E-4</v>
      </c>
      <c r="J1165" t="b">
        <v>1</v>
      </c>
      <c r="K1165">
        <v>6</v>
      </c>
      <c r="L1165">
        <v>1500</v>
      </c>
      <c r="M1165">
        <v>1</v>
      </c>
      <c r="N1165">
        <v>0.154</v>
      </c>
      <c r="O1165" t="s">
        <v>470</v>
      </c>
      <c r="P1165" t="s">
        <v>474</v>
      </c>
      <c r="Q1165">
        <v>-5.1572717000801505E-4</v>
      </c>
      <c r="R1165">
        <v>5.3962956467685803E-3</v>
      </c>
      <c r="S1165">
        <v>2.1315114494795998E-3</v>
      </c>
      <c r="T1165">
        <v>-2.9128037485121699E-2</v>
      </c>
      <c r="U1165">
        <v>6.0003453803514004</v>
      </c>
      <c r="V1165" s="1">
        <v>9.9999999999933404E-15</v>
      </c>
      <c r="W1165">
        <v>0.70098130216624599</v>
      </c>
      <c r="X1165">
        <v>2.49999999999996</v>
      </c>
      <c r="Y1165">
        <v>31.886576486016398</v>
      </c>
      <c r="Z1165">
        <v>0.49999999999995298</v>
      </c>
      <c r="AA1165">
        <v>58.019048356225397</v>
      </c>
      <c r="AB1165" s="9">
        <f t="shared" si="161"/>
        <v>-0.37959549903521894</v>
      </c>
      <c r="AC1165" s="9">
        <f t="shared" si="162"/>
        <v>-0.41232634170000848</v>
      </c>
      <c r="AD1165" s="2">
        <f t="shared" si="163"/>
        <v>8.6225581567690668E-2</v>
      </c>
      <c r="AE1165" s="8">
        <f t="shared" si="164"/>
        <v>1.5662245025506359E-2</v>
      </c>
      <c r="AF1165" s="2">
        <f t="shared" si="165"/>
        <v>-1.1380829021538308E-2</v>
      </c>
      <c r="AG1165" s="8">
        <f t="shared" si="166"/>
        <v>2.7043074047044667E-2</v>
      </c>
      <c r="AH1165" s="7">
        <f t="shared" si="167"/>
        <v>-0.42084080388716139</v>
      </c>
      <c r="AI1165">
        <f t="shared" si="168"/>
        <v>6</v>
      </c>
      <c r="AJ1165" s="10">
        <f t="shared" si="169"/>
        <v>0.97355066569360804</v>
      </c>
    </row>
    <row r="1166" spans="1:36" hidden="1" x14ac:dyDescent="0.25">
      <c r="A1166" t="b">
        <v>0</v>
      </c>
      <c r="B1166">
        <v>1000</v>
      </c>
      <c r="C1166">
        <v>0.97355066569360804</v>
      </c>
      <c r="D1166" t="s">
        <v>52</v>
      </c>
      <c r="E1166" t="b">
        <v>1</v>
      </c>
      <c r="F1166" t="s">
        <v>53</v>
      </c>
      <c r="G1166">
        <v>7.4999999999999997E-2</v>
      </c>
      <c r="H1166">
        <v>0.5</v>
      </c>
      <c r="I1166">
        <v>1E-4</v>
      </c>
      <c r="J1166" t="b">
        <v>1</v>
      </c>
      <c r="K1166">
        <v>6</v>
      </c>
      <c r="L1166">
        <v>1500</v>
      </c>
      <c r="M1166">
        <v>1</v>
      </c>
      <c r="N1166">
        <v>0.154</v>
      </c>
      <c r="O1166" t="s">
        <v>471</v>
      </c>
      <c r="P1166" t="s">
        <v>474</v>
      </c>
      <c r="Q1166">
        <v>-2.57867027314415E-4</v>
      </c>
      <c r="R1166">
        <v>2.7009762204377699E-3</v>
      </c>
      <c r="S1166">
        <v>1.06569214776652E-3</v>
      </c>
      <c r="T1166">
        <v>-1.4560088850397499E-2</v>
      </c>
      <c r="U1166">
        <v>5.9985250439045297</v>
      </c>
      <c r="V1166" s="1">
        <v>9.9999999999966899E-15</v>
      </c>
      <c r="W1166">
        <v>0.70747999106820403</v>
      </c>
      <c r="X1166">
        <v>2.4999999999999898</v>
      </c>
      <c r="Y1166">
        <v>31.825205910472199</v>
      </c>
      <c r="Z1166">
        <v>0.49999999999999101</v>
      </c>
      <c r="AA1166">
        <v>58.118349177375102</v>
      </c>
      <c r="AB1166" s="9">
        <f t="shared" si="161"/>
        <v>-0.37951571038473203</v>
      </c>
      <c r="AC1166" s="9">
        <f t="shared" si="162"/>
        <v>-0.41232634170000848</v>
      </c>
      <c r="AD1166" s="2">
        <f t="shared" si="163"/>
        <v>8.645394753754676E-2</v>
      </c>
      <c r="AE1166" s="8">
        <f t="shared" si="164"/>
        <v>1.5634809912637021E-2</v>
      </c>
      <c r="AF1166" s="2">
        <f t="shared" si="165"/>
        <v>-1.1408264134407646E-2</v>
      </c>
      <c r="AG1166" s="8">
        <f t="shared" si="166"/>
        <v>2.7043074047044667E-2</v>
      </c>
      <c r="AH1166" s="7">
        <f t="shared" si="167"/>
        <v>-0.42185530071624266</v>
      </c>
      <c r="AI1166">
        <f t="shared" si="168"/>
        <v>6</v>
      </c>
      <c r="AJ1166" s="10">
        <f t="shared" si="169"/>
        <v>0.97355066569360804</v>
      </c>
    </row>
    <row r="1167" spans="1:36" hidden="1" x14ac:dyDescent="0.25">
      <c r="A1167" t="b">
        <v>0</v>
      </c>
      <c r="B1167">
        <v>1000</v>
      </c>
      <c r="C1167">
        <v>0.97355066569360804</v>
      </c>
      <c r="D1167" t="s">
        <v>52</v>
      </c>
      <c r="E1167" t="b">
        <v>1</v>
      </c>
      <c r="F1167" t="s">
        <v>53</v>
      </c>
      <c r="G1167">
        <v>7.4999999999999997E-2</v>
      </c>
      <c r="H1167">
        <v>0.5</v>
      </c>
      <c r="I1167">
        <v>1E-4</v>
      </c>
      <c r="J1167" t="b">
        <v>1</v>
      </c>
      <c r="K1167">
        <v>6</v>
      </c>
      <c r="L1167">
        <v>1500</v>
      </c>
      <c r="M1167">
        <v>1</v>
      </c>
      <c r="N1167">
        <v>0.154</v>
      </c>
      <c r="O1167" t="s">
        <v>472</v>
      </c>
      <c r="P1167" t="s">
        <v>473</v>
      </c>
      <c r="Q1167" s="1">
        <v>-3.6883969079428702E-5</v>
      </c>
      <c r="R1167">
        <v>3.9948901186219102E-4</v>
      </c>
      <c r="S1167">
        <v>1.5250220289932901E-4</v>
      </c>
      <c r="T1167">
        <v>-2.0863687912779502E-3</v>
      </c>
      <c r="U1167">
        <v>6.0006062722192599</v>
      </c>
      <c r="V1167" s="1">
        <v>9.9999999999990202E-15</v>
      </c>
      <c r="W1167">
        <v>0.73740099689944605</v>
      </c>
      <c r="X1167">
        <v>2.4999999999999898</v>
      </c>
      <c r="Y1167">
        <v>32.751838081637899</v>
      </c>
      <c r="Z1167">
        <v>0.499999999999999</v>
      </c>
      <c r="AA1167">
        <v>60.153585443767497</v>
      </c>
      <c r="AB1167" s="9">
        <f t="shared" si="161"/>
        <v>-0.38002525566707551</v>
      </c>
      <c r="AC1167" s="9">
        <f t="shared" si="162"/>
        <v>-0.41232634170000848</v>
      </c>
      <c r="AD1167" s="2">
        <f t="shared" si="163"/>
        <v>8.4997208872956032E-2</v>
      </c>
      <c r="AE1167" s="8">
        <f t="shared" si="164"/>
        <v>1.5810041182916047E-2</v>
      </c>
      <c r="AF1167" s="2">
        <f t="shared" si="165"/>
        <v>-1.123303286412862E-2</v>
      </c>
      <c r="AG1167" s="8">
        <f t="shared" si="166"/>
        <v>2.7043074047044667E-2</v>
      </c>
      <c r="AH1167" s="7">
        <f t="shared" si="167"/>
        <v>-0.41537559097709875</v>
      </c>
      <c r="AI1167">
        <f t="shared" si="168"/>
        <v>6</v>
      </c>
      <c r="AJ1167" s="10">
        <f t="shared" si="169"/>
        <v>0.97355066569360804</v>
      </c>
    </row>
    <row r="1168" spans="1:36" hidden="1" x14ac:dyDescent="0.25">
      <c r="A1168" t="b">
        <v>0</v>
      </c>
      <c r="B1168">
        <v>1000</v>
      </c>
      <c r="C1168">
        <v>0.97355066569360804</v>
      </c>
      <c r="D1168" t="s">
        <v>52</v>
      </c>
      <c r="E1168" t="b">
        <v>1</v>
      </c>
      <c r="F1168" t="s">
        <v>53</v>
      </c>
      <c r="G1168">
        <v>7.4999999999999997E-2</v>
      </c>
      <c r="H1168">
        <v>0.5</v>
      </c>
      <c r="I1168">
        <v>1E-4</v>
      </c>
      <c r="J1168" t="b">
        <v>1</v>
      </c>
      <c r="K1168">
        <v>6</v>
      </c>
      <c r="L1168">
        <v>1500</v>
      </c>
      <c r="M1168">
        <v>1</v>
      </c>
      <c r="N1168">
        <v>0.154</v>
      </c>
      <c r="O1168" t="s">
        <v>472</v>
      </c>
      <c r="P1168" t="s">
        <v>474</v>
      </c>
      <c r="Q1168">
        <v>-2.94750996391988E-4</v>
      </c>
      <c r="R1168">
        <v>3.2181100552013098E-3</v>
      </c>
      <c r="S1168">
        <v>1.21819435066585E-3</v>
      </c>
      <c r="T1168">
        <v>-1.66464576416754E-2</v>
      </c>
      <c r="U1168">
        <v>5.9987858135763199</v>
      </c>
      <c r="V1168" s="1">
        <v>9.9999999999963002E-15</v>
      </c>
      <c r="W1168">
        <v>0.74024415113622</v>
      </c>
      <c r="X1168">
        <v>2.4999999999999898</v>
      </c>
      <c r="Y1168">
        <v>33.049597043591099</v>
      </c>
      <c r="Z1168">
        <v>0.49999999999998801</v>
      </c>
      <c r="AA1168">
        <v>60.619740341492303</v>
      </c>
      <c r="AB1168" s="9">
        <f t="shared" si="161"/>
        <v>-0.37957949887463116</v>
      </c>
      <c r="AC1168" s="9">
        <f t="shared" si="162"/>
        <v>-0.41232634170000848</v>
      </c>
      <c r="AD1168" s="2">
        <f t="shared" si="163"/>
        <v>8.6271368507689239E-2</v>
      </c>
      <c r="AE1168" s="8">
        <f t="shared" si="164"/>
        <v>1.5656743294511145E-2</v>
      </c>
      <c r="AF1168" s="2">
        <f t="shared" si="165"/>
        <v>-1.1386330752533522E-2</v>
      </c>
      <c r="AG1168" s="8">
        <f t="shared" si="166"/>
        <v>2.7043074047044667E-2</v>
      </c>
      <c r="AH1168" s="7">
        <f t="shared" si="167"/>
        <v>-0.42104424714163913</v>
      </c>
      <c r="AI1168">
        <f t="shared" si="168"/>
        <v>6</v>
      </c>
      <c r="AJ1168" s="10">
        <f t="shared" si="169"/>
        <v>0.97355066569360804</v>
      </c>
    </row>
    <row r="1169" spans="1:36" hidden="1" x14ac:dyDescent="0.25">
      <c r="A1169" t="b">
        <v>0</v>
      </c>
      <c r="B1169">
        <v>1000</v>
      </c>
      <c r="C1169">
        <v>0.97355066569360804</v>
      </c>
      <c r="D1169" t="s">
        <v>52</v>
      </c>
      <c r="E1169" t="b">
        <v>1</v>
      </c>
      <c r="F1169" t="s">
        <v>53</v>
      </c>
      <c r="G1169">
        <v>7.4999999999999997E-2</v>
      </c>
      <c r="H1169">
        <v>0.5</v>
      </c>
      <c r="I1169">
        <v>1E-4</v>
      </c>
      <c r="J1169" t="b">
        <v>1</v>
      </c>
      <c r="K1169">
        <v>6</v>
      </c>
      <c r="L1169">
        <v>1500</v>
      </c>
      <c r="M1169">
        <v>1</v>
      </c>
      <c r="N1169">
        <v>0.154</v>
      </c>
      <c r="O1169" t="s">
        <v>473</v>
      </c>
      <c r="P1169" t="s">
        <v>474</v>
      </c>
      <c r="Q1169">
        <v>-2.5786702731441598E-4</v>
      </c>
      <c r="R1169">
        <v>2.7368488612814499E-3</v>
      </c>
      <c r="S1169">
        <v>1.06569214776652E-3</v>
      </c>
      <c r="T1169">
        <v>-1.45600888503976E-2</v>
      </c>
      <c r="U1169">
        <v>5.9985250439346496</v>
      </c>
      <c r="V1169" s="1">
        <v>9.9999999999966899E-15</v>
      </c>
      <c r="W1169">
        <v>0.70969581923692104</v>
      </c>
      <c r="X1169">
        <v>2.4999999999999898</v>
      </c>
      <c r="Y1169">
        <v>32.328353977893798</v>
      </c>
      <c r="Z1169">
        <v>0.49999999999999101</v>
      </c>
      <c r="AA1169">
        <v>58.853784923910403</v>
      </c>
      <c r="AB1169" s="9">
        <f t="shared" si="161"/>
        <v>-0.37951571038473464</v>
      </c>
      <c r="AC1169" s="9">
        <f t="shared" si="162"/>
        <v>-0.41232634170000848</v>
      </c>
      <c r="AD1169" s="2">
        <f t="shared" si="163"/>
        <v>8.6453947537539433E-2</v>
      </c>
      <c r="AE1169" s="8">
        <f t="shared" si="164"/>
        <v>1.5634809912637913E-2</v>
      </c>
      <c r="AF1169" s="2">
        <f t="shared" si="165"/>
        <v>-1.1408264134406754E-2</v>
      </c>
      <c r="AG1169" s="8">
        <f t="shared" si="166"/>
        <v>2.7043074047044667E-2</v>
      </c>
      <c r="AH1169" s="7">
        <f t="shared" si="167"/>
        <v>-0.42185530071620969</v>
      </c>
      <c r="AI1169">
        <f t="shared" si="168"/>
        <v>6</v>
      </c>
      <c r="AJ1169" s="10">
        <f t="shared" si="169"/>
        <v>0.97355066569360804</v>
      </c>
    </row>
    <row r="1170" spans="1:36" hidden="1" x14ac:dyDescent="0.25">
      <c r="A1170" t="b">
        <v>0</v>
      </c>
      <c r="B1170">
        <v>1000</v>
      </c>
      <c r="C1170">
        <v>0.97355066569360804</v>
      </c>
      <c r="D1170" t="s">
        <v>52</v>
      </c>
      <c r="E1170" t="b">
        <v>1</v>
      </c>
      <c r="F1170" t="s">
        <v>53</v>
      </c>
      <c r="G1170">
        <v>7.4999999999999997E-2</v>
      </c>
      <c r="H1170">
        <v>0.5</v>
      </c>
      <c r="I1170">
        <v>1E-4</v>
      </c>
      <c r="J1170" t="b">
        <v>1</v>
      </c>
      <c r="K1170">
        <v>8</v>
      </c>
      <c r="L1170">
        <v>1500</v>
      </c>
      <c r="M1170">
        <v>1</v>
      </c>
      <c r="N1170">
        <v>0.154</v>
      </c>
      <c r="O1170" t="s">
        <v>475</v>
      </c>
      <c r="P1170" t="s">
        <v>476</v>
      </c>
      <c r="Q1170" s="1">
        <v>-5.0284976366324197E-5</v>
      </c>
      <c r="R1170">
        <v>1.1066528072892099E-3</v>
      </c>
      <c r="S1170">
        <v>2.6646244000664898E-4</v>
      </c>
      <c r="T1170">
        <v>-5.94819405409864E-3</v>
      </c>
      <c r="U1170">
        <v>7.9590051110597404</v>
      </c>
      <c r="V1170" s="1">
        <v>9.9999999996972793E-15</v>
      </c>
      <c r="W1170">
        <v>1.4623776697142901</v>
      </c>
      <c r="X1170">
        <v>2.4999999999999298</v>
      </c>
      <c r="Y1170">
        <v>67.656051786084603</v>
      </c>
      <c r="Z1170">
        <v>0.49999999991289001</v>
      </c>
      <c r="AA1170">
        <v>121.84957317617</v>
      </c>
      <c r="AB1170" s="9">
        <f t="shared" si="161"/>
        <v>-0.34879411932493048</v>
      </c>
      <c r="AC1170" s="9">
        <f t="shared" si="162"/>
        <v>-0.37828473228193571</v>
      </c>
      <c r="AD1170" s="2">
        <f t="shared" si="163"/>
        <v>8.4550201173352546E-2</v>
      </c>
      <c r="AE1170" s="8">
        <f t="shared" si="164"/>
        <v>5.1802924615731464E-3</v>
      </c>
      <c r="AF1170" s="2">
        <f t="shared" si="165"/>
        <v>-1.003143668988948E-2</v>
      </c>
      <c r="AG1170" s="8">
        <f t="shared" si="166"/>
        <v>1.5211729151462626E-2</v>
      </c>
      <c r="AH1170" s="7">
        <f t="shared" si="167"/>
        <v>-0.65945406929132355</v>
      </c>
      <c r="AI1170">
        <f t="shared" si="168"/>
        <v>8</v>
      </c>
      <c r="AJ1170" s="10">
        <f t="shared" si="169"/>
        <v>0.97355066569360804</v>
      </c>
    </row>
    <row r="1171" spans="1:36" hidden="1" x14ac:dyDescent="0.25">
      <c r="A1171" t="b">
        <v>0</v>
      </c>
      <c r="B1171">
        <v>1000</v>
      </c>
      <c r="C1171">
        <v>0.97355066569360804</v>
      </c>
      <c r="D1171" t="s">
        <v>52</v>
      </c>
      <c r="E1171" t="b">
        <v>1</v>
      </c>
      <c r="F1171" t="s">
        <v>53</v>
      </c>
      <c r="G1171">
        <v>7.4999999999999997E-2</v>
      </c>
      <c r="H1171">
        <v>0.5</v>
      </c>
      <c r="I1171">
        <v>1E-4</v>
      </c>
      <c r="J1171" t="b">
        <v>1</v>
      </c>
      <c r="K1171">
        <v>8</v>
      </c>
      <c r="L1171">
        <v>1500</v>
      </c>
      <c r="M1171">
        <v>1</v>
      </c>
      <c r="N1171">
        <v>0.154</v>
      </c>
      <c r="O1171" t="s">
        <v>475</v>
      </c>
      <c r="P1171" t="s">
        <v>477</v>
      </c>
      <c r="Q1171">
        <v>-4.0187769979844101E-4</v>
      </c>
      <c r="R1171">
        <v>8.9877990940145803E-3</v>
      </c>
      <c r="S1171">
        <v>2.1270027066526099E-3</v>
      </c>
      <c r="T1171">
        <v>-4.7401964121697601E-2</v>
      </c>
      <c r="U1171">
        <v>7.9550966081479597</v>
      </c>
      <c r="V1171" s="1">
        <v>9.9999999999999905E-15</v>
      </c>
      <c r="W1171">
        <v>1.4986945155076501</v>
      </c>
      <c r="X1171">
        <v>2.4999999999999898</v>
      </c>
      <c r="Y1171">
        <v>68.479729721622107</v>
      </c>
      <c r="Z1171">
        <v>0.499999999999999</v>
      </c>
      <c r="AA1171">
        <v>123.925718266858</v>
      </c>
      <c r="AB1171" s="9">
        <f t="shared" si="161"/>
        <v>-0.34821567790439661</v>
      </c>
      <c r="AC1171" s="9">
        <f t="shared" si="162"/>
        <v>-0.37828473228193571</v>
      </c>
      <c r="AD1171" s="2">
        <f t="shared" si="163"/>
        <v>8.6351810919307992E-2</v>
      </c>
      <c r="AE1171" s="8">
        <f t="shared" si="164"/>
        <v>4.9855135672784157E-3</v>
      </c>
      <c r="AF1171" s="2">
        <f t="shared" si="165"/>
        <v>-1.022621558418421E-2</v>
      </c>
      <c r="AG1171" s="8">
        <f t="shared" si="166"/>
        <v>1.5211729151462626E-2</v>
      </c>
      <c r="AH1171" s="7">
        <f t="shared" si="167"/>
        <v>-0.67225858956349793</v>
      </c>
      <c r="AI1171">
        <f t="shared" si="168"/>
        <v>8</v>
      </c>
      <c r="AJ1171" s="10">
        <f t="shared" si="169"/>
        <v>0.97355066569360804</v>
      </c>
    </row>
    <row r="1172" spans="1:36" hidden="1" x14ac:dyDescent="0.25">
      <c r="A1172" t="b">
        <v>0</v>
      </c>
      <c r="B1172">
        <v>1000</v>
      </c>
      <c r="C1172">
        <v>0.97355066569360804</v>
      </c>
      <c r="D1172" t="s">
        <v>52</v>
      </c>
      <c r="E1172" t="b">
        <v>1</v>
      </c>
      <c r="F1172" t="s">
        <v>53</v>
      </c>
      <c r="G1172">
        <v>7.4999999999999997E-2</v>
      </c>
      <c r="H1172">
        <v>0.5</v>
      </c>
      <c r="I1172">
        <v>1E-4</v>
      </c>
      <c r="J1172" t="b">
        <v>1</v>
      </c>
      <c r="K1172">
        <v>8</v>
      </c>
      <c r="L1172">
        <v>1500</v>
      </c>
      <c r="M1172">
        <v>1</v>
      </c>
      <c r="N1172">
        <v>0.154</v>
      </c>
      <c r="O1172" t="s">
        <v>475</v>
      </c>
      <c r="P1172" t="s">
        <v>478</v>
      </c>
      <c r="Q1172" s="1">
        <v>-5.0284976366329903E-5</v>
      </c>
      <c r="R1172">
        <v>1.1441464183807499E-3</v>
      </c>
      <c r="S1172">
        <v>2.66462440006655E-4</v>
      </c>
      <c r="T1172">
        <v>-5.9481940540988196E-3</v>
      </c>
      <c r="U1172">
        <v>7.9590051110408098</v>
      </c>
      <c r="V1172" s="1">
        <v>9.9999999996973503E-15</v>
      </c>
      <c r="W1172">
        <v>1.5268475885175301</v>
      </c>
      <c r="X1172">
        <v>2.4999999999999298</v>
      </c>
      <c r="Y1172">
        <v>69.574168191533801</v>
      </c>
      <c r="Z1172">
        <v>0.49999999991289101</v>
      </c>
      <c r="AA1172">
        <v>126.10641225357701</v>
      </c>
      <c r="AB1172" s="9">
        <f t="shared" si="161"/>
        <v>-0.34879411932493309</v>
      </c>
      <c r="AC1172" s="9">
        <f t="shared" si="162"/>
        <v>-0.37828473228193571</v>
      </c>
      <c r="AD1172" s="2">
        <f t="shared" si="163"/>
        <v>8.4550201173344552E-2</v>
      </c>
      <c r="AE1172" s="8">
        <f t="shared" si="164"/>
        <v>5.1802924615740181E-3</v>
      </c>
      <c r="AF1172" s="2">
        <f t="shared" si="165"/>
        <v>-1.0031436689888608E-2</v>
      </c>
      <c r="AG1172" s="8">
        <f t="shared" si="166"/>
        <v>1.5211729151462626E-2</v>
      </c>
      <c r="AH1172" s="7">
        <f t="shared" si="167"/>
        <v>-0.65945406929126615</v>
      </c>
      <c r="AI1172">
        <f t="shared" si="168"/>
        <v>8</v>
      </c>
      <c r="AJ1172" s="10">
        <f t="shared" si="169"/>
        <v>0.97355066569360804</v>
      </c>
    </row>
    <row r="1173" spans="1:36" hidden="1" x14ac:dyDescent="0.25">
      <c r="A1173" t="b">
        <v>0</v>
      </c>
      <c r="B1173">
        <v>1000</v>
      </c>
      <c r="C1173">
        <v>0.97355066569360804</v>
      </c>
      <c r="D1173" t="s">
        <v>52</v>
      </c>
      <c r="E1173" t="b">
        <v>1</v>
      </c>
      <c r="F1173" t="s">
        <v>53</v>
      </c>
      <c r="G1173">
        <v>7.4999999999999997E-2</v>
      </c>
      <c r="H1173">
        <v>0.5</v>
      </c>
      <c r="I1173">
        <v>1E-4</v>
      </c>
      <c r="J1173" t="b">
        <v>1</v>
      </c>
      <c r="K1173">
        <v>8</v>
      </c>
      <c r="L1173">
        <v>1500</v>
      </c>
      <c r="M1173">
        <v>1</v>
      </c>
      <c r="N1173">
        <v>0.154</v>
      </c>
      <c r="O1173" t="s">
        <v>475</v>
      </c>
      <c r="P1173" t="s">
        <v>479</v>
      </c>
      <c r="Q1173">
        <v>-1.00572831805442E-4</v>
      </c>
      <c r="R1173">
        <v>2.24549170812999E-3</v>
      </c>
      <c r="S1173">
        <v>5.3291801282698205E-4</v>
      </c>
      <c r="T1173">
        <v>-1.1895556057282101E-2</v>
      </c>
      <c r="U1173">
        <v>7.9584445950339404</v>
      </c>
      <c r="V1173" s="1">
        <v>9.9999999999999905E-15</v>
      </c>
      <c r="W1173">
        <v>1.48975003657892</v>
      </c>
      <c r="X1173">
        <v>2.4999999999999898</v>
      </c>
      <c r="Y1173">
        <v>68.484911008351105</v>
      </c>
      <c r="Z1173">
        <v>0.499999999999999</v>
      </c>
      <c r="AA1173">
        <v>123.669953917303</v>
      </c>
      <c r="AB1173" s="9">
        <f t="shared" si="161"/>
        <v>-0.34877421840003936</v>
      </c>
      <c r="AC1173" s="9">
        <f t="shared" si="162"/>
        <v>-0.37828473228193571</v>
      </c>
      <c r="AD1173" s="2">
        <f t="shared" si="163"/>
        <v>8.4612085197330211E-2</v>
      </c>
      <c r="AE1173" s="8">
        <f t="shared" si="164"/>
        <v>5.173589958211015E-3</v>
      </c>
      <c r="AF1173" s="2">
        <f t="shared" si="165"/>
        <v>-1.0038139193251611E-2</v>
      </c>
      <c r="AG1173" s="8">
        <f t="shared" si="166"/>
        <v>1.5211729151462626E-2</v>
      </c>
      <c r="AH1173" s="7">
        <f t="shared" si="167"/>
        <v>-0.6598946834578916</v>
      </c>
      <c r="AI1173">
        <f t="shared" si="168"/>
        <v>8</v>
      </c>
      <c r="AJ1173" s="10">
        <f t="shared" si="169"/>
        <v>0.97355066569360804</v>
      </c>
    </row>
    <row r="1174" spans="1:36" hidden="1" x14ac:dyDescent="0.25">
      <c r="A1174" t="b">
        <v>0</v>
      </c>
      <c r="B1174">
        <v>1000</v>
      </c>
      <c r="C1174">
        <v>0.97355066569360804</v>
      </c>
      <c r="D1174" t="s">
        <v>52</v>
      </c>
      <c r="E1174" t="b">
        <v>1</v>
      </c>
      <c r="F1174" t="s">
        <v>53</v>
      </c>
      <c r="G1174">
        <v>7.4999999999999997E-2</v>
      </c>
      <c r="H1174">
        <v>0.5</v>
      </c>
      <c r="I1174">
        <v>1E-4</v>
      </c>
      <c r="J1174" t="b">
        <v>1</v>
      </c>
      <c r="K1174">
        <v>8</v>
      </c>
      <c r="L1174">
        <v>1500</v>
      </c>
      <c r="M1174">
        <v>1</v>
      </c>
      <c r="N1174">
        <v>0.154</v>
      </c>
      <c r="O1174" t="s">
        <v>475</v>
      </c>
      <c r="P1174" t="s">
        <v>480</v>
      </c>
      <c r="Q1174">
        <v>-4.5218559707982099E-4</v>
      </c>
      <c r="R1174">
        <v>1.03693731434661E-2</v>
      </c>
      <c r="S1174">
        <v>2.3934104118258498E-3</v>
      </c>
      <c r="T1174">
        <v>-5.3343529739131201E-2</v>
      </c>
      <c r="U1174">
        <v>7.9545360878568196</v>
      </c>
      <c r="V1174" s="1">
        <v>9.9999999999999905E-15</v>
      </c>
      <c r="W1174">
        <v>1.52994518516989</v>
      </c>
      <c r="X1174">
        <v>2.4999999999999898</v>
      </c>
      <c r="Y1174">
        <v>70.185790778228906</v>
      </c>
      <c r="Z1174">
        <v>0.499999999999999</v>
      </c>
      <c r="AA1174">
        <v>127.060454781587</v>
      </c>
      <c r="AB1174" s="9">
        <f t="shared" si="161"/>
        <v>-0.34824476740622279</v>
      </c>
      <c r="AC1174" s="9">
        <f t="shared" si="162"/>
        <v>-0.37828473228193571</v>
      </c>
      <c r="AD1174" s="2">
        <f t="shared" si="163"/>
        <v>8.6261066029663214E-2</v>
      </c>
      <c r="AE1174" s="8">
        <f t="shared" si="164"/>
        <v>4.995307088404009E-3</v>
      </c>
      <c r="AF1174" s="2">
        <f t="shared" si="165"/>
        <v>-1.0216422063058617E-2</v>
      </c>
      <c r="AG1174" s="8">
        <f t="shared" si="166"/>
        <v>1.5211729151462626E-2</v>
      </c>
      <c r="AH1174" s="7">
        <f t="shared" si="167"/>
        <v>-0.67161477576507445</v>
      </c>
      <c r="AI1174">
        <f t="shared" si="168"/>
        <v>8</v>
      </c>
      <c r="AJ1174" s="10">
        <f t="shared" si="169"/>
        <v>0.97355066569360804</v>
      </c>
    </row>
    <row r="1175" spans="1:36" hidden="1" x14ac:dyDescent="0.25">
      <c r="A1175" t="b">
        <v>0</v>
      </c>
      <c r="B1175">
        <v>1000</v>
      </c>
      <c r="C1175">
        <v>0.97355066569360804</v>
      </c>
      <c r="D1175" t="s">
        <v>52</v>
      </c>
      <c r="E1175" t="b">
        <v>1</v>
      </c>
      <c r="F1175" t="s">
        <v>53</v>
      </c>
      <c r="G1175">
        <v>7.4999999999999997E-2</v>
      </c>
      <c r="H1175">
        <v>0.5</v>
      </c>
      <c r="I1175">
        <v>1E-4</v>
      </c>
      <c r="J1175" t="b">
        <v>1</v>
      </c>
      <c r="K1175">
        <v>8</v>
      </c>
      <c r="L1175">
        <v>1500</v>
      </c>
      <c r="M1175">
        <v>1</v>
      </c>
      <c r="N1175">
        <v>0.154</v>
      </c>
      <c r="O1175" t="s">
        <v>475</v>
      </c>
      <c r="P1175" t="s">
        <v>481</v>
      </c>
      <c r="Q1175">
        <v>-4.0187769979844502E-4</v>
      </c>
      <c r="R1175">
        <v>8.9285118281258492E-3</v>
      </c>
      <c r="S1175">
        <v>2.1270027066526199E-3</v>
      </c>
      <c r="T1175">
        <v>-4.7401964121697997E-2</v>
      </c>
      <c r="U1175">
        <v>7.9550966081802503</v>
      </c>
      <c r="V1175" s="1">
        <v>9.9999999999999905E-15</v>
      </c>
      <c r="W1175">
        <v>1.49222451249747</v>
      </c>
      <c r="X1175">
        <v>2.4999999999999898</v>
      </c>
      <c r="Y1175">
        <v>68.010937776392396</v>
      </c>
      <c r="Z1175">
        <v>0.499999999999999</v>
      </c>
      <c r="AA1175">
        <v>123.12058703788</v>
      </c>
      <c r="AB1175" s="9">
        <f t="shared" si="161"/>
        <v>-0.34821567790439789</v>
      </c>
      <c r="AC1175" s="9">
        <f t="shared" si="162"/>
        <v>-0.37828473228193571</v>
      </c>
      <c r="AD1175" s="2">
        <f t="shared" si="163"/>
        <v>8.6351810919303995E-2</v>
      </c>
      <c r="AE1175" s="8">
        <f t="shared" si="164"/>
        <v>4.9855135672788398E-3</v>
      </c>
      <c r="AF1175" s="2">
        <f t="shared" si="165"/>
        <v>-1.0226215584183785E-2</v>
      </c>
      <c r="AG1175" s="8">
        <f t="shared" si="166"/>
        <v>1.5211729151462626E-2</v>
      </c>
      <c r="AH1175" s="7">
        <f t="shared" si="167"/>
        <v>-0.67225858956346995</v>
      </c>
      <c r="AI1175">
        <f t="shared" si="168"/>
        <v>8</v>
      </c>
      <c r="AJ1175" s="10">
        <f t="shared" si="169"/>
        <v>0.97355066569360804</v>
      </c>
    </row>
    <row r="1176" spans="1:36" hidden="1" x14ac:dyDescent="0.25">
      <c r="A1176" t="b">
        <v>0</v>
      </c>
      <c r="B1176">
        <v>1000</v>
      </c>
      <c r="C1176">
        <v>0.97355066569360804</v>
      </c>
      <c r="D1176" t="s">
        <v>52</v>
      </c>
      <c r="E1176" t="b">
        <v>1</v>
      </c>
      <c r="F1176" t="s">
        <v>53</v>
      </c>
      <c r="G1176">
        <v>7.4999999999999997E-2</v>
      </c>
      <c r="H1176">
        <v>0.5</v>
      </c>
      <c r="I1176">
        <v>1E-4</v>
      </c>
      <c r="J1176" t="b">
        <v>1</v>
      </c>
      <c r="K1176">
        <v>8</v>
      </c>
      <c r="L1176">
        <v>1500</v>
      </c>
      <c r="M1176">
        <v>1</v>
      </c>
      <c r="N1176">
        <v>0.154</v>
      </c>
      <c r="O1176" t="s">
        <v>475</v>
      </c>
      <c r="P1176" t="s">
        <v>482</v>
      </c>
      <c r="Q1176">
        <v>-4.52185597079825E-4</v>
      </c>
      <c r="R1176">
        <v>1.0524843672044201E-2</v>
      </c>
      <c r="S1176">
        <v>2.3934104118258498E-3</v>
      </c>
      <c r="T1176">
        <v>-5.3343529739131597E-2</v>
      </c>
      <c r="U1176">
        <v>7.9545360878049101</v>
      </c>
      <c r="V1176" s="1">
        <v>9.9999999999999905E-15</v>
      </c>
      <c r="W1176">
        <v>1.5516495893945199</v>
      </c>
      <c r="X1176">
        <v>2.4999999999999898</v>
      </c>
      <c r="Y1176">
        <v>71.182562955142103</v>
      </c>
      <c r="Z1176">
        <v>0.499999999999999</v>
      </c>
      <c r="AA1176">
        <v>128.979208102065</v>
      </c>
      <c r="AB1176" s="9">
        <f t="shared" si="161"/>
        <v>-0.3482447674062254</v>
      </c>
      <c r="AC1176" s="9">
        <f t="shared" si="162"/>
        <v>-0.37828473228193571</v>
      </c>
      <c r="AD1176" s="2">
        <f t="shared" si="163"/>
        <v>8.626106602965522E-2</v>
      </c>
      <c r="AE1176" s="8">
        <f t="shared" si="164"/>
        <v>4.9953070884048824E-3</v>
      </c>
      <c r="AF1176" s="2">
        <f t="shared" si="165"/>
        <v>-1.0216422063057742E-2</v>
      </c>
      <c r="AG1176" s="8">
        <f t="shared" si="166"/>
        <v>1.5211729151462626E-2</v>
      </c>
      <c r="AH1176" s="7">
        <f t="shared" si="167"/>
        <v>-0.67161477576501694</v>
      </c>
      <c r="AI1176">
        <f t="shared" si="168"/>
        <v>8</v>
      </c>
      <c r="AJ1176" s="10">
        <f t="shared" si="169"/>
        <v>0.97355066569360804</v>
      </c>
    </row>
    <row r="1177" spans="1:36" hidden="1" x14ac:dyDescent="0.25">
      <c r="A1177" t="b">
        <v>0</v>
      </c>
      <c r="B1177">
        <v>1000</v>
      </c>
      <c r="C1177">
        <v>0.97355066569360804</v>
      </c>
      <c r="D1177" t="s">
        <v>52</v>
      </c>
      <c r="E1177" t="b">
        <v>1</v>
      </c>
      <c r="F1177" t="s">
        <v>53</v>
      </c>
      <c r="G1177">
        <v>7.4999999999999997E-2</v>
      </c>
      <c r="H1177">
        <v>0.5</v>
      </c>
      <c r="I1177">
        <v>1E-4</v>
      </c>
      <c r="J1177" t="b">
        <v>1</v>
      </c>
      <c r="K1177">
        <v>8</v>
      </c>
      <c r="L1177">
        <v>1500</v>
      </c>
      <c r="M1177">
        <v>1</v>
      </c>
      <c r="N1177">
        <v>0.154</v>
      </c>
      <c r="O1177" t="s">
        <v>475</v>
      </c>
      <c r="P1177" t="s">
        <v>483</v>
      </c>
      <c r="Q1177">
        <v>-8.0393792019403296E-4</v>
      </c>
      <c r="R1177">
        <v>1.7846847941878199E-2</v>
      </c>
      <c r="S1177">
        <v>4.2535691498692399E-3</v>
      </c>
      <c r="T1177">
        <v>-9.4751123559204203E-2</v>
      </c>
      <c r="U1177">
        <v>7.95062754687586</v>
      </c>
      <c r="V1177" s="1">
        <v>9.9999999999999905E-15</v>
      </c>
      <c r="W1177">
        <v>1.47390230005116</v>
      </c>
      <c r="X1177">
        <v>2.4999999999999898</v>
      </c>
      <c r="Y1177">
        <v>68.215246819798793</v>
      </c>
      <c r="Z1177">
        <v>0.499999999999999</v>
      </c>
      <c r="AA1177">
        <v>122.911891465889</v>
      </c>
      <c r="AB1177" s="9">
        <f t="shared" si="161"/>
        <v>-0.34805742035675563</v>
      </c>
      <c r="AC1177" s="9">
        <f t="shared" si="162"/>
        <v>-0.37828473228193571</v>
      </c>
      <c r="AD1177" s="2">
        <f t="shared" si="163"/>
        <v>8.6845762099245993E-2</v>
      </c>
      <c r="AE1177" s="8">
        <f t="shared" si="164"/>
        <v>4.9322365679563248E-3</v>
      </c>
      <c r="AF1177" s="2">
        <f t="shared" si="165"/>
        <v>-1.02794925835063E-2</v>
      </c>
      <c r="AG1177" s="8">
        <f t="shared" si="166"/>
        <v>1.5211729151462626E-2</v>
      </c>
      <c r="AH1177" s="7">
        <f t="shared" si="167"/>
        <v>-0.67576095269339675</v>
      </c>
      <c r="AI1177">
        <f t="shared" si="168"/>
        <v>8</v>
      </c>
      <c r="AJ1177" s="10">
        <f t="shared" si="169"/>
        <v>0.97355066569360804</v>
      </c>
    </row>
    <row r="1178" spans="1:36" hidden="1" x14ac:dyDescent="0.25">
      <c r="A1178" t="b">
        <v>0</v>
      </c>
      <c r="B1178">
        <v>1000</v>
      </c>
      <c r="C1178">
        <v>0.97355066569360804</v>
      </c>
      <c r="D1178" t="s">
        <v>52</v>
      </c>
      <c r="E1178" t="b">
        <v>1</v>
      </c>
      <c r="F1178" t="s">
        <v>53</v>
      </c>
      <c r="G1178">
        <v>7.4999999999999997E-2</v>
      </c>
      <c r="H1178">
        <v>0.5</v>
      </c>
      <c r="I1178">
        <v>1E-4</v>
      </c>
      <c r="J1178" t="b">
        <v>1</v>
      </c>
      <c r="K1178">
        <v>8</v>
      </c>
      <c r="L1178">
        <v>1500</v>
      </c>
      <c r="M1178">
        <v>1</v>
      </c>
      <c r="N1178">
        <v>0.154</v>
      </c>
      <c r="O1178" t="s">
        <v>476</v>
      </c>
      <c r="P1178" t="s">
        <v>477</v>
      </c>
      <c r="Q1178">
        <v>-3.5159272305126103E-4</v>
      </c>
      <c r="R1178">
        <v>7.3365323558975603E-3</v>
      </c>
      <c r="S1178">
        <v>1.86054026664597E-3</v>
      </c>
      <c r="T1178">
        <v>-4.1453770067598997E-2</v>
      </c>
      <c r="U1178">
        <v>7.9545360926941102</v>
      </c>
      <c r="V1178" s="1">
        <v>9.9999999999999905E-15</v>
      </c>
      <c r="W1178">
        <v>1.3893607935322401</v>
      </c>
      <c r="X1178">
        <v>2.4999999999999898</v>
      </c>
      <c r="Y1178">
        <v>64.363237347146793</v>
      </c>
      <c r="Z1178">
        <v>0.499999999999999</v>
      </c>
      <c r="AA1178">
        <v>115.478039229616</v>
      </c>
      <c r="AB1178" s="9">
        <f t="shared" si="161"/>
        <v>-0.34813283481033297</v>
      </c>
      <c r="AC1178" s="9">
        <f t="shared" si="162"/>
        <v>-0.37828473228193571</v>
      </c>
      <c r="AD1178" s="2">
        <f t="shared" si="163"/>
        <v>8.6610323579589643E-2</v>
      </c>
      <c r="AE1178" s="8">
        <f t="shared" si="164"/>
        <v>4.9576239466401157E-3</v>
      </c>
      <c r="AF1178" s="2">
        <f t="shared" si="165"/>
        <v>-1.0254105204822509E-2</v>
      </c>
      <c r="AG1178" s="8">
        <f t="shared" si="166"/>
        <v>1.5211729151462626E-2</v>
      </c>
      <c r="AH1178" s="7">
        <f t="shared" si="167"/>
        <v>-0.67409201825267606</v>
      </c>
      <c r="AI1178">
        <f t="shared" si="168"/>
        <v>8</v>
      </c>
      <c r="AJ1178" s="10">
        <f t="shared" si="169"/>
        <v>0.97355066569360804</v>
      </c>
    </row>
    <row r="1179" spans="1:36" hidden="1" x14ac:dyDescent="0.25">
      <c r="A1179" t="b">
        <v>0</v>
      </c>
      <c r="B1179">
        <v>1000</v>
      </c>
      <c r="C1179">
        <v>0.97355066569360804</v>
      </c>
      <c r="D1179" t="s">
        <v>52</v>
      </c>
      <c r="E1179" t="b">
        <v>1</v>
      </c>
      <c r="F1179" t="s">
        <v>53</v>
      </c>
      <c r="G1179">
        <v>7.4999999999999997E-2</v>
      </c>
      <c r="H1179">
        <v>0.5</v>
      </c>
      <c r="I1179">
        <v>1E-4</v>
      </c>
      <c r="J1179" t="b">
        <v>1</v>
      </c>
      <c r="K1179">
        <v>8</v>
      </c>
      <c r="L1179">
        <v>1500</v>
      </c>
      <c r="M1179">
        <v>1</v>
      </c>
      <c r="N1179">
        <v>0.154</v>
      </c>
      <c r="O1179" t="s">
        <v>476</v>
      </c>
      <c r="P1179" t="s">
        <v>478</v>
      </c>
      <c r="Q1179" s="1">
        <v>-1E-10</v>
      </c>
      <c r="R1179" s="1">
        <v>3.5857859029614599E-12</v>
      </c>
      <c r="S1179" s="1">
        <v>1.1129115606076901E-17</v>
      </c>
      <c r="T1179" s="1">
        <v>-9.9218142476342495E-17</v>
      </c>
      <c r="U1179">
        <v>7.9584445955869603</v>
      </c>
      <c r="V1179">
        <v>0</v>
      </c>
      <c r="W1179">
        <v>6.8474547704995795E-2</v>
      </c>
      <c r="X1179">
        <v>2</v>
      </c>
      <c r="Y1179">
        <v>4.0005663815994696E-3</v>
      </c>
      <c r="Z1179">
        <v>2.5000000000000001E-4</v>
      </c>
      <c r="AA1179">
        <v>4.7933529424772697E-3</v>
      </c>
      <c r="AB1179" s="9">
        <f t="shared" si="161"/>
        <v>-0.13929979084288965</v>
      </c>
      <c r="AC1179" s="9">
        <f t="shared" si="162"/>
        <v>-0.37828473228193571</v>
      </c>
      <c r="AD1179" s="2">
        <f t="shared" si="163"/>
        <v>1.7156159387818972</v>
      </c>
      <c r="AE1179" s="8">
        <f t="shared" si="164"/>
        <v>-6.0748749162838268E-2</v>
      </c>
      <c r="AF1179" s="2">
        <f t="shared" si="165"/>
        <v>-7.5960478314300889E-2</v>
      </c>
      <c r="AG1179" s="8">
        <f t="shared" si="166"/>
        <v>1.5211729151462626E-2</v>
      </c>
      <c r="AH1179" s="7">
        <f t="shared" si="167"/>
        <v>-4.9935465953913072</v>
      </c>
      <c r="AI1179">
        <f t="shared" si="168"/>
        <v>8</v>
      </c>
      <c r="AJ1179" s="10">
        <f t="shared" si="169"/>
        <v>0.97355066569360804</v>
      </c>
    </row>
    <row r="1180" spans="1:36" hidden="1" x14ac:dyDescent="0.25">
      <c r="A1180" t="b">
        <v>0</v>
      </c>
      <c r="B1180">
        <v>1000</v>
      </c>
      <c r="C1180">
        <v>0.97355066569360804</v>
      </c>
      <c r="D1180" t="s">
        <v>52</v>
      </c>
      <c r="E1180" t="b">
        <v>1</v>
      </c>
      <c r="F1180" t="s">
        <v>53</v>
      </c>
      <c r="G1180">
        <v>7.4999999999999997E-2</v>
      </c>
      <c r="H1180">
        <v>0.5</v>
      </c>
      <c r="I1180">
        <v>1E-4</v>
      </c>
      <c r="J1180" t="b">
        <v>1</v>
      </c>
      <c r="K1180">
        <v>8</v>
      </c>
      <c r="L1180">
        <v>1500</v>
      </c>
      <c r="M1180">
        <v>1</v>
      </c>
      <c r="N1180">
        <v>0.154</v>
      </c>
      <c r="O1180" t="s">
        <v>476</v>
      </c>
      <c r="P1180" t="s">
        <v>479</v>
      </c>
      <c r="Q1180" s="1">
        <v>-5.02878546727026E-5</v>
      </c>
      <c r="R1180">
        <v>1.0997966747197201E-3</v>
      </c>
      <c r="S1180">
        <v>2.6645557282033199E-4</v>
      </c>
      <c r="T1180">
        <v>-5.9473620031836099E-3</v>
      </c>
      <c r="U1180">
        <v>7.95788407958009</v>
      </c>
      <c r="V1180" s="1">
        <v>9.9999999996927702E-15</v>
      </c>
      <c r="W1180">
        <v>1.4608706821055599</v>
      </c>
      <c r="X1180">
        <v>2.4999999999999298</v>
      </c>
      <c r="Y1180">
        <v>67.165306730009604</v>
      </c>
      <c r="Z1180">
        <v>0.49999999991171301</v>
      </c>
      <c r="AA1180">
        <v>121.118327833633</v>
      </c>
      <c r="AB1180" s="9">
        <f t="shared" si="161"/>
        <v>-0.34875431696226483</v>
      </c>
      <c r="AC1180" s="9">
        <f t="shared" si="162"/>
        <v>-0.37828473228193571</v>
      </c>
      <c r="AD1180" s="2">
        <f t="shared" si="163"/>
        <v>8.4673977879006657E-2</v>
      </c>
      <c r="AE1180" s="8">
        <f t="shared" si="164"/>
        <v>5.1668873714999708E-3</v>
      </c>
      <c r="AF1180" s="2">
        <f t="shared" si="165"/>
        <v>-1.0044841779962656E-2</v>
      </c>
      <c r="AG1180" s="8">
        <f t="shared" si="166"/>
        <v>1.5211729151462626E-2</v>
      </c>
      <c r="AH1180" s="7">
        <f t="shared" si="167"/>
        <v>-0.66033530310371269</v>
      </c>
      <c r="AI1180">
        <f t="shared" si="168"/>
        <v>8</v>
      </c>
      <c r="AJ1180" s="10">
        <f t="shared" si="169"/>
        <v>0.97355066569360804</v>
      </c>
    </row>
    <row r="1181" spans="1:36" hidden="1" x14ac:dyDescent="0.25">
      <c r="A1181" t="b">
        <v>0</v>
      </c>
      <c r="B1181">
        <v>1000</v>
      </c>
      <c r="C1181">
        <v>0.97355066569360804</v>
      </c>
      <c r="D1181" t="s">
        <v>52</v>
      </c>
      <c r="E1181" t="b">
        <v>1</v>
      </c>
      <c r="F1181" t="s">
        <v>53</v>
      </c>
      <c r="G1181">
        <v>7.4999999999999997E-2</v>
      </c>
      <c r="H1181">
        <v>0.5</v>
      </c>
      <c r="I1181">
        <v>1E-4</v>
      </c>
      <c r="J1181" t="b">
        <v>1</v>
      </c>
      <c r="K1181">
        <v>8</v>
      </c>
      <c r="L1181">
        <v>1500</v>
      </c>
      <c r="M1181">
        <v>1</v>
      </c>
      <c r="N1181">
        <v>0.154</v>
      </c>
      <c r="O1181" t="s">
        <v>476</v>
      </c>
      <c r="P1181" t="s">
        <v>480</v>
      </c>
      <c r="Q1181">
        <v>-4.0190062033271002E-4</v>
      </c>
      <c r="R1181">
        <v>8.8268844926655196E-3</v>
      </c>
      <c r="S1181">
        <v>2.1269479718191999E-3</v>
      </c>
      <c r="T1181">
        <v>-4.73953356850325E-2</v>
      </c>
      <c r="U1181">
        <v>7.9539755724029702</v>
      </c>
      <c r="V1181" s="1">
        <v>9.9999999999999905E-15</v>
      </c>
      <c r="W1181">
        <v>1.4753157500623899</v>
      </c>
      <c r="X1181">
        <v>2.4999999999999898</v>
      </c>
      <c r="Y1181">
        <v>67.290829896485704</v>
      </c>
      <c r="Z1181">
        <v>0.499999999999999</v>
      </c>
      <c r="AA1181">
        <v>121.69614763799601</v>
      </c>
      <c r="AB1181" s="9">
        <f t="shared" si="161"/>
        <v>-0.34817594501158916</v>
      </c>
      <c r="AC1181" s="9">
        <f t="shared" si="162"/>
        <v>-0.37828473228193571</v>
      </c>
      <c r="AD1181" s="2">
        <f t="shared" si="163"/>
        <v>8.647578243621723E-2</v>
      </c>
      <c r="AE1181" s="8">
        <f t="shared" si="164"/>
        <v>4.9721370592792644E-3</v>
      </c>
      <c r="AF1181" s="2">
        <f t="shared" si="165"/>
        <v>-1.023959209218336E-2</v>
      </c>
      <c r="AG1181" s="8">
        <f t="shared" si="166"/>
        <v>1.5211729151462626E-2</v>
      </c>
      <c r="AH1181" s="7">
        <f t="shared" si="167"/>
        <v>-0.67313794442618058</v>
      </c>
      <c r="AI1181">
        <f t="shared" si="168"/>
        <v>8</v>
      </c>
      <c r="AJ1181" s="10">
        <f t="shared" si="169"/>
        <v>0.97355066569360804</v>
      </c>
    </row>
    <row r="1182" spans="1:36" hidden="1" x14ac:dyDescent="0.25">
      <c r="A1182" t="b">
        <v>0</v>
      </c>
      <c r="B1182">
        <v>1000</v>
      </c>
      <c r="C1182">
        <v>0.97355066569360804</v>
      </c>
      <c r="D1182" t="s">
        <v>52</v>
      </c>
      <c r="E1182" t="b">
        <v>1</v>
      </c>
      <c r="F1182" t="s">
        <v>53</v>
      </c>
      <c r="G1182">
        <v>7.4999999999999997E-2</v>
      </c>
      <c r="H1182">
        <v>0.5</v>
      </c>
      <c r="I1182">
        <v>1E-4</v>
      </c>
      <c r="J1182" t="b">
        <v>1</v>
      </c>
      <c r="K1182">
        <v>8</v>
      </c>
      <c r="L1182">
        <v>1500</v>
      </c>
      <c r="M1182">
        <v>1</v>
      </c>
      <c r="N1182">
        <v>0.154</v>
      </c>
      <c r="O1182" t="s">
        <v>476</v>
      </c>
      <c r="P1182" t="s">
        <v>481</v>
      </c>
      <c r="Q1182">
        <v>-3.5159272305125701E-4</v>
      </c>
      <c r="R1182">
        <v>7.4345959644353202E-3</v>
      </c>
      <c r="S1182">
        <v>1.86054026664597E-3</v>
      </c>
      <c r="T1182">
        <v>-4.1453770067599198E-2</v>
      </c>
      <c r="U1182">
        <v>7.9545360927264097</v>
      </c>
      <c r="V1182" s="1">
        <v>9.9999999999999905E-15</v>
      </c>
      <c r="W1182">
        <v>1.40960238822739</v>
      </c>
      <c r="X1182">
        <v>2.4999999999999898</v>
      </c>
      <c r="Y1182">
        <v>65.126458671053499</v>
      </c>
      <c r="Z1182">
        <v>0.499999999999999</v>
      </c>
      <c r="AA1182">
        <v>117.05232738017899</v>
      </c>
      <c r="AB1182" s="9">
        <f t="shared" si="161"/>
        <v>-0.34813283481033463</v>
      </c>
      <c r="AC1182" s="9">
        <f t="shared" si="162"/>
        <v>-0.37828473228193571</v>
      </c>
      <c r="AD1182" s="2">
        <f t="shared" si="163"/>
        <v>8.6610323579584314E-2</v>
      </c>
      <c r="AE1182" s="8">
        <f t="shared" si="164"/>
        <v>4.9576239466406638E-3</v>
      </c>
      <c r="AF1182" s="2">
        <f t="shared" si="165"/>
        <v>-1.0254105204821961E-2</v>
      </c>
      <c r="AG1182" s="8">
        <f t="shared" si="166"/>
        <v>1.5211729151462626E-2</v>
      </c>
      <c r="AH1182" s="7">
        <f t="shared" si="167"/>
        <v>-0.67409201825264009</v>
      </c>
      <c r="AI1182">
        <f t="shared" si="168"/>
        <v>8</v>
      </c>
      <c r="AJ1182" s="10">
        <f t="shared" si="169"/>
        <v>0.97355066569360804</v>
      </c>
    </row>
    <row r="1183" spans="1:36" hidden="1" x14ac:dyDescent="0.25">
      <c r="A1183" t="b">
        <v>0</v>
      </c>
      <c r="B1183">
        <v>1000</v>
      </c>
      <c r="C1183">
        <v>0.97355066569360804</v>
      </c>
      <c r="D1183" t="s">
        <v>52</v>
      </c>
      <c r="E1183" t="b">
        <v>1</v>
      </c>
      <c r="F1183" t="s">
        <v>53</v>
      </c>
      <c r="G1183">
        <v>7.4999999999999997E-2</v>
      </c>
      <c r="H1183">
        <v>0.5</v>
      </c>
      <c r="I1183">
        <v>1E-4</v>
      </c>
      <c r="J1183" t="b">
        <v>1</v>
      </c>
      <c r="K1183">
        <v>8</v>
      </c>
      <c r="L1183">
        <v>1500</v>
      </c>
      <c r="M1183">
        <v>1</v>
      </c>
      <c r="N1183">
        <v>0.154</v>
      </c>
      <c r="O1183" t="s">
        <v>476</v>
      </c>
      <c r="P1183" t="s">
        <v>482</v>
      </c>
      <c r="Q1183">
        <v>-4.01900620332713E-4</v>
      </c>
      <c r="R1183">
        <v>8.9632282547248004E-3</v>
      </c>
      <c r="S1183">
        <v>2.1269479718191999E-3</v>
      </c>
      <c r="T1183">
        <v>-4.7395335685033103E-2</v>
      </c>
      <c r="U1183">
        <v>7.9539755723510597</v>
      </c>
      <c r="V1183" s="1">
        <v>9.9999999999999905E-15</v>
      </c>
      <c r="W1183">
        <v>1.49272721617204</v>
      </c>
      <c r="X1183">
        <v>2.4999999999999898</v>
      </c>
      <c r="Y1183">
        <v>68.327853326663401</v>
      </c>
      <c r="Z1183">
        <v>0.499999999999999</v>
      </c>
      <c r="AA1183">
        <v>123.56628160543799</v>
      </c>
      <c r="AB1183" s="9">
        <f t="shared" si="161"/>
        <v>-0.3481759450115936</v>
      </c>
      <c r="AC1183" s="9">
        <f t="shared" si="162"/>
        <v>-0.37828473228193571</v>
      </c>
      <c r="AD1183" s="2">
        <f t="shared" si="163"/>
        <v>8.6475782436203463E-2</v>
      </c>
      <c r="AE1183" s="8">
        <f t="shared" si="164"/>
        <v>4.9721370592807597E-3</v>
      </c>
      <c r="AF1183" s="2">
        <f t="shared" si="165"/>
        <v>-1.0239592092181865E-2</v>
      </c>
      <c r="AG1183" s="8">
        <f t="shared" si="166"/>
        <v>1.5211729151462626E-2</v>
      </c>
      <c r="AH1183" s="7">
        <f t="shared" si="167"/>
        <v>-0.67313794442608232</v>
      </c>
      <c r="AI1183">
        <f t="shared" si="168"/>
        <v>8</v>
      </c>
      <c r="AJ1183" s="10">
        <f t="shared" si="169"/>
        <v>0.97355066569360804</v>
      </c>
    </row>
    <row r="1184" spans="1:36" hidden="1" x14ac:dyDescent="0.25">
      <c r="A1184" t="b">
        <v>0</v>
      </c>
      <c r="B1184">
        <v>1000</v>
      </c>
      <c r="C1184">
        <v>0.97355066569360804</v>
      </c>
      <c r="D1184" t="s">
        <v>52</v>
      </c>
      <c r="E1184" t="b">
        <v>1</v>
      </c>
      <c r="F1184" t="s">
        <v>53</v>
      </c>
      <c r="G1184">
        <v>7.4999999999999997E-2</v>
      </c>
      <c r="H1184">
        <v>0.5</v>
      </c>
      <c r="I1184">
        <v>1E-4</v>
      </c>
      <c r="J1184" t="b">
        <v>1</v>
      </c>
      <c r="K1184">
        <v>8</v>
      </c>
      <c r="L1184">
        <v>1500</v>
      </c>
      <c r="M1184">
        <v>1</v>
      </c>
      <c r="N1184">
        <v>0.154</v>
      </c>
      <c r="O1184" t="s">
        <v>476</v>
      </c>
      <c r="P1184" t="s">
        <v>483</v>
      </c>
      <c r="Q1184">
        <v>-7.5365294344686398E-4</v>
      </c>
      <c r="R1184">
        <v>1.65684070762941E-2</v>
      </c>
      <c r="S1184">
        <v>3.9871067098625904E-3</v>
      </c>
      <c r="T1184">
        <v>-8.8802929505105405E-2</v>
      </c>
      <c r="U1184">
        <v>7.9500670314220097</v>
      </c>
      <c r="V1184" s="1">
        <v>9.9999999999999905E-15</v>
      </c>
      <c r="W1184">
        <v>1.4616874710668499</v>
      </c>
      <c r="X1184">
        <v>2.4999999999999898</v>
      </c>
      <c r="Y1184">
        <v>67.560587404499998</v>
      </c>
      <c r="Z1184">
        <v>0.499999999999999</v>
      </c>
      <c r="AA1184">
        <v>121.723666548019</v>
      </c>
      <c r="AB1184" s="9">
        <f t="shared" si="161"/>
        <v>-0.34800818600741479</v>
      </c>
      <c r="AC1184" s="9">
        <f t="shared" si="162"/>
        <v>-0.37828473228193571</v>
      </c>
      <c r="AD1184" s="2">
        <f t="shared" si="163"/>
        <v>8.699952326373106E-2</v>
      </c>
      <c r="AE1184" s="8">
        <f t="shared" si="164"/>
        <v>4.9156631019660621E-3</v>
      </c>
      <c r="AF1184" s="2">
        <f t="shared" si="165"/>
        <v>-1.0296066049496563E-2</v>
      </c>
      <c r="AG1184" s="8">
        <f t="shared" si="166"/>
        <v>1.5211729151462626E-2</v>
      </c>
      <c r="AH1184" s="7">
        <f t="shared" si="167"/>
        <v>-0.67685047156565914</v>
      </c>
      <c r="AI1184">
        <f t="shared" si="168"/>
        <v>8</v>
      </c>
      <c r="AJ1184" s="10">
        <f t="shared" si="169"/>
        <v>0.97355066569360804</v>
      </c>
    </row>
    <row r="1185" spans="1:36" hidden="1" x14ac:dyDescent="0.25">
      <c r="A1185" t="b">
        <v>0</v>
      </c>
      <c r="B1185">
        <v>1000</v>
      </c>
      <c r="C1185">
        <v>0.97355066569360804</v>
      </c>
      <c r="D1185" t="s">
        <v>52</v>
      </c>
      <c r="E1185" t="b">
        <v>1</v>
      </c>
      <c r="F1185" t="s">
        <v>53</v>
      </c>
      <c r="G1185">
        <v>7.4999999999999997E-2</v>
      </c>
      <c r="H1185">
        <v>0.5</v>
      </c>
      <c r="I1185">
        <v>1E-4</v>
      </c>
      <c r="J1185" t="b">
        <v>1</v>
      </c>
      <c r="K1185">
        <v>8</v>
      </c>
      <c r="L1185">
        <v>1500</v>
      </c>
      <c r="M1185">
        <v>1</v>
      </c>
      <c r="N1185">
        <v>0.154</v>
      </c>
      <c r="O1185" t="s">
        <v>477</v>
      </c>
      <c r="P1185" t="s">
        <v>480</v>
      </c>
      <c r="Q1185" s="1">
        <v>-5.0307897281814202E-5</v>
      </c>
      <c r="R1185">
        <v>1.12652189858088E-3</v>
      </c>
      <c r="S1185">
        <v>2.6640770517323201E-4</v>
      </c>
      <c r="T1185">
        <v>-5.9415656174336296E-3</v>
      </c>
      <c r="U1185">
        <v>7.9500670694911904</v>
      </c>
      <c r="V1185" s="1">
        <v>9.9999999999999905E-15</v>
      </c>
      <c r="W1185">
        <v>1.49756872817176</v>
      </c>
      <c r="X1185">
        <v>2.4999999999999898</v>
      </c>
      <c r="Y1185">
        <v>68.612533893387194</v>
      </c>
      <c r="Z1185">
        <v>0.499999999999999</v>
      </c>
      <c r="AA1185">
        <v>124.061527490779</v>
      </c>
      <c r="AB1185" s="9">
        <f t="shared" si="161"/>
        <v>-0.34847701838065492</v>
      </c>
      <c r="AC1185" s="9">
        <f t="shared" si="162"/>
        <v>-0.37828473228193571</v>
      </c>
      <c r="AD1185" s="2">
        <f t="shared" si="163"/>
        <v>8.5537100953729572E-2</v>
      </c>
      <c r="AE1185" s="8">
        <f t="shared" si="164"/>
        <v>5.073505539097173E-3</v>
      </c>
      <c r="AF1185" s="2">
        <f t="shared" si="165"/>
        <v>-1.0138223612365452E-2</v>
      </c>
      <c r="AG1185" s="8">
        <f t="shared" si="166"/>
        <v>1.5211729151462626E-2</v>
      </c>
      <c r="AH1185" s="7">
        <f t="shared" si="167"/>
        <v>-0.66647410767175341</v>
      </c>
      <c r="AI1185">
        <f t="shared" si="168"/>
        <v>8</v>
      </c>
      <c r="AJ1185" s="10">
        <f t="shared" si="169"/>
        <v>0.97355066569360804</v>
      </c>
    </row>
    <row r="1186" spans="1:36" hidden="1" x14ac:dyDescent="0.25">
      <c r="A1186" t="b">
        <v>0</v>
      </c>
      <c r="B1186">
        <v>1000</v>
      </c>
      <c r="C1186">
        <v>0.97355066569360804</v>
      </c>
      <c r="D1186" t="s">
        <v>52</v>
      </c>
      <c r="E1186" t="b">
        <v>1</v>
      </c>
      <c r="F1186" t="s">
        <v>53</v>
      </c>
      <c r="G1186">
        <v>7.4999999999999997E-2</v>
      </c>
      <c r="H1186">
        <v>0.5</v>
      </c>
      <c r="I1186">
        <v>1E-4</v>
      </c>
      <c r="J1186" t="b">
        <v>1</v>
      </c>
      <c r="K1186">
        <v>8</v>
      </c>
      <c r="L1186">
        <v>1500</v>
      </c>
      <c r="M1186">
        <v>1</v>
      </c>
      <c r="N1186">
        <v>0.154</v>
      </c>
      <c r="O1186" t="s">
        <v>477</v>
      </c>
      <c r="P1186" t="s">
        <v>481</v>
      </c>
      <c r="Q1186" s="1">
        <v>-1E-10</v>
      </c>
      <c r="R1186" s="1">
        <v>3.5857859025611901E-12</v>
      </c>
      <c r="S1186" s="1">
        <v>1.4471968605036101E-17</v>
      </c>
      <c r="T1186" s="1">
        <v>-2.7267118797266098E-16</v>
      </c>
      <c r="U1186">
        <v>7.9506275898146299</v>
      </c>
      <c r="V1186">
        <v>0</v>
      </c>
      <c r="W1186">
        <v>6.84745476973522E-2</v>
      </c>
      <c r="X1186">
        <v>2</v>
      </c>
      <c r="Y1186">
        <v>4.0005663811528997E-3</v>
      </c>
      <c r="Z1186">
        <v>2.5000000000000001E-4</v>
      </c>
      <c r="AA1186">
        <v>4.7933529419422003E-3</v>
      </c>
      <c r="AB1186" s="9">
        <f t="shared" si="161"/>
        <v>-0.29439583710748379</v>
      </c>
      <c r="AC1186" s="9">
        <f t="shared" si="162"/>
        <v>-0.37828473228193571</v>
      </c>
      <c r="AD1186" s="2">
        <f t="shared" si="163"/>
        <v>0.28495272215355438</v>
      </c>
      <c r="AE1186" s="8">
        <f t="shared" si="164"/>
        <v>-1.2812865112957143E-2</v>
      </c>
      <c r="AF1186" s="2">
        <f t="shared" si="165"/>
        <v>-2.8024594264419771E-2</v>
      </c>
      <c r="AG1186" s="8">
        <f t="shared" si="166"/>
        <v>1.5211729151462626E-2</v>
      </c>
      <c r="AH1186" s="7">
        <f t="shared" si="167"/>
        <v>-1.8423016861120731</v>
      </c>
      <c r="AI1186">
        <f t="shared" si="168"/>
        <v>8</v>
      </c>
      <c r="AJ1186" s="10">
        <f t="shared" si="169"/>
        <v>0.97355066569360804</v>
      </c>
    </row>
    <row r="1187" spans="1:36" hidden="1" x14ac:dyDescent="0.25">
      <c r="A1187" t="b">
        <v>0</v>
      </c>
      <c r="B1187">
        <v>1000</v>
      </c>
      <c r="C1187">
        <v>0.97355066569360804</v>
      </c>
      <c r="D1187" t="s">
        <v>52</v>
      </c>
      <c r="E1187" t="b">
        <v>1</v>
      </c>
      <c r="F1187" t="s">
        <v>53</v>
      </c>
      <c r="G1187">
        <v>7.4999999999999997E-2</v>
      </c>
      <c r="H1187">
        <v>0.5</v>
      </c>
      <c r="I1187">
        <v>1E-4</v>
      </c>
      <c r="J1187" t="b">
        <v>1</v>
      </c>
      <c r="K1187">
        <v>8</v>
      </c>
      <c r="L1187">
        <v>1500</v>
      </c>
      <c r="M1187">
        <v>1</v>
      </c>
      <c r="N1187">
        <v>0.154</v>
      </c>
      <c r="O1187" t="s">
        <v>477</v>
      </c>
      <c r="P1187" t="s">
        <v>482</v>
      </c>
      <c r="Q1187" s="1">
        <v>-5.0307897281813701E-5</v>
      </c>
      <c r="R1187">
        <v>1.12435390208534E-3</v>
      </c>
      <c r="S1187">
        <v>2.6640770517323602E-4</v>
      </c>
      <c r="T1187">
        <v>-5.9415656174339401E-3</v>
      </c>
      <c r="U1187">
        <v>7.9500670694392799</v>
      </c>
      <c r="V1187" s="1">
        <v>9.9999999999999905E-15</v>
      </c>
      <c r="W1187">
        <v>1.4937409788043201</v>
      </c>
      <c r="X1187">
        <v>2.4999999999999898</v>
      </c>
      <c r="Y1187">
        <v>68.506134922285895</v>
      </c>
      <c r="Z1187">
        <v>0.499999999999999</v>
      </c>
      <c r="AA1187">
        <v>123.81210870352299</v>
      </c>
      <c r="AB1187" s="9">
        <f t="shared" si="161"/>
        <v>-0.34847701838066786</v>
      </c>
      <c r="AC1187" s="9">
        <f t="shared" si="162"/>
        <v>-0.37828473228193571</v>
      </c>
      <c r="AD1187" s="2">
        <f t="shared" si="163"/>
        <v>8.5537100953689382E-2</v>
      </c>
      <c r="AE1187" s="8">
        <f t="shared" si="164"/>
        <v>5.073505539101535E-3</v>
      </c>
      <c r="AF1187" s="2">
        <f t="shared" si="165"/>
        <v>-1.0138223612361091E-2</v>
      </c>
      <c r="AG1187" s="8">
        <f t="shared" si="166"/>
        <v>1.5211729151462626E-2</v>
      </c>
      <c r="AH1187" s="7">
        <f t="shared" si="167"/>
        <v>-0.66647410767146664</v>
      </c>
      <c r="AI1187">
        <f t="shared" si="168"/>
        <v>8</v>
      </c>
      <c r="AJ1187" s="10">
        <f t="shared" si="169"/>
        <v>0.97355066569360804</v>
      </c>
    </row>
    <row r="1188" spans="1:36" hidden="1" x14ac:dyDescent="0.25">
      <c r="A1188" t="b">
        <v>0</v>
      </c>
      <c r="B1188">
        <v>1000</v>
      </c>
      <c r="C1188">
        <v>0.97355066569360804</v>
      </c>
      <c r="D1188" t="s">
        <v>52</v>
      </c>
      <c r="E1188" t="b">
        <v>1</v>
      </c>
      <c r="F1188" t="s">
        <v>53</v>
      </c>
      <c r="G1188">
        <v>7.4999999999999997E-2</v>
      </c>
      <c r="H1188">
        <v>0.5</v>
      </c>
      <c r="I1188">
        <v>1E-4</v>
      </c>
      <c r="J1188" t="b">
        <v>1</v>
      </c>
      <c r="K1188">
        <v>8</v>
      </c>
      <c r="L1188">
        <v>1500</v>
      </c>
      <c r="M1188">
        <v>1</v>
      </c>
      <c r="N1188">
        <v>0.154</v>
      </c>
      <c r="O1188" t="s">
        <v>477</v>
      </c>
      <c r="P1188" t="s">
        <v>483</v>
      </c>
      <c r="Q1188">
        <v>-4.0206022039734998E-4</v>
      </c>
      <c r="R1188">
        <v>8.9200123919743694E-3</v>
      </c>
      <c r="S1188">
        <v>2.12656644321662E-3</v>
      </c>
      <c r="T1188">
        <v>-4.7349159437506498E-2</v>
      </c>
      <c r="U1188">
        <v>7.9461585285102396</v>
      </c>
      <c r="V1188" s="1">
        <v>9.9999999999999905E-15</v>
      </c>
      <c r="W1188">
        <v>1.4919573715088801</v>
      </c>
      <c r="X1188">
        <v>2.4999999999999898</v>
      </c>
      <c r="Y1188">
        <v>67.886372463658503</v>
      </c>
      <c r="Z1188">
        <v>0.499999999999999</v>
      </c>
      <c r="AA1188">
        <v>122.959864918233</v>
      </c>
      <c r="AB1188" s="9">
        <f t="shared" ref="AB1188:AB1233" si="170">T1188/S1188/K1188^2</f>
        <v>-0.34789913034270387</v>
      </c>
      <c r="AC1188" s="9">
        <f t="shared" ref="AC1188:AC1233" si="171">(1+10*C1188/K1188^2)/(-3-3*C1188/K1188^2)</f>
        <v>-0.37828473228193571</v>
      </c>
      <c r="AD1188" s="2">
        <f t="shared" ref="AD1188:AD1233" si="172">(AC1188/AB1188-1)</f>
        <v>8.7340264142942825E-2</v>
      </c>
      <c r="AE1188" s="8">
        <f t="shared" ref="AE1188:AE1233" si="173">-(1+3*AB1188)/(10+3*AB1188)</f>
        <v>4.8789542890542922E-3</v>
      </c>
      <c r="AF1188" s="2">
        <f t="shared" ref="AF1188:AF1233" si="174">(AE1188-C1188/K1188^2)</f>
        <v>-1.0332774862408333E-2</v>
      </c>
      <c r="AG1188" s="8">
        <f t="shared" ref="AG1188:AG1233" si="175">C1188/K1188^2</f>
        <v>1.5211729151462626E-2</v>
      </c>
      <c r="AH1188" s="7">
        <f t="shared" ref="AH1188:AH1233" si="176">AF1188/AG1188</f>
        <v>-0.67926366289626083</v>
      </c>
      <c r="AI1188">
        <f t="shared" ref="AI1188:AI1233" si="177">K1188</f>
        <v>8</v>
      </c>
      <c r="AJ1188" s="10">
        <f t="shared" ref="AJ1188:AJ1233" si="178">C1188</f>
        <v>0.97355066569360804</v>
      </c>
    </row>
    <row r="1189" spans="1:36" hidden="1" x14ac:dyDescent="0.25">
      <c r="A1189" t="b">
        <v>0</v>
      </c>
      <c r="B1189">
        <v>1000</v>
      </c>
      <c r="C1189">
        <v>0.97355066569360804</v>
      </c>
      <c r="D1189" t="s">
        <v>52</v>
      </c>
      <c r="E1189" t="b">
        <v>1</v>
      </c>
      <c r="F1189" t="s">
        <v>53</v>
      </c>
      <c r="G1189">
        <v>7.4999999999999997E-2</v>
      </c>
      <c r="H1189">
        <v>0.5</v>
      </c>
      <c r="I1189">
        <v>1E-4</v>
      </c>
      <c r="J1189" t="b">
        <v>1</v>
      </c>
      <c r="K1189">
        <v>8</v>
      </c>
      <c r="L1189">
        <v>1500</v>
      </c>
      <c r="M1189">
        <v>1</v>
      </c>
      <c r="N1189">
        <v>0.154</v>
      </c>
      <c r="O1189" t="s">
        <v>478</v>
      </c>
      <c r="P1189" t="s">
        <v>479</v>
      </c>
      <c r="Q1189" s="1">
        <v>-5.0287854672703102E-5</v>
      </c>
      <c r="R1189">
        <v>1.1404093959309701E-3</v>
      </c>
      <c r="S1189">
        <v>2.6645557282032603E-4</v>
      </c>
      <c r="T1189">
        <v>-5.9473620031834096E-3</v>
      </c>
      <c r="U1189">
        <v>7.9578840795611496</v>
      </c>
      <c r="V1189" s="1">
        <v>9.9999999996926692E-15</v>
      </c>
      <c r="W1189">
        <v>1.50709140644146</v>
      </c>
      <c r="X1189">
        <v>2.4999999999999298</v>
      </c>
      <c r="Y1189">
        <v>69.563080531570705</v>
      </c>
      <c r="Z1189">
        <v>0.49999999991171301</v>
      </c>
      <c r="AA1189">
        <v>125.598359747435</v>
      </c>
      <c r="AB1189" s="9">
        <f t="shared" si="170"/>
        <v>-0.34875431696226089</v>
      </c>
      <c r="AC1189" s="9">
        <f t="shared" si="171"/>
        <v>-0.37828473228193571</v>
      </c>
      <c r="AD1189" s="2">
        <f t="shared" si="172"/>
        <v>8.4673977879018869E-2</v>
      </c>
      <c r="AE1189" s="8">
        <f t="shared" si="173"/>
        <v>5.1668873714986506E-3</v>
      </c>
      <c r="AF1189" s="2">
        <f t="shared" si="174"/>
        <v>-1.0044841779963974E-2</v>
      </c>
      <c r="AG1189" s="8">
        <f t="shared" si="175"/>
        <v>1.5211729151462626E-2</v>
      </c>
      <c r="AH1189" s="7">
        <f t="shared" si="176"/>
        <v>-0.6603353031037994</v>
      </c>
      <c r="AI1189">
        <f t="shared" si="177"/>
        <v>8</v>
      </c>
      <c r="AJ1189" s="10">
        <f t="shared" si="178"/>
        <v>0.97355066569360804</v>
      </c>
    </row>
    <row r="1190" spans="1:36" hidden="1" x14ac:dyDescent="0.25">
      <c r="A1190" t="b">
        <v>0</v>
      </c>
      <c r="B1190">
        <v>1000</v>
      </c>
      <c r="C1190">
        <v>0.97355066569360804</v>
      </c>
      <c r="D1190" t="s">
        <v>52</v>
      </c>
      <c r="E1190" t="b">
        <v>1</v>
      </c>
      <c r="F1190" t="s">
        <v>53</v>
      </c>
      <c r="G1190">
        <v>7.4999999999999997E-2</v>
      </c>
      <c r="H1190">
        <v>0.5</v>
      </c>
      <c r="I1190">
        <v>1E-4</v>
      </c>
      <c r="J1190" t="b">
        <v>1</v>
      </c>
      <c r="K1190">
        <v>8</v>
      </c>
      <c r="L1190">
        <v>1500</v>
      </c>
      <c r="M1190">
        <v>1</v>
      </c>
      <c r="N1190">
        <v>0.154</v>
      </c>
      <c r="O1190" t="s">
        <v>478</v>
      </c>
      <c r="P1190" t="s">
        <v>480</v>
      </c>
      <c r="Q1190">
        <v>-4.0190062033271798E-4</v>
      </c>
      <c r="R1190">
        <v>8.8813755618370998E-3</v>
      </c>
      <c r="S1190">
        <v>2.1269479718191899E-3</v>
      </c>
      <c r="T1190">
        <v>-4.7395335685032201E-2</v>
      </c>
      <c r="U1190">
        <v>7.9539755723840404</v>
      </c>
      <c r="V1190" s="1">
        <v>9.9999999999999905E-15</v>
      </c>
      <c r="W1190">
        <v>1.47629677872538</v>
      </c>
      <c r="X1190">
        <v>2.4999999999999898</v>
      </c>
      <c r="Y1190">
        <v>67.789316381723097</v>
      </c>
      <c r="Z1190">
        <v>0.499999999999999</v>
      </c>
      <c r="AA1190">
        <v>122.40872125222801</v>
      </c>
      <c r="AB1190" s="9">
        <f t="shared" si="170"/>
        <v>-0.34817594501158861</v>
      </c>
      <c r="AC1190" s="9">
        <f t="shared" si="171"/>
        <v>-0.37828473228193571</v>
      </c>
      <c r="AD1190" s="2">
        <f t="shared" si="172"/>
        <v>8.6475782436219006E-2</v>
      </c>
      <c r="AE1190" s="8">
        <f t="shared" si="173"/>
        <v>4.9721370592790649E-3</v>
      </c>
      <c r="AF1190" s="2">
        <f t="shared" si="174"/>
        <v>-1.0239592092183562E-2</v>
      </c>
      <c r="AG1190" s="8">
        <f t="shared" si="175"/>
        <v>1.5211729151462626E-2</v>
      </c>
      <c r="AH1190" s="7">
        <f t="shared" si="176"/>
        <v>-0.67313794442619379</v>
      </c>
      <c r="AI1190">
        <f t="shared" si="177"/>
        <v>8</v>
      </c>
      <c r="AJ1190" s="10">
        <f t="shared" si="178"/>
        <v>0.97355066569360804</v>
      </c>
    </row>
    <row r="1191" spans="1:36" hidden="1" x14ac:dyDescent="0.25">
      <c r="A1191" t="b">
        <v>0</v>
      </c>
      <c r="B1191">
        <v>1000</v>
      </c>
      <c r="C1191">
        <v>0.97355066569360804</v>
      </c>
      <c r="D1191" t="s">
        <v>52</v>
      </c>
      <c r="E1191" t="b">
        <v>1</v>
      </c>
      <c r="F1191" t="s">
        <v>53</v>
      </c>
      <c r="G1191">
        <v>7.4999999999999997E-2</v>
      </c>
      <c r="H1191">
        <v>0.5</v>
      </c>
      <c r="I1191">
        <v>1E-4</v>
      </c>
      <c r="J1191" t="b">
        <v>1</v>
      </c>
      <c r="K1191">
        <v>8</v>
      </c>
      <c r="L1191">
        <v>1500</v>
      </c>
      <c r="M1191">
        <v>1</v>
      </c>
      <c r="N1191">
        <v>0.154</v>
      </c>
      <c r="O1191" t="s">
        <v>478</v>
      </c>
      <c r="P1191" t="s">
        <v>481</v>
      </c>
      <c r="Q1191">
        <v>-3.5159272305125902E-4</v>
      </c>
      <c r="R1191">
        <v>7.4576163593430599E-3</v>
      </c>
      <c r="S1191">
        <v>1.86054026664597E-3</v>
      </c>
      <c r="T1191">
        <v>-4.1453770067599101E-2</v>
      </c>
      <c r="U1191">
        <v>7.9545360927074702</v>
      </c>
      <c r="V1191" s="1">
        <v>9.9999999999999905E-15</v>
      </c>
      <c r="W1191">
        <v>1.3914978754913501</v>
      </c>
      <c r="X1191">
        <v>2.4999999999999898</v>
      </c>
      <c r="Y1191">
        <v>65.636440388946795</v>
      </c>
      <c r="Z1191">
        <v>0.499999999999999</v>
      </c>
      <c r="AA1191">
        <v>117.283580265219</v>
      </c>
      <c r="AB1191" s="9">
        <f t="shared" si="170"/>
        <v>-0.34813283481033386</v>
      </c>
      <c r="AC1191" s="9">
        <f t="shared" si="171"/>
        <v>-0.37828473228193571</v>
      </c>
      <c r="AD1191" s="2">
        <f t="shared" si="172"/>
        <v>8.6610323579586757E-2</v>
      </c>
      <c r="AE1191" s="8">
        <f t="shared" si="173"/>
        <v>4.957623946640414E-3</v>
      </c>
      <c r="AF1191" s="2">
        <f t="shared" si="174"/>
        <v>-1.0254105204822211E-2</v>
      </c>
      <c r="AG1191" s="8">
        <f t="shared" si="175"/>
        <v>1.5211729151462626E-2</v>
      </c>
      <c r="AH1191" s="7">
        <f t="shared" si="176"/>
        <v>-0.67409201825265652</v>
      </c>
      <c r="AI1191">
        <f t="shared" si="177"/>
        <v>8</v>
      </c>
      <c r="AJ1191" s="10">
        <f t="shared" si="178"/>
        <v>0.97355066569360804</v>
      </c>
    </row>
    <row r="1192" spans="1:36" hidden="1" x14ac:dyDescent="0.25">
      <c r="A1192" t="b">
        <v>0</v>
      </c>
      <c r="B1192">
        <v>1000</v>
      </c>
      <c r="C1192">
        <v>0.97355066569360804</v>
      </c>
      <c r="D1192" t="s">
        <v>52</v>
      </c>
      <c r="E1192" t="b">
        <v>1</v>
      </c>
      <c r="F1192" t="s">
        <v>53</v>
      </c>
      <c r="G1192">
        <v>7.4999999999999997E-2</v>
      </c>
      <c r="H1192">
        <v>0.5</v>
      </c>
      <c r="I1192">
        <v>1E-4</v>
      </c>
      <c r="J1192" t="b">
        <v>1</v>
      </c>
      <c r="K1192">
        <v>8</v>
      </c>
      <c r="L1192">
        <v>1500</v>
      </c>
      <c r="M1192">
        <v>1</v>
      </c>
      <c r="N1192">
        <v>0.154</v>
      </c>
      <c r="O1192" t="s">
        <v>478</v>
      </c>
      <c r="P1192" t="s">
        <v>482</v>
      </c>
      <c r="Q1192">
        <v>-4.0190062033270899E-4</v>
      </c>
      <c r="R1192">
        <v>8.8632094285120994E-3</v>
      </c>
      <c r="S1192">
        <v>2.1269479718191999E-3</v>
      </c>
      <c r="T1192">
        <v>-4.7395335685032798E-2</v>
      </c>
      <c r="U1192">
        <v>7.9539755723321202</v>
      </c>
      <c r="V1192" s="1">
        <v>9.9999999999999905E-15</v>
      </c>
      <c r="W1192">
        <v>1.4818904646483899</v>
      </c>
      <c r="X1192">
        <v>2.4999999999999898</v>
      </c>
      <c r="Y1192">
        <v>67.538170293379906</v>
      </c>
      <c r="Z1192">
        <v>0.499999999999999</v>
      </c>
      <c r="AA1192">
        <v>122.205500609224</v>
      </c>
      <c r="AB1192" s="9">
        <f t="shared" si="170"/>
        <v>-0.34817594501159133</v>
      </c>
      <c r="AC1192" s="9">
        <f t="shared" si="171"/>
        <v>-0.37828473228193571</v>
      </c>
      <c r="AD1192" s="2">
        <f t="shared" si="172"/>
        <v>8.6475782436210569E-2</v>
      </c>
      <c r="AE1192" s="8">
        <f t="shared" si="173"/>
        <v>4.9721370592799869E-3</v>
      </c>
      <c r="AF1192" s="2">
        <f t="shared" si="174"/>
        <v>-1.0239592092182639E-2</v>
      </c>
      <c r="AG1192" s="8">
        <f t="shared" si="175"/>
        <v>1.5211729151462626E-2</v>
      </c>
      <c r="AH1192" s="7">
        <f t="shared" si="176"/>
        <v>-0.67313794442613317</v>
      </c>
      <c r="AI1192">
        <f t="shared" si="177"/>
        <v>8</v>
      </c>
      <c r="AJ1192" s="10">
        <f t="shared" si="178"/>
        <v>0.97355066569360804</v>
      </c>
    </row>
    <row r="1193" spans="1:36" hidden="1" x14ac:dyDescent="0.25">
      <c r="A1193" t="b">
        <v>0</v>
      </c>
      <c r="B1193">
        <v>1000</v>
      </c>
      <c r="C1193">
        <v>0.97355066569360804</v>
      </c>
      <c r="D1193" t="s">
        <v>52</v>
      </c>
      <c r="E1193" t="b">
        <v>1</v>
      </c>
      <c r="F1193" t="s">
        <v>53</v>
      </c>
      <c r="G1193">
        <v>7.4999999999999997E-2</v>
      </c>
      <c r="H1193">
        <v>0.5</v>
      </c>
      <c r="I1193">
        <v>1E-4</v>
      </c>
      <c r="J1193" t="b">
        <v>1</v>
      </c>
      <c r="K1193">
        <v>8</v>
      </c>
      <c r="L1193">
        <v>1500</v>
      </c>
      <c r="M1193">
        <v>1</v>
      </c>
      <c r="N1193">
        <v>0.154</v>
      </c>
      <c r="O1193" t="s">
        <v>478</v>
      </c>
      <c r="P1193" t="s">
        <v>483</v>
      </c>
      <c r="Q1193">
        <v>-7.5365294344690204E-4</v>
      </c>
      <c r="R1193">
        <v>1.6145548023578701E-2</v>
      </c>
      <c r="S1193">
        <v>3.98710670986258E-3</v>
      </c>
      <c r="T1193">
        <v>-8.8802929505105002E-2</v>
      </c>
      <c r="U1193">
        <v>7.9500670314030799</v>
      </c>
      <c r="V1193" s="1">
        <v>9.9999999999999905E-15</v>
      </c>
      <c r="W1193">
        <v>1.41578477702559</v>
      </c>
      <c r="X1193">
        <v>2.4999999999999898</v>
      </c>
      <c r="Y1193">
        <v>66.0907377556493</v>
      </c>
      <c r="Z1193">
        <v>0.499999999999999</v>
      </c>
      <c r="AA1193">
        <v>118.529391484765</v>
      </c>
      <c r="AB1193" s="9">
        <f t="shared" si="170"/>
        <v>-0.34800818600741412</v>
      </c>
      <c r="AC1193" s="9">
        <f t="shared" si="171"/>
        <v>-0.37828473228193571</v>
      </c>
      <c r="AD1193" s="2">
        <f t="shared" si="172"/>
        <v>8.6999523263733058E-2</v>
      </c>
      <c r="AE1193" s="8">
        <f t="shared" si="173"/>
        <v>4.9156631019658626E-3</v>
      </c>
      <c r="AF1193" s="2">
        <f t="shared" si="174"/>
        <v>-1.0296066049496764E-2</v>
      </c>
      <c r="AG1193" s="8">
        <f t="shared" si="175"/>
        <v>1.5211729151462626E-2</v>
      </c>
      <c r="AH1193" s="7">
        <f t="shared" si="176"/>
        <v>-0.67685047156567235</v>
      </c>
      <c r="AI1193">
        <f t="shared" si="177"/>
        <v>8</v>
      </c>
      <c r="AJ1193" s="10">
        <f t="shared" si="178"/>
        <v>0.97355066569360804</v>
      </c>
    </row>
    <row r="1194" spans="1:36" hidden="1" x14ac:dyDescent="0.25">
      <c r="A1194" t="b">
        <v>0</v>
      </c>
      <c r="B1194">
        <v>1000</v>
      </c>
      <c r="C1194">
        <v>0.97355066569360804</v>
      </c>
      <c r="D1194" t="s">
        <v>52</v>
      </c>
      <c r="E1194" t="b">
        <v>1</v>
      </c>
      <c r="F1194" t="s">
        <v>53</v>
      </c>
      <c r="G1194">
        <v>7.4999999999999997E-2</v>
      </c>
      <c r="H1194">
        <v>0.5</v>
      </c>
      <c r="I1194">
        <v>1E-4</v>
      </c>
      <c r="J1194" t="b">
        <v>1</v>
      </c>
      <c r="K1194">
        <v>8</v>
      </c>
      <c r="L1194">
        <v>1500</v>
      </c>
      <c r="M1194">
        <v>1</v>
      </c>
      <c r="N1194">
        <v>0.154</v>
      </c>
      <c r="O1194" t="s">
        <v>479</v>
      </c>
      <c r="P1194" t="s">
        <v>480</v>
      </c>
      <c r="Q1194">
        <v>-3.5161276527514101E-4</v>
      </c>
      <c r="R1194">
        <v>7.3851948736144597E-3</v>
      </c>
      <c r="S1194">
        <v>1.86049239899886E-3</v>
      </c>
      <c r="T1194">
        <v>-4.1447973681848799E-2</v>
      </c>
      <c r="U1194">
        <v>7.9534150563771604</v>
      </c>
      <c r="V1194" s="1">
        <v>9.9999999999999905E-15</v>
      </c>
      <c r="W1194">
        <v>1.3955659805073299</v>
      </c>
      <c r="X1194">
        <v>2.4999999999999898</v>
      </c>
      <c r="Y1194">
        <v>64.788585624309107</v>
      </c>
      <c r="Z1194">
        <v>0.499999999999999</v>
      </c>
      <c r="AA1194">
        <v>116.233111985202</v>
      </c>
      <c r="AB1194" s="9">
        <f t="shared" si="170"/>
        <v>-0.34809311187047975</v>
      </c>
      <c r="AC1194" s="9">
        <f t="shared" si="171"/>
        <v>-0.37828473228193571</v>
      </c>
      <c r="AD1194" s="2">
        <f t="shared" si="172"/>
        <v>8.6734323035641658E-2</v>
      </c>
      <c r="AE1194" s="8">
        <f t="shared" si="173"/>
        <v>4.9442515315949028E-3</v>
      </c>
      <c r="AF1194" s="2">
        <f t="shared" si="174"/>
        <v>-1.0267477619867724E-2</v>
      </c>
      <c r="AG1194" s="8">
        <f t="shared" si="175"/>
        <v>1.5211729151462626E-2</v>
      </c>
      <c r="AH1194" s="7">
        <f t="shared" si="176"/>
        <v>-0.67497110404969929</v>
      </c>
      <c r="AI1194">
        <f t="shared" si="177"/>
        <v>8</v>
      </c>
      <c r="AJ1194" s="10">
        <f t="shared" si="178"/>
        <v>0.97355066569360804</v>
      </c>
    </row>
    <row r="1195" spans="1:36" hidden="1" x14ac:dyDescent="0.25">
      <c r="A1195" t="b">
        <v>0</v>
      </c>
      <c r="B1195">
        <v>1000</v>
      </c>
      <c r="C1195">
        <v>0.97355066569360804</v>
      </c>
      <c r="D1195" t="s">
        <v>52</v>
      </c>
      <c r="E1195" t="b">
        <v>1</v>
      </c>
      <c r="F1195" t="s">
        <v>53</v>
      </c>
      <c r="G1195">
        <v>7.4999999999999997E-2</v>
      </c>
      <c r="H1195">
        <v>0.5</v>
      </c>
      <c r="I1195">
        <v>1E-4</v>
      </c>
      <c r="J1195" t="b">
        <v>1</v>
      </c>
      <c r="K1195">
        <v>8</v>
      </c>
      <c r="L1195">
        <v>1500</v>
      </c>
      <c r="M1195">
        <v>1</v>
      </c>
      <c r="N1195">
        <v>0.154</v>
      </c>
      <c r="O1195" t="s">
        <v>479</v>
      </c>
      <c r="P1195" t="s">
        <v>481</v>
      </c>
      <c r="Q1195">
        <v>-3.01304867993637E-4</v>
      </c>
      <c r="R1195">
        <v>7.3361847007476604E-3</v>
      </c>
      <c r="S1195">
        <v>1.5940846938256399E-3</v>
      </c>
      <c r="T1195">
        <v>-3.5506408064415698E-2</v>
      </c>
      <c r="U1195">
        <v>7.9539755767006</v>
      </c>
      <c r="V1195" s="1">
        <v>9.9999999999999905E-15</v>
      </c>
      <c r="W1195">
        <v>1.6613187791879001</v>
      </c>
      <c r="X1195">
        <v>2.4999999999999898</v>
      </c>
      <c r="Y1195">
        <v>73.658869275000399</v>
      </c>
      <c r="Z1195">
        <v>0.499999999999999</v>
      </c>
      <c r="AA1195">
        <v>135.22387075505799</v>
      </c>
      <c r="AB1195" s="9">
        <f t="shared" si="170"/>
        <v>-0.34802895238587472</v>
      </c>
      <c r="AC1195" s="9">
        <f t="shared" si="171"/>
        <v>-0.37828473228193571</v>
      </c>
      <c r="AD1195" s="2">
        <f t="shared" si="172"/>
        <v>8.6934663592341366E-2</v>
      </c>
      <c r="AE1195" s="8">
        <f t="shared" si="173"/>
        <v>4.9226534976903567E-3</v>
      </c>
      <c r="AF1195" s="2">
        <f t="shared" si="174"/>
        <v>-1.0289075653772269E-2</v>
      </c>
      <c r="AG1195" s="8">
        <f t="shared" si="175"/>
        <v>1.5211729151462626E-2</v>
      </c>
      <c r="AH1195" s="7">
        <f t="shared" si="176"/>
        <v>-0.67639093171619891</v>
      </c>
      <c r="AI1195">
        <f t="shared" si="177"/>
        <v>8</v>
      </c>
      <c r="AJ1195" s="10">
        <f t="shared" si="178"/>
        <v>0.97355066569360804</v>
      </c>
    </row>
    <row r="1196" spans="1:36" hidden="1" x14ac:dyDescent="0.25">
      <c r="A1196" t="b">
        <v>0</v>
      </c>
      <c r="B1196">
        <v>1000</v>
      </c>
      <c r="C1196">
        <v>0.97355066569360804</v>
      </c>
      <c r="D1196" t="s">
        <v>52</v>
      </c>
      <c r="E1196" t="b">
        <v>1</v>
      </c>
      <c r="F1196" t="s">
        <v>53</v>
      </c>
      <c r="G1196">
        <v>7.4999999999999997E-2</v>
      </c>
      <c r="H1196">
        <v>0.5</v>
      </c>
      <c r="I1196">
        <v>1E-4</v>
      </c>
      <c r="J1196" t="b">
        <v>1</v>
      </c>
      <c r="K1196">
        <v>8</v>
      </c>
      <c r="L1196">
        <v>1500</v>
      </c>
      <c r="M1196">
        <v>1</v>
      </c>
      <c r="N1196">
        <v>0.154</v>
      </c>
      <c r="O1196" t="s">
        <v>479</v>
      </c>
      <c r="P1196" t="s">
        <v>482</v>
      </c>
      <c r="Q1196">
        <v>-3.5161276527513098E-4</v>
      </c>
      <c r="R1196">
        <v>7.4767128416661699E-3</v>
      </c>
      <c r="S1196">
        <v>1.86049239899887E-3</v>
      </c>
      <c r="T1196">
        <v>-4.1447973681849298E-2</v>
      </c>
      <c r="U1196">
        <v>7.9534150563252499</v>
      </c>
      <c r="V1196" s="1">
        <v>9.9999999999999905E-15</v>
      </c>
      <c r="W1196">
        <v>1.42161204079633</v>
      </c>
      <c r="X1196">
        <v>2.4999999999999898</v>
      </c>
      <c r="Y1196">
        <v>65.397034621835701</v>
      </c>
      <c r="Z1196">
        <v>0.499999999999999</v>
      </c>
      <c r="AA1196">
        <v>117.745536377473</v>
      </c>
      <c r="AB1196" s="9">
        <f t="shared" si="170"/>
        <v>-0.34809311187048209</v>
      </c>
      <c r="AC1196" s="9">
        <f t="shared" si="171"/>
        <v>-0.37828473228193571</v>
      </c>
      <c r="AD1196" s="2">
        <f t="shared" si="172"/>
        <v>8.6734323035634331E-2</v>
      </c>
      <c r="AE1196" s="8">
        <f t="shared" si="173"/>
        <v>4.9442515315956748E-3</v>
      </c>
      <c r="AF1196" s="2">
        <f t="shared" si="174"/>
        <v>-1.026747761986695E-2</v>
      </c>
      <c r="AG1196" s="8">
        <f t="shared" si="175"/>
        <v>1.5211729151462626E-2</v>
      </c>
      <c r="AH1196" s="7">
        <f t="shared" si="176"/>
        <v>-0.67497110404964844</v>
      </c>
      <c r="AI1196">
        <f t="shared" si="177"/>
        <v>8</v>
      </c>
      <c r="AJ1196" s="10">
        <f t="shared" si="178"/>
        <v>0.97355066569360804</v>
      </c>
    </row>
    <row r="1197" spans="1:36" hidden="1" x14ac:dyDescent="0.25">
      <c r="A1197" t="b">
        <v>0</v>
      </c>
      <c r="B1197">
        <v>1000</v>
      </c>
      <c r="C1197">
        <v>0.97355066569360804</v>
      </c>
      <c r="D1197" t="s">
        <v>52</v>
      </c>
      <c r="E1197" t="b">
        <v>1</v>
      </c>
      <c r="F1197" t="s">
        <v>53</v>
      </c>
      <c r="G1197">
        <v>7.4999999999999997E-2</v>
      </c>
      <c r="H1197">
        <v>0.5</v>
      </c>
      <c r="I1197">
        <v>1E-4</v>
      </c>
      <c r="J1197" t="b">
        <v>1</v>
      </c>
      <c r="K1197">
        <v>8</v>
      </c>
      <c r="L1197">
        <v>1500</v>
      </c>
      <c r="M1197">
        <v>1</v>
      </c>
      <c r="N1197">
        <v>0.154</v>
      </c>
      <c r="O1197" t="s">
        <v>479</v>
      </c>
      <c r="P1197" t="s">
        <v>483</v>
      </c>
      <c r="Q1197">
        <v>-7.0336508838942399E-4</v>
      </c>
      <c r="R1197">
        <v>1.4709020342304001E-2</v>
      </c>
      <c r="S1197">
        <v>3.7206511370422601E-3</v>
      </c>
      <c r="T1197">
        <v>-8.2855567501921898E-2</v>
      </c>
      <c r="U1197">
        <v>7.9495065153962097</v>
      </c>
      <c r="V1197" s="1">
        <v>9.9999999999999905E-15</v>
      </c>
      <c r="W1197">
        <v>1.38256741698684</v>
      </c>
      <c r="X1197">
        <v>2.4999999999999898</v>
      </c>
      <c r="Y1197">
        <v>64.633519558799094</v>
      </c>
      <c r="Z1197">
        <v>0.499999999999999</v>
      </c>
      <c r="AA1197">
        <v>115.67405911291701</v>
      </c>
      <c r="AB1197" s="9">
        <f t="shared" si="170"/>
        <v>-0.34795475161014139</v>
      </c>
      <c r="AC1197" s="9">
        <f t="shared" si="171"/>
        <v>-0.37828473228193571</v>
      </c>
      <c r="AD1197" s="2">
        <f t="shared" si="172"/>
        <v>8.7166450613029411E-2</v>
      </c>
      <c r="AE1197" s="8">
        <f t="shared" si="173"/>
        <v>4.8976764174305954E-3</v>
      </c>
      <c r="AF1197" s="2">
        <f t="shared" si="174"/>
        <v>-1.031405273403203E-2</v>
      </c>
      <c r="AG1197" s="8">
        <f t="shared" si="175"/>
        <v>1.5211729151462626E-2</v>
      </c>
      <c r="AH1197" s="7">
        <f t="shared" si="176"/>
        <v>-0.67803289365300867</v>
      </c>
      <c r="AI1197">
        <f t="shared" si="177"/>
        <v>8</v>
      </c>
      <c r="AJ1197" s="10">
        <f t="shared" si="178"/>
        <v>0.97355066569360804</v>
      </c>
    </row>
    <row r="1198" spans="1:36" hidden="1" x14ac:dyDescent="0.25">
      <c r="A1198" t="b">
        <v>0</v>
      </c>
      <c r="B1198">
        <v>1000</v>
      </c>
      <c r="C1198">
        <v>0.97355066569360804</v>
      </c>
      <c r="D1198" t="s">
        <v>52</v>
      </c>
      <c r="E1198" t="b">
        <v>1</v>
      </c>
      <c r="F1198" t="s">
        <v>53</v>
      </c>
      <c r="G1198">
        <v>7.4999999999999997E-2</v>
      </c>
      <c r="H1198">
        <v>0.5</v>
      </c>
      <c r="I1198">
        <v>1E-4</v>
      </c>
      <c r="J1198" t="b">
        <v>1</v>
      </c>
      <c r="K1198">
        <v>8</v>
      </c>
      <c r="L1198">
        <v>1500</v>
      </c>
      <c r="M1198">
        <v>1</v>
      </c>
      <c r="N1198">
        <v>0.154</v>
      </c>
      <c r="O1198" t="s">
        <v>480</v>
      </c>
      <c r="P1198" t="s">
        <v>483</v>
      </c>
      <c r="Q1198">
        <v>-3.5175232311589899E-4</v>
      </c>
      <c r="R1198">
        <v>7.4165529110658199E-3</v>
      </c>
      <c r="S1198">
        <v>1.8601587380433901E-3</v>
      </c>
      <c r="T1198">
        <v>-4.1407593820073099E-2</v>
      </c>
      <c r="U1198">
        <v>7.9455980082190898</v>
      </c>
      <c r="V1198" s="1">
        <v>9.9999999999999905E-15</v>
      </c>
      <c r="W1198">
        <v>1.38878421663963</v>
      </c>
      <c r="X1198">
        <v>2.4999999999999898</v>
      </c>
      <c r="Y1198">
        <v>65.190339213421097</v>
      </c>
      <c r="Z1198">
        <v>0.499999999999999</v>
      </c>
      <c r="AA1198">
        <v>116.61005119500599</v>
      </c>
      <c r="AB1198" s="9">
        <f t="shared" si="170"/>
        <v>-0.34781636653180636</v>
      </c>
      <c r="AC1198" s="9">
        <f t="shared" si="171"/>
        <v>-0.37828473228193571</v>
      </c>
      <c r="AD1198" s="2">
        <f t="shared" si="172"/>
        <v>8.7598999592628735E-2</v>
      </c>
      <c r="AE1198" s="8">
        <f t="shared" si="173"/>
        <v>4.8510972670803929E-3</v>
      </c>
      <c r="AF1198" s="2">
        <f t="shared" si="174"/>
        <v>-1.0360631884382233E-2</v>
      </c>
      <c r="AG1198" s="8">
        <f t="shared" si="175"/>
        <v>1.5211729151462626E-2</v>
      </c>
      <c r="AH1198" s="7">
        <f t="shared" si="176"/>
        <v>-0.68109494859011777</v>
      </c>
      <c r="AI1198">
        <f t="shared" si="177"/>
        <v>8</v>
      </c>
      <c r="AJ1198" s="10">
        <f t="shared" si="178"/>
        <v>0.97355066569360804</v>
      </c>
    </row>
    <row r="1199" spans="1:36" hidden="1" x14ac:dyDescent="0.25">
      <c r="A1199" t="b">
        <v>0</v>
      </c>
      <c r="B1199">
        <v>1000</v>
      </c>
      <c r="C1199">
        <v>0.97355066569360804</v>
      </c>
      <c r="D1199" t="s">
        <v>52</v>
      </c>
      <c r="E1199" t="b">
        <v>1</v>
      </c>
      <c r="F1199" t="s">
        <v>53</v>
      </c>
      <c r="G1199">
        <v>7.4999999999999997E-2</v>
      </c>
      <c r="H1199">
        <v>0.5</v>
      </c>
      <c r="I1199">
        <v>1E-4</v>
      </c>
      <c r="J1199" t="b">
        <v>1</v>
      </c>
      <c r="K1199">
        <v>8</v>
      </c>
      <c r="L1199">
        <v>1500</v>
      </c>
      <c r="M1199">
        <v>1</v>
      </c>
      <c r="N1199">
        <v>0.154</v>
      </c>
      <c r="O1199" t="s">
        <v>481</v>
      </c>
      <c r="P1199" t="s">
        <v>482</v>
      </c>
      <c r="Q1199" s="1">
        <v>-5.0307897281814399E-5</v>
      </c>
      <c r="R1199">
        <v>1.12480179431173E-3</v>
      </c>
      <c r="S1199">
        <v>2.6640770517323201E-4</v>
      </c>
      <c r="T1199">
        <v>-5.9415656174336504E-3</v>
      </c>
      <c r="U1199">
        <v>7.9500670694715696</v>
      </c>
      <c r="V1199" s="1">
        <v>9.9999999999999905E-15</v>
      </c>
      <c r="W1199">
        <v>1.48967497984695</v>
      </c>
      <c r="X1199">
        <v>2.4999999999999898</v>
      </c>
      <c r="Y1199">
        <v>68.599190969914702</v>
      </c>
      <c r="Z1199">
        <v>0.499999999999999</v>
      </c>
      <c r="AA1199">
        <v>123.834073943571</v>
      </c>
      <c r="AB1199" s="9">
        <f t="shared" si="170"/>
        <v>-0.34847701838065614</v>
      </c>
      <c r="AC1199" s="9">
        <f t="shared" si="171"/>
        <v>-0.37828473228193571</v>
      </c>
      <c r="AD1199" s="2">
        <f t="shared" si="172"/>
        <v>8.5537100953725798E-2</v>
      </c>
      <c r="AE1199" s="8">
        <f t="shared" si="173"/>
        <v>5.0735055390975963E-3</v>
      </c>
      <c r="AF1199" s="2">
        <f t="shared" si="174"/>
        <v>-1.0138223612365029E-2</v>
      </c>
      <c r="AG1199" s="8">
        <f t="shared" si="175"/>
        <v>1.5211729151462626E-2</v>
      </c>
      <c r="AH1199" s="7">
        <f t="shared" si="176"/>
        <v>-0.66647410767172555</v>
      </c>
      <c r="AI1199">
        <f t="shared" si="177"/>
        <v>8</v>
      </c>
      <c r="AJ1199" s="10">
        <f t="shared" si="178"/>
        <v>0.97355066569360804</v>
      </c>
    </row>
    <row r="1200" spans="1:36" hidden="1" x14ac:dyDescent="0.25">
      <c r="A1200" t="b">
        <v>0</v>
      </c>
      <c r="B1200">
        <v>1000</v>
      </c>
      <c r="C1200">
        <v>0.97355066569360804</v>
      </c>
      <c r="D1200" t="s">
        <v>52</v>
      </c>
      <c r="E1200" t="b">
        <v>1</v>
      </c>
      <c r="F1200" t="s">
        <v>53</v>
      </c>
      <c r="G1200">
        <v>7.4999999999999997E-2</v>
      </c>
      <c r="H1200">
        <v>0.5</v>
      </c>
      <c r="I1200">
        <v>1E-4</v>
      </c>
      <c r="J1200" t="b">
        <v>1</v>
      </c>
      <c r="K1200">
        <v>8</v>
      </c>
      <c r="L1200">
        <v>1500</v>
      </c>
      <c r="M1200">
        <v>1</v>
      </c>
      <c r="N1200">
        <v>0.154</v>
      </c>
      <c r="O1200" t="s">
        <v>481</v>
      </c>
      <c r="P1200" t="s">
        <v>483</v>
      </c>
      <c r="Q1200">
        <v>-4.0206022039734299E-4</v>
      </c>
      <c r="R1200">
        <v>8.9030897702181092E-3</v>
      </c>
      <c r="S1200">
        <v>2.12656644321661E-3</v>
      </c>
      <c r="T1200">
        <v>-4.7349159437506103E-2</v>
      </c>
      <c r="U1200">
        <v>7.9461585285425302</v>
      </c>
      <c r="V1200" s="1">
        <v>9.9999999999999905E-15</v>
      </c>
      <c r="W1200">
        <v>1.47305779190868</v>
      </c>
      <c r="X1200">
        <v>2.4999999999999898</v>
      </c>
      <c r="Y1200">
        <v>68.007603076218601</v>
      </c>
      <c r="Z1200">
        <v>0.499999999999999</v>
      </c>
      <c r="AA1200">
        <v>122.621155141112</v>
      </c>
      <c r="AB1200" s="9">
        <f t="shared" si="170"/>
        <v>-0.34789913034270259</v>
      </c>
      <c r="AC1200" s="9">
        <f t="shared" si="171"/>
        <v>-0.37828473228193571</v>
      </c>
      <c r="AD1200" s="2">
        <f t="shared" si="172"/>
        <v>8.7340264142946822E-2</v>
      </c>
      <c r="AE1200" s="8">
        <f t="shared" si="173"/>
        <v>4.878954289053869E-3</v>
      </c>
      <c r="AF1200" s="2">
        <f t="shared" si="174"/>
        <v>-1.0332774862408757E-2</v>
      </c>
      <c r="AG1200" s="8">
        <f t="shared" si="175"/>
        <v>1.5211729151462626E-2</v>
      </c>
      <c r="AH1200" s="7">
        <f t="shared" si="176"/>
        <v>-0.6792636628962887</v>
      </c>
      <c r="AI1200">
        <f t="shared" si="177"/>
        <v>8</v>
      </c>
      <c r="AJ1200" s="10">
        <f t="shared" si="178"/>
        <v>0.97355066569360804</v>
      </c>
    </row>
    <row r="1201" spans="1:36" hidden="1" x14ac:dyDescent="0.25">
      <c r="A1201" t="b">
        <v>0</v>
      </c>
      <c r="B1201">
        <v>1000</v>
      </c>
      <c r="C1201">
        <v>0.97355066569360804</v>
      </c>
      <c r="D1201" t="s">
        <v>52</v>
      </c>
      <c r="E1201" t="b">
        <v>1</v>
      </c>
      <c r="F1201" t="s">
        <v>53</v>
      </c>
      <c r="G1201">
        <v>7.4999999999999997E-2</v>
      </c>
      <c r="H1201">
        <v>0.5</v>
      </c>
      <c r="I1201">
        <v>1E-4</v>
      </c>
      <c r="J1201" t="b">
        <v>1</v>
      </c>
      <c r="K1201">
        <v>8</v>
      </c>
      <c r="L1201">
        <v>1500</v>
      </c>
      <c r="M1201">
        <v>1</v>
      </c>
      <c r="N1201">
        <v>0.154</v>
      </c>
      <c r="O1201" t="s">
        <v>482</v>
      </c>
      <c r="P1201" t="s">
        <v>483</v>
      </c>
      <c r="Q1201">
        <v>-3.5175232311589601E-4</v>
      </c>
      <c r="R1201">
        <v>7.3445509970688798E-3</v>
      </c>
      <c r="S1201">
        <v>1.8601587380433901E-3</v>
      </c>
      <c r="T1201">
        <v>-4.1407593820072697E-2</v>
      </c>
      <c r="U1201">
        <v>7.9455980081671802</v>
      </c>
      <c r="V1201" s="1">
        <v>9.9999999999999905E-15</v>
      </c>
      <c r="W1201">
        <v>1.3826139119713301</v>
      </c>
      <c r="X1201">
        <v>2.4999999999999898</v>
      </c>
      <c r="Y1201">
        <v>64.503958652600105</v>
      </c>
      <c r="Z1201">
        <v>0.499999999999999</v>
      </c>
      <c r="AA1201">
        <v>115.505709327817</v>
      </c>
      <c r="AB1201" s="9">
        <f t="shared" si="170"/>
        <v>-0.34781636653180298</v>
      </c>
      <c r="AC1201" s="9">
        <f t="shared" si="171"/>
        <v>-0.37828473228193571</v>
      </c>
      <c r="AD1201" s="2">
        <f t="shared" si="172"/>
        <v>8.7598999592639393E-2</v>
      </c>
      <c r="AE1201" s="8">
        <f t="shared" si="173"/>
        <v>4.8510972670792463E-3</v>
      </c>
      <c r="AF1201" s="2">
        <f t="shared" si="174"/>
        <v>-1.0360631884383379E-2</v>
      </c>
      <c r="AG1201" s="8">
        <f t="shared" si="175"/>
        <v>1.5211729151462626E-2</v>
      </c>
      <c r="AH1201" s="7">
        <f t="shared" si="176"/>
        <v>-0.68109494859019315</v>
      </c>
      <c r="AI1201">
        <f t="shared" si="177"/>
        <v>8</v>
      </c>
      <c r="AJ1201" s="10">
        <f t="shared" si="178"/>
        <v>0.97355066569360804</v>
      </c>
    </row>
    <row r="1202" spans="1:36" hidden="1" x14ac:dyDescent="0.25">
      <c r="A1202" t="b">
        <v>0</v>
      </c>
      <c r="B1202">
        <v>1000</v>
      </c>
      <c r="C1202">
        <v>0.97355066569361104</v>
      </c>
      <c r="D1202" t="s">
        <v>52</v>
      </c>
      <c r="E1202" t="b">
        <v>1</v>
      </c>
      <c r="F1202" t="s">
        <v>53</v>
      </c>
      <c r="G1202">
        <v>7.4999999999999997E-2</v>
      </c>
      <c r="H1202">
        <v>0.5</v>
      </c>
      <c r="I1202">
        <v>1E-4</v>
      </c>
      <c r="J1202" t="b">
        <v>1</v>
      </c>
      <c r="K1202">
        <v>4</v>
      </c>
      <c r="L1202">
        <v>1500</v>
      </c>
      <c r="M1202">
        <v>1</v>
      </c>
      <c r="N1202">
        <v>0.154</v>
      </c>
      <c r="O1202" t="s">
        <v>484</v>
      </c>
      <c r="P1202" t="s">
        <v>485</v>
      </c>
      <c r="Q1202" s="1">
        <v>-1.96592818360625E-5</v>
      </c>
      <c r="R1202" s="1">
        <v>7.3626731295035205E-5</v>
      </c>
      <c r="S1202" s="1">
        <v>7.0317777763961495E-5</v>
      </c>
      <c r="T1202">
        <v>-5.3071996598372598E-4</v>
      </c>
      <c r="U1202">
        <v>4.0695711537199397</v>
      </c>
      <c r="V1202" s="1">
        <v>9.9999999999999905E-15</v>
      </c>
      <c r="W1202">
        <v>0.25088530895484201</v>
      </c>
      <c r="X1202">
        <v>2.4999999999999898</v>
      </c>
      <c r="Y1202">
        <v>11.4546872526321</v>
      </c>
      <c r="Z1202">
        <v>0.49999999999969102</v>
      </c>
      <c r="AA1202">
        <v>20.755169280231598</v>
      </c>
      <c r="AB1202" s="9">
        <f t="shared" si="170"/>
        <v>-0.47171567317337498</v>
      </c>
      <c r="AC1202" s="9">
        <f t="shared" si="171"/>
        <v>-0.50540410712752593</v>
      </c>
      <c r="AD1202" s="2">
        <f t="shared" si="172"/>
        <v>7.1416821339682413E-2</v>
      </c>
      <c r="AE1202" s="8">
        <f t="shared" si="173"/>
        <v>4.8358081432970469E-2</v>
      </c>
      <c r="AF1202" s="2">
        <f t="shared" si="174"/>
        <v>-1.2488835172880221E-2</v>
      </c>
      <c r="AG1202" s="8">
        <f t="shared" si="175"/>
        <v>6.084691660585069E-2</v>
      </c>
      <c r="AH1202" s="7">
        <f t="shared" si="176"/>
        <v>-0.2052500910404286</v>
      </c>
      <c r="AI1202">
        <f t="shared" si="177"/>
        <v>4</v>
      </c>
      <c r="AJ1202" s="10">
        <f t="shared" si="178"/>
        <v>0.97355066569361104</v>
      </c>
    </row>
    <row r="1203" spans="1:36" hidden="1" x14ac:dyDescent="0.25">
      <c r="A1203" t="b">
        <v>0</v>
      </c>
      <c r="B1203">
        <v>1000</v>
      </c>
      <c r="C1203">
        <v>0.97355066569361104</v>
      </c>
      <c r="D1203" t="s">
        <v>52</v>
      </c>
      <c r="E1203" t="b">
        <v>1</v>
      </c>
      <c r="F1203" t="s">
        <v>53</v>
      </c>
      <c r="G1203">
        <v>7.4999999999999997E-2</v>
      </c>
      <c r="H1203">
        <v>0.5</v>
      </c>
      <c r="I1203">
        <v>1E-4</v>
      </c>
      <c r="J1203" t="b">
        <v>1</v>
      </c>
      <c r="K1203">
        <v>4</v>
      </c>
      <c r="L1203">
        <v>1500</v>
      </c>
      <c r="M1203">
        <v>1</v>
      </c>
      <c r="N1203">
        <v>0.154</v>
      </c>
      <c r="O1203" t="s">
        <v>484</v>
      </c>
      <c r="P1203" t="s">
        <v>486</v>
      </c>
      <c r="Q1203">
        <v>-1.57144627481307E-4</v>
      </c>
      <c r="R1203">
        <v>5.8793371648366603E-4</v>
      </c>
      <c r="S1203">
        <v>5.6200889555700401E-4</v>
      </c>
      <c r="T1203">
        <v>-4.2385669963034998E-3</v>
      </c>
      <c r="U1203">
        <v>4.0688876863192904</v>
      </c>
      <c r="V1203" s="1">
        <v>9.9999999999999905E-15</v>
      </c>
      <c r="W1203">
        <v>0.247977095147314</v>
      </c>
      <c r="X1203">
        <v>2.4999999999999898</v>
      </c>
      <c r="Y1203">
        <v>11.481058657387299</v>
      </c>
      <c r="Z1203">
        <v>0.49999999999850597</v>
      </c>
      <c r="AA1203">
        <v>20.718298453484</v>
      </c>
      <c r="AB1203" s="9">
        <f t="shared" si="170"/>
        <v>-0.47136342389459407</v>
      </c>
      <c r="AC1203" s="9">
        <f t="shared" si="171"/>
        <v>-0.50540410712752593</v>
      </c>
      <c r="AD1203" s="2">
        <f t="shared" si="172"/>
        <v>7.2217489748513053E-2</v>
      </c>
      <c r="AE1203" s="8">
        <f t="shared" si="173"/>
        <v>4.8229050244742028E-2</v>
      </c>
      <c r="AF1203" s="2">
        <f t="shared" si="174"/>
        <v>-1.2617866361108662E-2</v>
      </c>
      <c r="AG1203" s="8">
        <f t="shared" si="175"/>
        <v>6.084691660585069E-2</v>
      </c>
      <c r="AH1203" s="7">
        <f t="shared" si="176"/>
        <v>-0.20737067816999952</v>
      </c>
      <c r="AI1203">
        <f t="shared" si="177"/>
        <v>4</v>
      </c>
      <c r="AJ1203" s="10">
        <f t="shared" si="178"/>
        <v>0.97355066569361104</v>
      </c>
    </row>
    <row r="1204" spans="1:36" hidden="1" x14ac:dyDescent="0.25">
      <c r="A1204" t="b">
        <v>0</v>
      </c>
      <c r="B1204">
        <v>1000</v>
      </c>
      <c r="C1204">
        <v>0.97355066569361104</v>
      </c>
      <c r="D1204" t="s">
        <v>52</v>
      </c>
      <c r="E1204" t="b">
        <v>1</v>
      </c>
      <c r="F1204" t="s">
        <v>53</v>
      </c>
      <c r="G1204">
        <v>7.4999999999999997E-2</v>
      </c>
      <c r="H1204">
        <v>0.5</v>
      </c>
      <c r="I1204">
        <v>1E-4</v>
      </c>
      <c r="J1204" t="b">
        <v>1</v>
      </c>
      <c r="K1204">
        <v>4</v>
      </c>
      <c r="L1204">
        <v>1500</v>
      </c>
      <c r="M1204">
        <v>1</v>
      </c>
      <c r="N1204">
        <v>0.154</v>
      </c>
      <c r="O1204" t="s">
        <v>484</v>
      </c>
      <c r="P1204" t="s">
        <v>487</v>
      </c>
      <c r="Q1204" s="1">
        <v>-1.9659281836061599E-5</v>
      </c>
      <c r="R1204" s="1">
        <v>7.3459591744228707E-5</v>
      </c>
      <c r="S1204" s="1">
        <v>7.0317777763951006E-5</v>
      </c>
      <c r="T1204">
        <v>-5.3071996598330498E-4</v>
      </c>
      <c r="U1204">
        <v>4.0695711537914399</v>
      </c>
      <c r="V1204" s="1">
        <v>9.9999999999999905E-15</v>
      </c>
      <c r="W1204">
        <v>0.25092479458456901</v>
      </c>
      <c r="X1204">
        <v>2.4999999999999898</v>
      </c>
      <c r="Y1204">
        <v>11.4209658770754</v>
      </c>
      <c r="Z1204">
        <v>0.49999999999969102</v>
      </c>
      <c r="AA1204">
        <v>20.711869695006101</v>
      </c>
      <c r="AB1204" s="9">
        <f t="shared" si="170"/>
        <v>-0.47171567317307111</v>
      </c>
      <c r="AC1204" s="9">
        <f t="shared" si="171"/>
        <v>-0.50540410712752593</v>
      </c>
      <c r="AD1204" s="2">
        <f t="shared" si="172"/>
        <v>7.1416821340372527E-2</v>
      </c>
      <c r="AE1204" s="8">
        <f t="shared" si="173"/>
        <v>4.8358081432859135E-2</v>
      </c>
      <c r="AF1204" s="2">
        <f t="shared" si="174"/>
        <v>-1.2488835172991555E-2</v>
      </c>
      <c r="AG1204" s="8">
        <f t="shared" si="175"/>
        <v>6.084691660585069E-2</v>
      </c>
      <c r="AH1204" s="7">
        <f t="shared" si="176"/>
        <v>-0.20525009104225836</v>
      </c>
      <c r="AI1204">
        <f t="shared" si="177"/>
        <v>4</v>
      </c>
      <c r="AJ1204" s="10">
        <f t="shared" si="178"/>
        <v>0.97355066569361104</v>
      </c>
    </row>
    <row r="1205" spans="1:36" hidden="1" x14ac:dyDescent="0.25">
      <c r="A1205" t="b">
        <v>0</v>
      </c>
      <c r="B1205">
        <v>1000</v>
      </c>
      <c r="C1205">
        <v>0.97355066569361104</v>
      </c>
      <c r="D1205" t="s">
        <v>52</v>
      </c>
      <c r="E1205" t="b">
        <v>1</v>
      </c>
      <c r="F1205" t="s">
        <v>53</v>
      </c>
      <c r="G1205">
        <v>7.4999999999999997E-2</v>
      </c>
      <c r="H1205">
        <v>0.5</v>
      </c>
      <c r="I1205">
        <v>1E-4</v>
      </c>
      <c r="J1205" t="b">
        <v>1</v>
      </c>
      <c r="K1205">
        <v>4</v>
      </c>
      <c r="L1205">
        <v>1500</v>
      </c>
      <c r="M1205">
        <v>1</v>
      </c>
      <c r="N1205">
        <v>0.154</v>
      </c>
      <c r="O1205" t="s">
        <v>484</v>
      </c>
      <c r="P1205" t="s">
        <v>488</v>
      </c>
      <c r="Q1205" s="1">
        <v>-3.9318381858932697E-5</v>
      </c>
      <c r="R1205">
        <v>1.4819464632776999E-4</v>
      </c>
      <c r="S1205">
        <v>1.4063446413416401E-4</v>
      </c>
      <c r="T1205">
        <v>-1.06141164245463E-3</v>
      </c>
      <c r="U1205">
        <v>4.0694733454127103</v>
      </c>
      <c r="V1205" s="1">
        <v>9.9999999999999905E-15</v>
      </c>
      <c r="W1205">
        <v>0.25142612696674699</v>
      </c>
      <c r="X1205">
        <v>2.4999999999999898</v>
      </c>
      <c r="Y1205">
        <v>11.537110440014199</v>
      </c>
      <c r="Z1205">
        <v>0.499999999999728</v>
      </c>
      <c r="AA1205">
        <v>20.883801682002201</v>
      </c>
      <c r="AB1205" s="9">
        <f t="shared" si="170"/>
        <v>-0.47170676165216729</v>
      </c>
      <c r="AC1205" s="9">
        <f t="shared" si="171"/>
        <v>-0.50540410712752593</v>
      </c>
      <c r="AD1205" s="2">
        <f t="shared" si="172"/>
        <v>7.1437062630462789E-2</v>
      </c>
      <c r="AE1205" s="8">
        <f t="shared" si="173"/>
        <v>4.8354816693479845E-2</v>
      </c>
      <c r="AF1205" s="2">
        <f t="shared" si="174"/>
        <v>-1.2492099912370845E-2</v>
      </c>
      <c r="AG1205" s="8">
        <f t="shared" si="175"/>
        <v>6.084691660585069E-2</v>
      </c>
      <c r="AH1205" s="7">
        <f t="shared" si="176"/>
        <v>-0.20530374601051973</v>
      </c>
      <c r="AI1205">
        <f t="shared" si="177"/>
        <v>4</v>
      </c>
      <c r="AJ1205" s="10">
        <f t="shared" si="178"/>
        <v>0.97355066569361104</v>
      </c>
    </row>
    <row r="1206" spans="1:36" hidden="1" x14ac:dyDescent="0.25">
      <c r="A1206" t="b">
        <v>0</v>
      </c>
      <c r="B1206">
        <v>1000</v>
      </c>
      <c r="C1206">
        <v>0.97355066569361104</v>
      </c>
      <c r="D1206" t="s">
        <v>52</v>
      </c>
      <c r="E1206" t="b">
        <v>1</v>
      </c>
      <c r="F1206" t="s">
        <v>53</v>
      </c>
      <c r="G1206">
        <v>7.4999999999999997E-2</v>
      </c>
      <c r="H1206">
        <v>0.5</v>
      </c>
      <c r="I1206">
        <v>1E-4</v>
      </c>
      <c r="J1206" t="b">
        <v>1</v>
      </c>
      <c r="K1206">
        <v>4</v>
      </c>
      <c r="L1206">
        <v>1500</v>
      </c>
      <c r="M1206">
        <v>1</v>
      </c>
      <c r="N1206">
        <v>0.154</v>
      </c>
      <c r="O1206" t="s">
        <v>484</v>
      </c>
      <c r="P1206" t="s">
        <v>489</v>
      </c>
      <c r="Q1206">
        <v>-1.76802456388205E-4</v>
      </c>
      <c r="R1206">
        <v>6.0486456813193797E-4</v>
      </c>
      <c r="S1206">
        <v>6.3231795501034096E-4</v>
      </c>
      <c r="T1206">
        <v>-4.7690610699194103E-3</v>
      </c>
      <c r="U1206">
        <v>4.0687898815721999</v>
      </c>
      <c r="V1206" s="1">
        <v>9.9999999999999905E-15</v>
      </c>
      <c r="W1206">
        <v>0.22681331697007601</v>
      </c>
      <c r="X1206">
        <v>2.4999999999999898</v>
      </c>
      <c r="Y1206">
        <v>10.570050188512701</v>
      </c>
      <c r="Z1206">
        <v>0.499999999998472</v>
      </c>
      <c r="AA1206">
        <v>18.925505185297499</v>
      </c>
      <c r="AB1206" s="9">
        <f t="shared" si="170"/>
        <v>-0.47138676754021408</v>
      </c>
      <c r="AC1206" s="9">
        <f t="shared" si="171"/>
        <v>-0.50540410712752593</v>
      </c>
      <c r="AD1206" s="2">
        <f t="shared" si="172"/>
        <v>7.2164392235320562E-2</v>
      </c>
      <c r="AE1206" s="8">
        <f t="shared" si="173"/>
        <v>4.8237600190352455E-2</v>
      </c>
      <c r="AF1206" s="2">
        <f t="shared" si="174"/>
        <v>-1.2609316415498235E-2</v>
      </c>
      <c r="AG1206" s="8">
        <f t="shared" si="175"/>
        <v>6.084691660585069E-2</v>
      </c>
      <c r="AH1206" s="7">
        <f t="shared" si="176"/>
        <v>-0.20723016249414677</v>
      </c>
      <c r="AI1206">
        <f t="shared" si="177"/>
        <v>4</v>
      </c>
      <c r="AJ1206" s="10">
        <f t="shared" si="178"/>
        <v>0.97355066569361104</v>
      </c>
    </row>
    <row r="1207" spans="1:36" hidden="1" x14ac:dyDescent="0.25">
      <c r="A1207" t="b">
        <v>0</v>
      </c>
      <c r="B1207">
        <v>1000</v>
      </c>
      <c r="C1207">
        <v>0.97355066569361104</v>
      </c>
      <c r="D1207" t="s">
        <v>52</v>
      </c>
      <c r="E1207" t="b">
        <v>1</v>
      </c>
      <c r="F1207" t="s">
        <v>53</v>
      </c>
      <c r="G1207">
        <v>7.4999999999999997E-2</v>
      </c>
      <c r="H1207">
        <v>0.5</v>
      </c>
      <c r="I1207">
        <v>1E-4</v>
      </c>
      <c r="J1207" t="b">
        <v>1</v>
      </c>
      <c r="K1207">
        <v>4</v>
      </c>
      <c r="L1207">
        <v>1500</v>
      </c>
      <c r="M1207">
        <v>1</v>
      </c>
      <c r="N1207">
        <v>0.154</v>
      </c>
      <c r="O1207" t="s">
        <v>484</v>
      </c>
      <c r="P1207" t="s">
        <v>490</v>
      </c>
      <c r="Q1207">
        <v>-1.57144627481307E-4</v>
      </c>
      <c r="R1207">
        <v>5.8981272357918702E-4</v>
      </c>
      <c r="S1207">
        <v>5.6200889555699804E-4</v>
      </c>
      <c r="T1207">
        <v>-4.2385669963031902E-3</v>
      </c>
      <c r="U1207">
        <v>4.0688876863339303</v>
      </c>
      <c r="V1207" s="1">
        <v>9.9999999999999905E-15</v>
      </c>
      <c r="W1207">
        <v>0.25016918372515801</v>
      </c>
      <c r="X1207">
        <v>2.4999999999999898</v>
      </c>
      <c r="Y1207">
        <v>11.494009433124299</v>
      </c>
      <c r="Z1207">
        <v>0.49999999999850597</v>
      </c>
      <c r="AA1207">
        <v>20.793834059870498</v>
      </c>
      <c r="AB1207" s="9">
        <f t="shared" si="170"/>
        <v>-0.47136342389456465</v>
      </c>
      <c r="AC1207" s="9">
        <f t="shared" si="171"/>
        <v>-0.50540410712752593</v>
      </c>
      <c r="AD1207" s="2">
        <f t="shared" si="172"/>
        <v>7.2217489748579888E-2</v>
      </c>
      <c r="AE1207" s="8">
        <f t="shared" si="173"/>
        <v>4.8229050244731259E-2</v>
      </c>
      <c r="AF1207" s="2">
        <f t="shared" si="174"/>
        <v>-1.2617866361119431E-2</v>
      </c>
      <c r="AG1207" s="8">
        <f t="shared" si="175"/>
        <v>6.084691660585069E-2</v>
      </c>
      <c r="AH1207" s="7">
        <f t="shared" si="176"/>
        <v>-0.20737067817017649</v>
      </c>
      <c r="AI1207">
        <f t="shared" si="177"/>
        <v>4</v>
      </c>
      <c r="AJ1207" s="10">
        <f t="shared" si="178"/>
        <v>0.97355066569361104</v>
      </c>
    </row>
    <row r="1208" spans="1:36" hidden="1" x14ac:dyDescent="0.25">
      <c r="A1208" t="b">
        <v>0</v>
      </c>
      <c r="B1208">
        <v>1000</v>
      </c>
      <c r="C1208">
        <v>0.97355066569361104</v>
      </c>
      <c r="D1208" t="s">
        <v>52</v>
      </c>
      <c r="E1208" t="b">
        <v>1</v>
      </c>
      <c r="F1208" t="s">
        <v>53</v>
      </c>
      <c r="G1208">
        <v>7.4999999999999997E-2</v>
      </c>
      <c r="H1208">
        <v>0.5</v>
      </c>
      <c r="I1208">
        <v>1E-4</v>
      </c>
      <c r="J1208" t="b">
        <v>1</v>
      </c>
      <c r="K1208">
        <v>4</v>
      </c>
      <c r="L1208">
        <v>1500</v>
      </c>
      <c r="M1208">
        <v>1</v>
      </c>
      <c r="N1208">
        <v>0.154</v>
      </c>
      <c r="O1208" t="s">
        <v>484</v>
      </c>
      <c r="P1208" t="s">
        <v>491</v>
      </c>
      <c r="Q1208">
        <v>-1.76802456388205E-4</v>
      </c>
      <c r="R1208">
        <v>6.1915934104404195E-4</v>
      </c>
      <c r="S1208">
        <v>6.3231795501033597E-4</v>
      </c>
      <c r="T1208">
        <v>-4.7690610699190998E-3</v>
      </c>
      <c r="U1208">
        <v>4.0687898816113597</v>
      </c>
      <c r="V1208" s="1">
        <v>9.9999999999999905E-15</v>
      </c>
      <c r="W1208">
        <v>0.23038710014774799</v>
      </c>
      <c r="X1208">
        <v>2.4999999999999898</v>
      </c>
      <c r="Y1208">
        <v>10.825176841507099</v>
      </c>
      <c r="Z1208">
        <v>0.499999999998472</v>
      </c>
      <c r="AA1208">
        <v>19.367577524440399</v>
      </c>
      <c r="AB1208" s="9">
        <f t="shared" si="170"/>
        <v>-0.4713867675401871</v>
      </c>
      <c r="AC1208" s="9">
        <f t="shared" si="171"/>
        <v>-0.50540410712752593</v>
      </c>
      <c r="AD1208" s="2">
        <f t="shared" si="172"/>
        <v>7.2164392235381847E-2</v>
      </c>
      <c r="AE1208" s="8">
        <f t="shared" si="173"/>
        <v>4.8237600190342594E-2</v>
      </c>
      <c r="AF1208" s="2">
        <f t="shared" si="174"/>
        <v>-1.2609316415508096E-2</v>
      </c>
      <c r="AG1208" s="8">
        <f t="shared" si="175"/>
        <v>6.084691660585069E-2</v>
      </c>
      <c r="AH1208" s="7">
        <f t="shared" si="176"/>
        <v>-0.20723016249430881</v>
      </c>
      <c r="AI1208">
        <f t="shared" si="177"/>
        <v>4</v>
      </c>
      <c r="AJ1208" s="10">
        <f t="shared" si="178"/>
        <v>0.97355066569361104</v>
      </c>
    </row>
    <row r="1209" spans="1:36" hidden="1" x14ac:dyDescent="0.25">
      <c r="A1209" t="b">
        <v>0</v>
      </c>
      <c r="B1209">
        <v>1000</v>
      </c>
      <c r="C1209">
        <v>0.97355066569361104</v>
      </c>
      <c r="D1209" t="s">
        <v>52</v>
      </c>
      <c r="E1209" t="b">
        <v>1</v>
      </c>
      <c r="F1209" t="s">
        <v>53</v>
      </c>
      <c r="G1209">
        <v>7.4999999999999997E-2</v>
      </c>
      <c r="H1209">
        <v>0.5</v>
      </c>
      <c r="I1209">
        <v>1E-4</v>
      </c>
      <c r="J1209" t="b">
        <v>1</v>
      </c>
      <c r="K1209">
        <v>4</v>
      </c>
      <c r="L1209">
        <v>1500</v>
      </c>
      <c r="M1209">
        <v>1</v>
      </c>
      <c r="N1209">
        <v>0.154</v>
      </c>
      <c r="O1209" t="s">
        <v>484</v>
      </c>
      <c r="P1209" t="s">
        <v>492</v>
      </c>
      <c r="Q1209">
        <v>-3.1427764416565898E-4</v>
      </c>
      <c r="R1209">
        <v>1.1629304822504999E-3</v>
      </c>
      <c r="S1209">
        <v>1.1239481471811399E-3</v>
      </c>
      <c r="T1209">
        <v>-8.4753302370262403E-3</v>
      </c>
      <c r="U1209">
        <v>4.0681064425348801</v>
      </c>
      <c r="V1209" s="1">
        <v>9.9999999999999905E-15</v>
      </c>
      <c r="W1209">
        <v>0.244271882508314</v>
      </c>
      <c r="X1209">
        <v>2.4999999999999898</v>
      </c>
      <c r="Y1209">
        <v>11.376721078278599</v>
      </c>
      <c r="Z1209">
        <v>0.499999999998258</v>
      </c>
      <c r="AA1209">
        <v>20.484344291188499</v>
      </c>
      <c r="AB1209" s="9">
        <f t="shared" si="170"/>
        <v>-0.47129232887001693</v>
      </c>
      <c r="AC1209" s="9">
        <f t="shared" si="171"/>
        <v>-0.50540410712752593</v>
      </c>
      <c r="AD1209" s="2">
        <f t="shared" si="172"/>
        <v>7.2379235069020442E-2</v>
      </c>
      <c r="AE1209" s="8">
        <f t="shared" si="173"/>
        <v>4.8203011529722416E-2</v>
      </c>
      <c r="AF1209" s="2">
        <f t="shared" si="174"/>
        <v>-1.2643905076128274E-2</v>
      </c>
      <c r="AG1209" s="8">
        <f t="shared" si="175"/>
        <v>6.084691660585069E-2</v>
      </c>
      <c r="AH1209" s="7">
        <f t="shared" si="176"/>
        <v>-0.20779861628867663</v>
      </c>
      <c r="AI1209">
        <f t="shared" si="177"/>
        <v>4</v>
      </c>
      <c r="AJ1209" s="10">
        <f t="shared" si="178"/>
        <v>0.97355066569361104</v>
      </c>
    </row>
    <row r="1210" spans="1:36" hidden="1" x14ac:dyDescent="0.25">
      <c r="A1210" t="b">
        <v>0</v>
      </c>
      <c r="B1210">
        <v>1000</v>
      </c>
      <c r="C1210">
        <v>0.97355066569361104</v>
      </c>
      <c r="D1210" t="s">
        <v>52</v>
      </c>
      <c r="E1210" t="b">
        <v>1</v>
      </c>
      <c r="F1210" t="s">
        <v>53</v>
      </c>
      <c r="G1210">
        <v>7.4999999999999997E-2</v>
      </c>
      <c r="H1210">
        <v>0.5</v>
      </c>
      <c r="I1210">
        <v>1E-4</v>
      </c>
      <c r="J1210" t="b">
        <v>1</v>
      </c>
      <c r="K1210">
        <v>4</v>
      </c>
      <c r="L1210">
        <v>1500</v>
      </c>
      <c r="M1210">
        <v>1</v>
      </c>
      <c r="N1210">
        <v>0.154</v>
      </c>
      <c r="O1210" t="s">
        <v>485</v>
      </c>
      <c r="P1210" t="s">
        <v>486</v>
      </c>
      <c r="Q1210">
        <v>-1.3748534564722399E-4</v>
      </c>
      <c r="R1210">
        <v>5.38624665891243E-4</v>
      </c>
      <c r="S1210">
        <v>4.9169111779304598E-4</v>
      </c>
      <c r="T1210">
        <v>-3.7078470303197998E-3</v>
      </c>
      <c r="U1210">
        <v>4.0687898775154796</v>
      </c>
      <c r="V1210" s="1">
        <v>9.9999999999999905E-15</v>
      </c>
      <c r="W1210">
        <v>0.265124564720155</v>
      </c>
      <c r="X1210">
        <v>2.4999999999999898</v>
      </c>
      <c r="Y1210">
        <v>11.901263729233399</v>
      </c>
      <c r="Z1210">
        <v>0.499999999998537</v>
      </c>
      <c r="AA1210">
        <v>21.740396073271601</v>
      </c>
      <c r="AB1210" s="9">
        <f t="shared" si="170"/>
        <v>-0.47131304798661755</v>
      </c>
      <c r="AC1210" s="9">
        <f t="shared" si="171"/>
        <v>-0.50540410712752593</v>
      </c>
      <c r="AD1210" s="2">
        <f t="shared" si="172"/>
        <v>7.2332092834137551E-2</v>
      </c>
      <c r="AE1210" s="8">
        <f t="shared" si="173"/>
        <v>4.8210599819899183E-2</v>
      </c>
      <c r="AF1210" s="2">
        <f t="shared" si="174"/>
        <v>-1.2636316785951507E-2</v>
      </c>
      <c r="AG1210" s="8">
        <f t="shared" si="175"/>
        <v>6.084691660585069E-2</v>
      </c>
      <c r="AH1210" s="7">
        <f t="shared" si="176"/>
        <v>-0.20767390511841435</v>
      </c>
      <c r="AI1210">
        <f t="shared" si="177"/>
        <v>4</v>
      </c>
      <c r="AJ1210" s="10">
        <f t="shared" si="178"/>
        <v>0.97355066569361104</v>
      </c>
    </row>
    <row r="1211" spans="1:36" hidden="1" x14ac:dyDescent="0.25">
      <c r="A1211" t="b">
        <v>0</v>
      </c>
      <c r="B1211">
        <v>1000</v>
      </c>
      <c r="C1211">
        <v>0.97355066569361104</v>
      </c>
      <c r="D1211" t="s">
        <v>52</v>
      </c>
      <c r="E1211" t="b">
        <v>1</v>
      </c>
      <c r="F1211" t="s">
        <v>53</v>
      </c>
      <c r="G1211">
        <v>7.4999999999999997E-2</v>
      </c>
      <c r="H1211">
        <v>0.5</v>
      </c>
      <c r="I1211">
        <v>1E-4</v>
      </c>
      <c r="J1211" t="b">
        <v>1</v>
      </c>
      <c r="K1211">
        <v>4</v>
      </c>
      <c r="L1211">
        <v>1500</v>
      </c>
      <c r="M1211">
        <v>1</v>
      </c>
      <c r="N1211">
        <v>0.154</v>
      </c>
      <c r="O1211" t="s">
        <v>485</v>
      </c>
      <c r="P1211" t="s">
        <v>488</v>
      </c>
      <c r="Q1211" s="1">
        <v>-1.9659100022711999E-5</v>
      </c>
      <c r="R1211" s="1">
        <v>7.3571759297470402E-5</v>
      </c>
      <c r="S1211" s="1">
        <v>7.0316686370209606E-5</v>
      </c>
      <c r="T1211">
        <v>-5.3069167647111298E-4</v>
      </c>
      <c r="U1211">
        <v>4.0693755366089004</v>
      </c>
      <c r="V1211" s="1">
        <v>9.9999999999999905E-15</v>
      </c>
      <c r="W1211">
        <v>0.25180357638442702</v>
      </c>
      <c r="X1211">
        <v>2.4999999999999898</v>
      </c>
      <c r="Y1211">
        <v>11.427789244361101</v>
      </c>
      <c r="Z1211">
        <v>0.49999999999969003</v>
      </c>
      <c r="AA1211">
        <v>20.748225007944299</v>
      </c>
      <c r="AB1211" s="9">
        <f t="shared" si="170"/>
        <v>-0.47169784999278103</v>
      </c>
      <c r="AC1211" s="9">
        <f t="shared" si="171"/>
        <v>-0.50540410712752593</v>
      </c>
      <c r="AD1211" s="2">
        <f t="shared" si="172"/>
        <v>7.1457304999928972E-2</v>
      </c>
      <c r="AE1211" s="8">
        <f t="shared" si="173"/>
        <v>4.8351551923701608E-2</v>
      </c>
      <c r="AF1211" s="2">
        <f t="shared" si="174"/>
        <v>-1.2495364682149082E-2</v>
      </c>
      <c r="AG1211" s="8">
        <f t="shared" si="175"/>
        <v>6.084691660585069E-2</v>
      </c>
      <c r="AH1211" s="7">
        <f t="shared" si="176"/>
        <v>-0.20535740147837828</v>
      </c>
      <c r="AI1211">
        <f t="shared" si="177"/>
        <v>4</v>
      </c>
      <c r="AJ1211" s="10">
        <f t="shared" si="178"/>
        <v>0.97355066569361104</v>
      </c>
    </row>
    <row r="1212" spans="1:36" hidden="1" x14ac:dyDescent="0.25">
      <c r="A1212" t="b">
        <v>0</v>
      </c>
      <c r="B1212">
        <v>1000</v>
      </c>
      <c r="C1212">
        <v>0.97355066569361104</v>
      </c>
      <c r="D1212" t="s">
        <v>52</v>
      </c>
      <c r="E1212" t="b">
        <v>1</v>
      </c>
      <c r="F1212" t="s">
        <v>53</v>
      </c>
      <c r="G1212">
        <v>7.4999999999999997E-2</v>
      </c>
      <c r="H1212">
        <v>0.5</v>
      </c>
      <c r="I1212">
        <v>1E-4</v>
      </c>
      <c r="J1212" t="b">
        <v>1</v>
      </c>
      <c r="K1212">
        <v>4</v>
      </c>
      <c r="L1212">
        <v>1500</v>
      </c>
      <c r="M1212">
        <v>1</v>
      </c>
      <c r="N1212">
        <v>0.154</v>
      </c>
      <c r="O1212" t="s">
        <v>485</v>
      </c>
      <c r="P1212" t="s">
        <v>489</v>
      </c>
      <c r="Q1212">
        <v>-1.5714317455421E-4</v>
      </c>
      <c r="R1212">
        <v>5.8463041521159204E-4</v>
      </c>
      <c r="S1212">
        <v>5.6200017724637903E-4</v>
      </c>
      <c r="T1212">
        <v>-4.2383411039356002E-3</v>
      </c>
      <c r="U1212">
        <v>4.0686920727683997</v>
      </c>
      <c r="V1212" s="1">
        <v>9.9999999999999905E-15</v>
      </c>
      <c r="W1212">
        <v>0.24727203352396701</v>
      </c>
      <c r="X1212">
        <v>2.4999999999999898</v>
      </c>
      <c r="Y1212">
        <v>11.4103017284547</v>
      </c>
      <c r="Z1212">
        <v>0.49999999999850497</v>
      </c>
      <c r="AA1212">
        <v>20.605576605927201</v>
      </c>
      <c r="AB1212" s="9">
        <f t="shared" si="170"/>
        <v>-0.4713456146826896</v>
      </c>
      <c r="AC1212" s="9">
        <f t="shared" si="171"/>
        <v>-0.50540410712752593</v>
      </c>
      <c r="AD1212" s="2">
        <f t="shared" si="172"/>
        <v>7.2258002162096213E-2</v>
      </c>
      <c r="AE1212" s="8">
        <f t="shared" si="173"/>
        <v>4.8222527458792047E-2</v>
      </c>
      <c r="AF1212" s="2">
        <f t="shared" si="174"/>
        <v>-1.2624389147058643E-2</v>
      </c>
      <c r="AG1212" s="8">
        <f t="shared" si="175"/>
        <v>6.084691660585069E-2</v>
      </c>
      <c r="AH1212" s="7">
        <f t="shared" si="176"/>
        <v>-0.20747787811231103</v>
      </c>
      <c r="AI1212">
        <f t="shared" si="177"/>
        <v>4</v>
      </c>
      <c r="AJ1212" s="10">
        <f t="shared" si="178"/>
        <v>0.97355066569361104</v>
      </c>
    </row>
    <row r="1213" spans="1:36" hidden="1" x14ac:dyDescent="0.25">
      <c r="A1213" t="b">
        <v>0</v>
      </c>
      <c r="B1213">
        <v>1000</v>
      </c>
      <c r="C1213">
        <v>0.97355066569361104</v>
      </c>
      <c r="D1213" t="s">
        <v>52</v>
      </c>
      <c r="E1213" t="b">
        <v>1</v>
      </c>
      <c r="F1213" t="s">
        <v>53</v>
      </c>
      <c r="G1213">
        <v>7.4999999999999997E-2</v>
      </c>
      <c r="H1213">
        <v>0.5</v>
      </c>
      <c r="I1213">
        <v>1E-4</v>
      </c>
      <c r="J1213" t="b">
        <v>1</v>
      </c>
      <c r="K1213">
        <v>4</v>
      </c>
      <c r="L1213">
        <v>1500</v>
      </c>
      <c r="M1213">
        <v>1</v>
      </c>
      <c r="N1213">
        <v>0.154</v>
      </c>
      <c r="O1213" t="s">
        <v>485</v>
      </c>
      <c r="P1213" t="s">
        <v>490</v>
      </c>
      <c r="Q1213">
        <v>-1.3748534564722399E-4</v>
      </c>
      <c r="R1213">
        <v>5.4328157493418105E-4</v>
      </c>
      <c r="S1213">
        <v>4.9169111779303503E-4</v>
      </c>
      <c r="T1213">
        <v>-3.7078470303193501E-3</v>
      </c>
      <c r="U1213">
        <v>4.0687898775301203</v>
      </c>
      <c r="V1213" s="1">
        <v>9.9999999999999905E-15</v>
      </c>
      <c r="W1213">
        <v>0.26896642705547902</v>
      </c>
      <c r="X1213">
        <v>2.4999999999999898</v>
      </c>
      <c r="Y1213">
        <v>11.9755723863979</v>
      </c>
      <c r="Z1213">
        <v>0.499999999998537</v>
      </c>
      <c r="AA1213">
        <v>21.939460324607701</v>
      </c>
      <c r="AB1213" s="9">
        <f t="shared" si="170"/>
        <v>-0.47131304798657087</v>
      </c>
      <c r="AC1213" s="9">
        <f t="shared" si="171"/>
        <v>-0.50540410712752593</v>
      </c>
      <c r="AD1213" s="2">
        <f t="shared" si="172"/>
        <v>7.2332092834243911E-2</v>
      </c>
      <c r="AE1213" s="8">
        <f t="shared" si="173"/>
        <v>4.82105998198821E-2</v>
      </c>
      <c r="AF1213" s="2">
        <f t="shared" si="174"/>
        <v>-1.263631678596859E-2</v>
      </c>
      <c r="AG1213" s="8">
        <f t="shared" si="175"/>
        <v>6.084691660585069E-2</v>
      </c>
      <c r="AH1213" s="7">
        <f t="shared" si="176"/>
        <v>-0.20767390511869513</v>
      </c>
      <c r="AI1213">
        <f t="shared" si="177"/>
        <v>4</v>
      </c>
      <c r="AJ1213" s="10">
        <f t="shared" si="178"/>
        <v>0.97355066569361104</v>
      </c>
    </row>
    <row r="1214" spans="1:36" hidden="1" x14ac:dyDescent="0.25">
      <c r="A1214" t="b">
        <v>0</v>
      </c>
      <c r="B1214">
        <v>1000</v>
      </c>
      <c r="C1214">
        <v>0.97355066569361104</v>
      </c>
      <c r="D1214" t="s">
        <v>52</v>
      </c>
      <c r="E1214" t="b">
        <v>1</v>
      </c>
      <c r="F1214" t="s">
        <v>53</v>
      </c>
      <c r="G1214">
        <v>7.4999999999999997E-2</v>
      </c>
      <c r="H1214">
        <v>0.5</v>
      </c>
      <c r="I1214">
        <v>1E-4</v>
      </c>
      <c r="J1214" t="b">
        <v>1</v>
      </c>
      <c r="K1214">
        <v>4</v>
      </c>
      <c r="L1214">
        <v>1500</v>
      </c>
      <c r="M1214">
        <v>1</v>
      </c>
      <c r="N1214">
        <v>0.154</v>
      </c>
      <c r="O1214" t="s">
        <v>485</v>
      </c>
      <c r="P1214" t="s">
        <v>491</v>
      </c>
      <c r="Q1214">
        <v>-1.57143174554209E-4</v>
      </c>
      <c r="R1214">
        <v>5.7952978687283595E-4</v>
      </c>
      <c r="S1214">
        <v>5.6200017724637502E-4</v>
      </c>
      <c r="T1214">
        <v>-4.2383411039353704E-3</v>
      </c>
      <c r="U1214">
        <v>4.0686920728075604</v>
      </c>
      <c r="V1214" s="1">
        <v>9.9999999999999905E-15</v>
      </c>
      <c r="W1214">
        <v>0.24438819883027299</v>
      </c>
      <c r="X1214">
        <v>2.4999999999999898</v>
      </c>
      <c r="Y1214">
        <v>11.3282605115477</v>
      </c>
      <c r="Z1214">
        <v>0.49999999999850497</v>
      </c>
      <c r="AA1214">
        <v>20.419672090086401</v>
      </c>
      <c r="AB1214" s="9">
        <f t="shared" si="170"/>
        <v>-0.47134561468266739</v>
      </c>
      <c r="AC1214" s="9">
        <f t="shared" si="171"/>
        <v>-0.50540410712752593</v>
      </c>
      <c r="AD1214" s="2">
        <f t="shared" si="172"/>
        <v>7.2258002162146617E-2</v>
      </c>
      <c r="AE1214" s="8">
        <f t="shared" si="173"/>
        <v>4.8222527458783915E-2</v>
      </c>
      <c r="AF1214" s="2">
        <f t="shared" si="174"/>
        <v>-1.2624389147066775E-2</v>
      </c>
      <c r="AG1214" s="8">
        <f t="shared" si="175"/>
        <v>6.084691660585069E-2</v>
      </c>
      <c r="AH1214" s="7">
        <f t="shared" si="176"/>
        <v>-0.20747787811244467</v>
      </c>
      <c r="AI1214">
        <f t="shared" si="177"/>
        <v>4</v>
      </c>
      <c r="AJ1214" s="10">
        <f t="shared" si="178"/>
        <v>0.97355066569361104</v>
      </c>
    </row>
    <row r="1215" spans="1:36" hidden="1" x14ac:dyDescent="0.25">
      <c r="A1215" t="b">
        <v>0</v>
      </c>
      <c r="B1215">
        <v>1000</v>
      </c>
      <c r="C1215">
        <v>0.97355066569361104</v>
      </c>
      <c r="D1215" t="s">
        <v>52</v>
      </c>
      <c r="E1215" t="b">
        <v>1</v>
      </c>
      <c r="F1215" t="s">
        <v>53</v>
      </c>
      <c r="G1215">
        <v>7.4999999999999997E-2</v>
      </c>
      <c r="H1215">
        <v>0.5</v>
      </c>
      <c r="I1215">
        <v>1E-4</v>
      </c>
      <c r="J1215" t="b">
        <v>1</v>
      </c>
      <c r="K1215">
        <v>4</v>
      </c>
      <c r="L1215">
        <v>1500</v>
      </c>
      <c r="M1215">
        <v>1</v>
      </c>
      <c r="N1215">
        <v>0.154</v>
      </c>
      <c r="O1215" t="s">
        <v>485</v>
      </c>
      <c r="P1215" t="s">
        <v>492</v>
      </c>
      <c r="Q1215">
        <v>-2.94618362331887E-4</v>
      </c>
      <c r="R1215">
        <v>1.20133028217704E-3</v>
      </c>
      <c r="S1215">
        <v>1.0536303694171801E-3</v>
      </c>
      <c r="T1215">
        <v>-7.9446102710425907E-3</v>
      </c>
      <c r="U1215">
        <v>4.0680086337310701</v>
      </c>
      <c r="V1215" s="1">
        <v>9.9999999999999905E-15</v>
      </c>
      <c r="W1215">
        <v>0.27420669172641898</v>
      </c>
      <c r="X1215">
        <v>2.4999999999999898</v>
      </c>
      <c r="Y1215">
        <v>12.384972897295199</v>
      </c>
      <c r="Z1215">
        <v>0.49999999999827299</v>
      </c>
      <c r="AA1215">
        <v>22.623516450596</v>
      </c>
      <c r="AB1215" s="9">
        <f t="shared" si="170"/>
        <v>-0.47126407547916827</v>
      </c>
      <c r="AC1215" s="9">
        <f t="shared" si="171"/>
        <v>-0.50540410712752593</v>
      </c>
      <c r="AD1215" s="2">
        <f t="shared" si="172"/>
        <v>7.2443526728925844E-2</v>
      </c>
      <c r="AE1215" s="8">
        <f t="shared" si="173"/>
        <v>4.8192664020034366E-2</v>
      </c>
      <c r="AF1215" s="2">
        <f t="shared" si="174"/>
        <v>-1.2654252585816324E-2</v>
      </c>
      <c r="AG1215" s="8">
        <f t="shared" si="175"/>
        <v>6.084691660585069E-2</v>
      </c>
      <c r="AH1215" s="7">
        <f t="shared" si="176"/>
        <v>-0.20796867436664102</v>
      </c>
      <c r="AI1215">
        <f t="shared" si="177"/>
        <v>4</v>
      </c>
      <c r="AJ1215" s="10">
        <f t="shared" si="178"/>
        <v>0.97355066569361104</v>
      </c>
    </row>
    <row r="1216" spans="1:36" hidden="1" x14ac:dyDescent="0.25">
      <c r="A1216" t="b">
        <v>0</v>
      </c>
      <c r="B1216">
        <v>1000</v>
      </c>
      <c r="C1216">
        <v>0.97355066569361104</v>
      </c>
      <c r="D1216" t="s">
        <v>52</v>
      </c>
      <c r="E1216" t="b">
        <v>1</v>
      </c>
      <c r="F1216" t="s">
        <v>53</v>
      </c>
      <c r="G1216">
        <v>7.4999999999999997E-2</v>
      </c>
      <c r="H1216">
        <v>0.5</v>
      </c>
      <c r="I1216">
        <v>1E-4</v>
      </c>
      <c r="J1216" t="b">
        <v>1</v>
      </c>
      <c r="K1216">
        <v>4</v>
      </c>
      <c r="L1216">
        <v>1500</v>
      </c>
      <c r="M1216">
        <v>1</v>
      </c>
      <c r="N1216">
        <v>0.154</v>
      </c>
      <c r="O1216" t="s">
        <v>486</v>
      </c>
      <c r="P1216" t="s">
        <v>489</v>
      </c>
      <c r="Q1216" s="1">
        <v>-1.9657828908968599E-5</v>
      </c>
      <c r="R1216" s="1">
        <v>7.1489223025924097E-5</v>
      </c>
      <c r="S1216" s="1">
        <v>7.0309059453333106E-5</v>
      </c>
      <c r="T1216">
        <v>-5.3049407361571504E-4</v>
      </c>
      <c r="U1216">
        <v>4.0680086053677398</v>
      </c>
      <c r="V1216" s="1">
        <v>9.9999999999999905E-15</v>
      </c>
      <c r="W1216">
        <v>0.243245373104826</v>
      </c>
      <c r="X1216">
        <v>2.4999999999999898</v>
      </c>
      <c r="Y1216">
        <v>11.149299538868201</v>
      </c>
      <c r="Z1216">
        <v>0.49999999999968903</v>
      </c>
      <c r="AA1216">
        <v>20.146811647793601</v>
      </c>
      <c r="AB1216" s="9">
        <f t="shared" si="170"/>
        <v>-0.47157336278959971</v>
      </c>
      <c r="AC1216" s="9">
        <f t="shared" si="171"/>
        <v>-0.50540410712752593</v>
      </c>
      <c r="AD1216" s="2">
        <f t="shared" si="172"/>
        <v>7.1740151177750899E-2</v>
      </c>
      <c r="AE1216" s="8">
        <f t="shared" si="173"/>
        <v>4.8305948395106255E-2</v>
      </c>
      <c r="AF1216" s="2">
        <f t="shared" si="174"/>
        <v>-1.2540968210744435E-2</v>
      </c>
      <c r="AG1216" s="8">
        <f t="shared" si="175"/>
        <v>6.084691660585069E-2</v>
      </c>
      <c r="AH1216" s="7">
        <f t="shared" si="176"/>
        <v>-0.20610688117495451</v>
      </c>
      <c r="AI1216">
        <f t="shared" si="177"/>
        <v>4</v>
      </c>
      <c r="AJ1216" s="10">
        <f t="shared" si="178"/>
        <v>0.97355066569361104</v>
      </c>
    </row>
    <row r="1217" spans="1:36" hidden="1" x14ac:dyDescent="0.25">
      <c r="A1217" t="b">
        <v>0</v>
      </c>
      <c r="B1217">
        <v>1000</v>
      </c>
      <c r="C1217">
        <v>0.97355066569361104</v>
      </c>
      <c r="D1217" t="s">
        <v>52</v>
      </c>
      <c r="E1217" t="b">
        <v>1</v>
      </c>
      <c r="F1217" t="s">
        <v>53</v>
      </c>
      <c r="G1217">
        <v>7.4999999999999997E-2</v>
      </c>
      <c r="H1217">
        <v>0.5</v>
      </c>
      <c r="I1217">
        <v>1E-4</v>
      </c>
      <c r="J1217" t="b">
        <v>1</v>
      </c>
      <c r="K1217">
        <v>4</v>
      </c>
      <c r="L1217">
        <v>1500</v>
      </c>
      <c r="M1217">
        <v>1</v>
      </c>
      <c r="N1217">
        <v>0.154</v>
      </c>
      <c r="O1217" t="s">
        <v>486</v>
      </c>
      <c r="P1217" t="s">
        <v>490</v>
      </c>
      <c r="Q1217" s="1">
        <v>-1E-10</v>
      </c>
      <c r="R1217" s="1">
        <v>3.5857859408455101E-12</v>
      </c>
      <c r="S1217" s="1">
        <v>6.8018183623342496E-19</v>
      </c>
      <c r="T1217" s="1">
        <v>2.8643629007887199E-16</v>
      </c>
      <c r="U1217">
        <v>4.0681064101294702</v>
      </c>
      <c r="V1217">
        <v>0</v>
      </c>
      <c r="W1217">
        <v>6.8474548428433701E-2</v>
      </c>
      <c r="X1217">
        <v>2</v>
      </c>
      <c r="Y1217">
        <v>4.0005664238657E-3</v>
      </c>
      <c r="Z1217">
        <v>2.5000000000000001E-4</v>
      </c>
      <c r="AA1217">
        <v>4.7933529931193401E-3</v>
      </c>
      <c r="AB1217" s="9">
        <f t="shared" si="170"/>
        <v>26.319826811408404</v>
      </c>
      <c r="AC1217" s="9">
        <f t="shared" si="171"/>
        <v>-0.50540410712752593</v>
      </c>
      <c r="AD1217" s="2">
        <f t="shared" si="172"/>
        <v>-1.0192024100594939</v>
      </c>
      <c r="AE1217" s="8">
        <f t="shared" si="173"/>
        <v>-0.89883034437623077</v>
      </c>
      <c r="AF1217" s="2">
        <f t="shared" si="174"/>
        <v>-0.9596772609820815</v>
      </c>
      <c r="AG1217" s="8">
        <f t="shared" si="175"/>
        <v>6.084691660585069E-2</v>
      </c>
      <c r="AH1217" s="7">
        <f t="shared" si="176"/>
        <v>-15.77199494262959</v>
      </c>
      <c r="AI1217">
        <f t="shared" si="177"/>
        <v>4</v>
      </c>
      <c r="AJ1217" s="10">
        <f t="shared" si="178"/>
        <v>0.97355066569361104</v>
      </c>
    </row>
    <row r="1218" spans="1:36" hidden="1" x14ac:dyDescent="0.25">
      <c r="A1218" t="b">
        <v>0</v>
      </c>
      <c r="B1218">
        <v>1000</v>
      </c>
      <c r="C1218">
        <v>0.97355066569361104</v>
      </c>
      <c r="D1218" t="s">
        <v>52</v>
      </c>
      <c r="E1218" t="b">
        <v>1</v>
      </c>
      <c r="F1218" t="s">
        <v>53</v>
      </c>
      <c r="G1218">
        <v>7.4999999999999997E-2</v>
      </c>
      <c r="H1218">
        <v>0.5</v>
      </c>
      <c r="I1218">
        <v>1E-4</v>
      </c>
      <c r="J1218" t="b">
        <v>1</v>
      </c>
      <c r="K1218">
        <v>4</v>
      </c>
      <c r="L1218">
        <v>1500</v>
      </c>
      <c r="M1218">
        <v>1</v>
      </c>
      <c r="N1218">
        <v>0.154</v>
      </c>
      <c r="O1218" t="s">
        <v>486</v>
      </c>
      <c r="P1218" t="s">
        <v>491</v>
      </c>
      <c r="Q1218" s="1">
        <v>-1.9657828908968501E-5</v>
      </c>
      <c r="R1218" s="1">
        <v>7.2619108380155603E-5</v>
      </c>
      <c r="S1218" s="1">
        <v>7.0309059453329E-5</v>
      </c>
      <c r="T1218">
        <v>-5.3049407361552097E-4</v>
      </c>
      <c r="U1218">
        <v>4.0680086054068996</v>
      </c>
      <c r="V1218" s="1">
        <v>9.9999999999999905E-15</v>
      </c>
      <c r="W1218">
        <v>0.24731198649707001</v>
      </c>
      <c r="X1218">
        <v>2.4999999999999898</v>
      </c>
      <c r="Y1218">
        <v>11.3086727292368</v>
      </c>
      <c r="Z1218">
        <v>0.49999999999968903</v>
      </c>
      <c r="AA1218">
        <v>20.470954255982502</v>
      </c>
      <c r="AB1218" s="9">
        <f t="shared" si="170"/>
        <v>-0.47157336278945478</v>
      </c>
      <c r="AC1218" s="9">
        <f t="shared" si="171"/>
        <v>-0.50540410712752593</v>
      </c>
      <c r="AD1218" s="2">
        <f t="shared" si="172"/>
        <v>7.1740151178080191E-2</v>
      </c>
      <c r="AE1218" s="8">
        <f t="shared" si="173"/>
        <v>4.8305948395053165E-2</v>
      </c>
      <c r="AF1218" s="2">
        <f t="shared" si="174"/>
        <v>-1.2540968210797525E-2</v>
      </c>
      <c r="AG1218" s="8">
        <f t="shared" si="175"/>
        <v>6.084691660585069E-2</v>
      </c>
      <c r="AH1218" s="7">
        <f t="shared" si="176"/>
        <v>-0.20610688117582704</v>
      </c>
      <c r="AI1218">
        <f t="shared" si="177"/>
        <v>4</v>
      </c>
      <c r="AJ1218" s="10">
        <f t="shared" si="178"/>
        <v>0.97355066569361104</v>
      </c>
    </row>
    <row r="1219" spans="1:36" hidden="1" x14ac:dyDescent="0.25">
      <c r="A1219" t="b">
        <v>0</v>
      </c>
      <c r="B1219">
        <v>1000</v>
      </c>
      <c r="C1219">
        <v>0.97355066569361104</v>
      </c>
      <c r="D1219" t="s">
        <v>52</v>
      </c>
      <c r="E1219" t="b">
        <v>1</v>
      </c>
      <c r="F1219" t="s">
        <v>53</v>
      </c>
      <c r="G1219">
        <v>7.4999999999999997E-2</v>
      </c>
      <c r="H1219">
        <v>0.5</v>
      </c>
      <c r="I1219">
        <v>1E-4</v>
      </c>
      <c r="J1219" t="b">
        <v>1</v>
      </c>
      <c r="K1219">
        <v>4</v>
      </c>
      <c r="L1219">
        <v>1500</v>
      </c>
      <c r="M1219">
        <v>1</v>
      </c>
      <c r="N1219">
        <v>0.154</v>
      </c>
      <c r="O1219" t="s">
        <v>486</v>
      </c>
      <c r="P1219" t="s">
        <v>492</v>
      </c>
      <c r="Q1219">
        <v>-1.57133016689064E-4</v>
      </c>
      <c r="R1219">
        <v>5.75717182510164E-4</v>
      </c>
      <c r="S1219">
        <v>5.6193925162413897E-4</v>
      </c>
      <c r="T1219">
        <v>-4.2367632407224803E-3</v>
      </c>
      <c r="U1219">
        <v>4.06732516633042</v>
      </c>
      <c r="V1219" s="1">
        <v>9.9999999999999905E-15</v>
      </c>
      <c r="W1219">
        <v>0.24543260401365999</v>
      </c>
      <c r="X1219">
        <v>2.4999999999999898</v>
      </c>
      <c r="Y1219">
        <v>11.219813689413201</v>
      </c>
      <c r="Z1219">
        <v>0.49999999999849798</v>
      </c>
      <c r="AA1219">
        <v>20.302124287356399</v>
      </c>
      <c r="AB1219" s="9">
        <f t="shared" si="170"/>
        <v>-0.47122122503424752</v>
      </c>
      <c r="AC1219" s="9">
        <f t="shared" si="171"/>
        <v>-0.50540410712752593</v>
      </c>
      <c r="AD1219" s="2">
        <f t="shared" si="172"/>
        <v>7.2541049250899103E-2</v>
      </c>
      <c r="AE1219" s="8">
        <f t="shared" si="173"/>
        <v>4.817697088143031E-2</v>
      </c>
      <c r="AF1219" s="2">
        <f t="shared" si="174"/>
        <v>-1.266994572442038E-2</v>
      </c>
      <c r="AG1219" s="8">
        <f t="shared" si="175"/>
        <v>6.084691660585069E-2</v>
      </c>
      <c r="AH1219" s="7">
        <f t="shared" si="176"/>
        <v>-0.20822658618008116</v>
      </c>
      <c r="AI1219">
        <f t="shared" si="177"/>
        <v>4</v>
      </c>
      <c r="AJ1219" s="10">
        <f t="shared" si="178"/>
        <v>0.97355066569361104</v>
      </c>
    </row>
    <row r="1220" spans="1:36" hidden="1" x14ac:dyDescent="0.25">
      <c r="A1220" t="b">
        <v>0</v>
      </c>
      <c r="B1220">
        <v>1000</v>
      </c>
      <c r="C1220">
        <v>0.97355066569361104</v>
      </c>
      <c r="D1220" t="s">
        <v>52</v>
      </c>
      <c r="E1220" t="b">
        <v>1</v>
      </c>
      <c r="F1220" t="s">
        <v>53</v>
      </c>
      <c r="G1220">
        <v>7.4999999999999997E-2</v>
      </c>
      <c r="H1220">
        <v>0.5</v>
      </c>
      <c r="I1220">
        <v>1E-4</v>
      </c>
      <c r="J1220" t="b">
        <v>1</v>
      </c>
      <c r="K1220">
        <v>4</v>
      </c>
      <c r="L1220">
        <v>1500</v>
      </c>
      <c r="M1220">
        <v>1</v>
      </c>
      <c r="N1220">
        <v>0.154</v>
      </c>
      <c r="O1220" t="s">
        <v>487</v>
      </c>
      <c r="P1220" t="s">
        <v>488</v>
      </c>
      <c r="Q1220" s="1">
        <v>-1.9659100022712399E-5</v>
      </c>
      <c r="R1220" s="1">
        <v>7.4298181689388604E-5</v>
      </c>
      <c r="S1220" s="1">
        <v>7.0316686370218998E-5</v>
      </c>
      <c r="T1220">
        <v>-5.3069167647154698E-4</v>
      </c>
      <c r="U1220">
        <v>4.0693755366803996</v>
      </c>
      <c r="V1220" s="1">
        <v>9.9999999999999905E-15</v>
      </c>
      <c r="W1220">
        <v>0.25273576456792002</v>
      </c>
      <c r="X1220">
        <v>2.4999999999999898</v>
      </c>
      <c r="Y1220">
        <v>11.5556713350823</v>
      </c>
      <c r="Z1220">
        <v>0.49999999999969003</v>
      </c>
      <c r="AA1220">
        <v>20.9456086203447</v>
      </c>
      <c r="AB1220" s="9">
        <f t="shared" si="170"/>
        <v>-0.47169784999310377</v>
      </c>
      <c r="AC1220" s="9">
        <f t="shared" si="171"/>
        <v>-0.50540410712752593</v>
      </c>
      <c r="AD1220" s="2">
        <f t="shared" si="172"/>
        <v>7.1457304999195781E-2</v>
      </c>
      <c r="AE1220" s="8">
        <f t="shared" si="173"/>
        <v>4.835155192381986E-2</v>
      </c>
      <c r="AF1220" s="2">
        <f t="shared" si="174"/>
        <v>-1.249536468203083E-2</v>
      </c>
      <c r="AG1220" s="8">
        <f t="shared" si="175"/>
        <v>6.084691660585069E-2</v>
      </c>
      <c r="AH1220" s="7">
        <f t="shared" si="176"/>
        <v>-0.20535740147643483</v>
      </c>
      <c r="AI1220">
        <f t="shared" si="177"/>
        <v>4</v>
      </c>
      <c r="AJ1220" s="10">
        <f t="shared" si="178"/>
        <v>0.97355066569361104</v>
      </c>
    </row>
    <row r="1221" spans="1:36" hidden="1" x14ac:dyDescent="0.25">
      <c r="A1221" t="b">
        <v>0</v>
      </c>
      <c r="B1221">
        <v>1000</v>
      </c>
      <c r="C1221">
        <v>0.97355066569361104</v>
      </c>
      <c r="D1221" t="s">
        <v>52</v>
      </c>
      <c r="E1221" t="b">
        <v>1</v>
      </c>
      <c r="F1221" t="s">
        <v>53</v>
      </c>
      <c r="G1221">
        <v>7.4999999999999997E-2</v>
      </c>
      <c r="H1221">
        <v>0.5</v>
      </c>
      <c r="I1221">
        <v>1E-4</v>
      </c>
      <c r="J1221" t="b">
        <v>1</v>
      </c>
      <c r="K1221">
        <v>4</v>
      </c>
      <c r="L1221">
        <v>1500</v>
      </c>
      <c r="M1221">
        <v>1</v>
      </c>
      <c r="N1221">
        <v>0.154</v>
      </c>
      <c r="O1221" t="s">
        <v>487</v>
      </c>
      <c r="P1221" t="s">
        <v>489</v>
      </c>
      <c r="Q1221">
        <v>-1.5714317455421E-4</v>
      </c>
      <c r="R1221">
        <v>5.9249366050739903E-4</v>
      </c>
      <c r="S1221">
        <v>5.6200017724638998E-4</v>
      </c>
      <c r="T1221">
        <v>-4.2383411039360799E-3</v>
      </c>
      <c r="U1221">
        <v>4.0686920728398999</v>
      </c>
      <c r="V1221" s="1">
        <v>9.9999999999999905E-15</v>
      </c>
      <c r="W1221">
        <v>0.25095625336877903</v>
      </c>
      <c r="X1221">
        <v>2.4999999999999898</v>
      </c>
      <c r="Y1221">
        <v>11.5476287652287</v>
      </c>
      <c r="Z1221">
        <v>0.49999999999850497</v>
      </c>
      <c r="AA1221">
        <v>20.8878899679823</v>
      </c>
      <c r="AB1221" s="9">
        <f t="shared" si="170"/>
        <v>-0.47134561468273373</v>
      </c>
      <c r="AC1221" s="9">
        <f t="shared" si="171"/>
        <v>-0.50540410712752593</v>
      </c>
      <c r="AD1221" s="2">
        <f t="shared" si="172"/>
        <v>7.2258002161995849E-2</v>
      </c>
      <c r="AE1221" s="8">
        <f t="shared" si="173"/>
        <v>4.8222527458808208E-2</v>
      </c>
      <c r="AF1221" s="2">
        <f t="shared" si="174"/>
        <v>-1.2624389147042482E-2</v>
      </c>
      <c r="AG1221" s="8">
        <f t="shared" si="175"/>
        <v>6.084691660585069E-2</v>
      </c>
      <c r="AH1221" s="7">
        <f t="shared" si="176"/>
        <v>-0.20747787811204543</v>
      </c>
      <c r="AI1221">
        <f t="shared" si="177"/>
        <v>4</v>
      </c>
      <c r="AJ1221" s="10">
        <f t="shared" si="178"/>
        <v>0.97355066569361104</v>
      </c>
    </row>
    <row r="1222" spans="1:36" hidden="1" x14ac:dyDescent="0.25">
      <c r="A1222" t="b">
        <v>0</v>
      </c>
      <c r="B1222">
        <v>1000</v>
      </c>
      <c r="C1222">
        <v>0.97355066569361104</v>
      </c>
      <c r="D1222" t="s">
        <v>52</v>
      </c>
      <c r="E1222" t="b">
        <v>1</v>
      </c>
      <c r="F1222" t="s">
        <v>53</v>
      </c>
      <c r="G1222">
        <v>7.4999999999999997E-2</v>
      </c>
      <c r="H1222">
        <v>0.5</v>
      </c>
      <c r="I1222">
        <v>1E-4</v>
      </c>
      <c r="J1222" t="b">
        <v>1</v>
      </c>
      <c r="K1222">
        <v>4</v>
      </c>
      <c r="L1222">
        <v>1500</v>
      </c>
      <c r="M1222">
        <v>1</v>
      </c>
      <c r="N1222">
        <v>0.154</v>
      </c>
      <c r="O1222" t="s">
        <v>487</v>
      </c>
      <c r="P1222" t="s">
        <v>490</v>
      </c>
      <c r="Q1222">
        <v>-1.3748534564722399E-4</v>
      </c>
      <c r="R1222">
        <v>5.4260670983780101E-4</v>
      </c>
      <c r="S1222">
        <v>4.9169111779304598E-4</v>
      </c>
      <c r="T1222">
        <v>-3.7078470303198198E-3</v>
      </c>
      <c r="U1222">
        <v>4.0687898776016196</v>
      </c>
      <c r="V1222" s="1">
        <v>9.9999999999999905E-15</v>
      </c>
      <c r="W1222">
        <v>0.26750531105202602</v>
      </c>
      <c r="X1222">
        <v>2.4999999999999898</v>
      </c>
      <c r="Y1222">
        <v>11.979192323343</v>
      </c>
      <c r="Z1222">
        <v>0.499999999998537</v>
      </c>
      <c r="AA1222">
        <v>21.904448708216499</v>
      </c>
      <c r="AB1222" s="9">
        <f t="shared" si="170"/>
        <v>-0.47131304798662005</v>
      </c>
      <c r="AC1222" s="9">
        <f t="shared" si="171"/>
        <v>-0.50540410712752593</v>
      </c>
      <c r="AD1222" s="2">
        <f t="shared" si="172"/>
        <v>7.2332092834132E-2</v>
      </c>
      <c r="AE1222" s="8">
        <f t="shared" si="173"/>
        <v>4.8210599819900106E-2</v>
      </c>
      <c r="AF1222" s="2">
        <f t="shared" si="174"/>
        <v>-1.2636316785950584E-2</v>
      </c>
      <c r="AG1222" s="8">
        <f t="shared" si="175"/>
        <v>6.084691660585069E-2</v>
      </c>
      <c r="AH1222" s="7">
        <f t="shared" si="176"/>
        <v>-0.2076739051183992</v>
      </c>
      <c r="AI1222">
        <f t="shared" si="177"/>
        <v>4</v>
      </c>
      <c r="AJ1222" s="10">
        <f t="shared" si="178"/>
        <v>0.97355066569361104</v>
      </c>
    </row>
    <row r="1223" spans="1:36" hidden="1" x14ac:dyDescent="0.25">
      <c r="A1223" t="b">
        <v>0</v>
      </c>
      <c r="B1223">
        <v>1000</v>
      </c>
      <c r="C1223">
        <v>0.97355066569361104</v>
      </c>
      <c r="D1223" t="s">
        <v>52</v>
      </c>
      <c r="E1223" t="b">
        <v>1</v>
      </c>
      <c r="F1223" t="s">
        <v>53</v>
      </c>
      <c r="G1223">
        <v>7.4999999999999997E-2</v>
      </c>
      <c r="H1223">
        <v>0.5</v>
      </c>
      <c r="I1223">
        <v>1E-4</v>
      </c>
      <c r="J1223" t="b">
        <v>1</v>
      </c>
      <c r="K1223">
        <v>4</v>
      </c>
      <c r="L1223">
        <v>1500</v>
      </c>
      <c r="M1223">
        <v>1</v>
      </c>
      <c r="N1223">
        <v>0.154</v>
      </c>
      <c r="O1223" t="s">
        <v>487</v>
      </c>
      <c r="P1223" t="s">
        <v>491</v>
      </c>
      <c r="Q1223">
        <v>-1.5714317455421E-4</v>
      </c>
      <c r="R1223">
        <v>5.7897768229624603E-4</v>
      </c>
      <c r="S1223">
        <v>5.6200017724638499E-4</v>
      </c>
      <c r="T1223">
        <v>-4.2383411039357503E-3</v>
      </c>
      <c r="U1223">
        <v>4.0686920728790597</v>
      </c>
      <c r="V1223" s="1">
        <v>9.9999999999999905E-15</v>
      </c>
      <c r="W1223">
        <v>0.24386643353481</v>
      </c>
      <c r="X1223">
        <v>2.4999999999999898</v>
      </c>
      <c r="Y1223">
        <v>11.322585212502901</v>
      </c>
      <c r="Z1223">
        <v>0.49999999999850497</v>
      </c>
      <c r="AA1223">
        <v>20.3980210128348</v>
      </c>
      <c r="AB1223" s="9">
        <f t="shared" si="170"/>
        <v>-0.47134561468270125</v>
      </c>
      <c r="AC1223" s="9">
        <f t="shared" si="171"/>
        <v>-0.50540410712752593</v>
      </c>
      <c r="AD1223" s="2">
        <f t="shared" si="172"/>
        <v>7.2258002162069568E-2</v>
      </c>
      <c r="AE1223" s="8">
        <f t="shared" si="173"/>
        <v>4.8222527458796308E-2</v>
      </c>
      <c r="AF1223" s="2">
        <f t="shared" si="174"/>
        <v>-1.2624389147054382E-2</v>
      </c>
      <c r="AG1223" s="8">
        <f t="shared" si="175"/>
        <v>6.084691660585069E-2</v>
      </c>
      <c r="AH1223" s="7">
        <f t="shared" si="176"/>
        <v>-0.207477878112241</v>
      </c>
      <c r="AI1223">
        <f t="shared" si="177"/>
        <v>4</v>
      </c>
      <c r="AJ1223" s="10">
        <f t="shared" si="178"/>
        <v>0.97355066569361104</v>
      </c>
    </row>
    <row r="1224" spans="1:36" hidden="1" x14ac:dyDescent="0.25">
      <c r="A1224" t="b">
        <v>0</v>
      </c>
      <c r="B1224">
        <v>1000</v>
      </c>
      <c r="C1224">
        <v>0.97355066569361104</v>
      </c>
      <c r="D1224" t="s">
        <v>52</v>
      </c>
      <c r="E1224" t="b">
        <v>1</v>
      </c>
      <c r="F1224" t="s">
        <v>53</v>
      </c>
      <c r="G1224">
        <v>7.4999999999999997E-2</v>
      </c>
      <c r="H1224">
        <v>0.5</v>
      </c>
      <c r="I1224">
        <v>1E-4</v>
      </c>
      <c r="J1224" t="b">
        <v>1</v>
      </c>
      <c r="K1224">
        <v>4</v>
      </c>
      <c r="L1224">
        <v>1500</v>
      </c>
      <c r="M1224">
        <v>1</v>
      </c>
      <c r="N1224">
        <v>0.154</v>
      </c>
      <c r="O1224" t="s">
        <v>487</v>
      </c>
      <c r="P1224" t="s">
        <v>492</v>
      </c>
      <c r="Q1224">
        <v>-2.94618362331887E-4</v>
      </c>
      <c r="R1224">
        <v>1.19306068932072E-3</v>
      </c>
      <c r="S1224">
        <v>1.05363036941719E-3</v>
      </c>
      <c r="T1224">
        <v>-7.9446102710429792E-3</v>
      </c>
      <c r="U1224">
        <v>4.0680086338025703</v>
      </c>
      <c r="V1224" s="1">
        <v>9.9999999999999905E-15</v>
      </c>
      <c r="W1224">
        <v>0.27427646595856497</v>
      </c>
      <c r="X1224">
        <v>2.4999999999999898</v>
      </c>
      <c r="Y1224">
        <v>12.275672085139901</v>
      </c>
      <c r="Z1224">
        <v>0.49999999999827299</v>
      </c>
      <c r="AA1224">
        <v>22.478435071451099</v>
      </c>
      <c r="AB1224" s="9">
        <f t="shared" si="170"/>
        <v>-0.47126407547918686</v>
      </c>
      <c r="AC1224" s="9">
        <f t="shared" si="171"/>
        <v>-0.50540410712752593</v>
      </c>
      <c r="AD1224" s="2">
        <f t="shared" si="172"/>
        <v>7.2443526728883434E-2</v>
      </c>
      <c r="AE1224" s="8">
        <f t="shared" si="173"/>
        <v>4.8192664020041201E-2</v>
      </c>
      <c r="AF1224" s="2">
        <f t="shared" si="174"/>
        <v>-1.2654252585809489E-2</v>
      </c>
      <c r="AG1224" s="8">
        <f t="shared" si="175"/>
        <v>6.084691660585069E-2</v>
      </c>
      <c r="AH1224" s="7">
        <f t="shared" si="176"/>
        <v>-0.20796867436652869</v>
      </c>
      <c r="AI1224">
        <f t="shared" si="177"/>
        <v>4</v>
      </c>
      <c r="AJ1224" s="10">
        <f t="shared" si="178"/>
        <v>0.97355066569361104</v>
      </c>
    </row>
    <row r="1225" spans="1:36" hidden="1" x14ac:dyDescent="0.25">
      <c r="A1225" t="b">
        <v>0</v>
      </c>
      <c r="B1225">
        <v>1000</v>
      </c>
      <c r="C1225">
        <v>0.97355066569361104</v>
      </c>
      <c r="D1225" t="s">
        <v>52</v>
      </c>
      <c r="E1225" t="b">
        <v>1</v>
      </c>
      <c r="F1225" t="s">
        <v>53</v>
      </c>
      <c r="G1225">
        <v>7.4999999999999997E-2</v>
      </c>
      <c r="H1225">
        <v>0.5</v>
      </c>
      <c r="I1225">
        <v>1E-4</v>
      </c>
      <c r="J1225" t="b">
        <v>1</v>
      </c>
      <c r="K1225">
        <v>4</v>
      </c>
      <c r="L1225">
        <v>1500</v>
      </c>
      <c r="M1225">
        <v>1</v>
      </c>
      <c r="N1225">
        <v>0.154</v>
      </c>
      <c r="O1225" t="s">
        <v>488</v>
      </c>
      <c r="P1225" t="s">
        <v>489</v>
      </c>
      <c r="Q1225">
        <v>-1.37484074533478E-4</v>
      </c>
      <c r="R1225">
        <v>5.67355110170606E-4</v>
      </c>
      <c r="S1225">
        <v>4.9168349087616798E-4</v>
      </c>
      <c r="T1225">
        <v>-3.7076494274643E-3</v>
      </c>
      <c r="U1225">
        <v>4.0685942644611597</v>
      </c>
      <c r="V1225" s="1">
        <v>9.9999999999999905E-15</v>
      </c>
      <c r="W1225">
        <v>0.27868549565079798</v>
      </c>
      <c r="X1225">
        <v>2.4999999999999898</v>
      </c>
      <c r="Y1225">
        <v>12.505508645549799</v>
      </c>
      <c r="Z1225">
        <v>0.499999999998536</v>
      </c>
      <c r="AA1225">
        <v>22.906639904570099</v>
      </c>
      <c r="AB1225" s="9">
        <f t="shared" si="170"/>
        <v>-0.47129524077284951</v>
      </c>
      <c r="AC1225" s="9">
        <f t="shared" si="171"/>
        <v>-0.50540410712752593</v>
      </c>
      <c r="AD1225" s="2">
        <f t="shared" si="172"/>
        <v>7.2372609362112872E-2</v>
      </c>
      <c r="AE1225" s="8">
        <f t="shared" si="173"/>
        <v>4.8204077995373719E-2</v>
      </c>
      <c r="AF1225" s="2">
        <f t="shared" si="174"/>
        <v>-1.2642838610476971E-2</v>
      </c>
      <c r="AG1225" s="8">
        <f t="shared" si="175"/>
        <v>6.084691660585069E-2</v>
      </c>
      <c r="AH1225" s="7">
        <f t="shared" si="176"/>
        <v>-0.20778108926001532</v>
      </c>
      <c r="AI1225">
        <f t="shared" si="177"/>
        <v>4</v>
      </c>
      <c r="AJ1225" s="10">
        <f t="shared" si="178"/>
        <v>0.97355066569361104</v>
      </c>
    </row>
    <row r="1226" spans="1:36" hidden="1" x14ac:dyDescent="0.25">
      <c r="A1226" t="b">
        <v>0</v>
      </c>
      <c r="B1226">
        <v>1000</v>
      </c>
      <c r="C1226">
        <v>0.97355066569361104</v>
      </c>
      <c r="D1226" t="s">
        <v>52</v>
      </c>
      <c r="E1226" t="b">
        <v>1</v>
      </c>
      <c r="F1226" t="s">
        <v>53</v>
      </c>
      <c r="G1226">
        <v>7.4999999999999997E-2</v>
      </c>
      <c r="H1226">
        <v>0.5</v>
      </c>
      <c r="I1226">
        <v>1E-4</v>
      </c>
      <c r="J1226" t="b">
        <v>1</v>
      </c>
      <c r="K1226">
        <v>4</v>
      </c>
      <c r="L1226">
        <v>1500</v>
      </c>
      <c r="M1226">
        <v>1</v>
      </c>
      <c r="N1226">
        <v>0.154</v>
      </c>
      <c r="O1226" t="s">
        <v>488</v>
      </c>
      <c r="P1226" t="s">
        <v>490</v>
      </c>
      <c r="Q1226">
        <v>-1.1782624562640599E-4</v>
      </c>
      <c r="R1226">
        <v>4.5796346508096498E-4</v>
      </c>
      <c r="S1226">
        <v>4.2137443142282902E-4</v>
      </c>
      <c r="T1226">
        <v>-3.1771553538483001E-3</v>
      </c>
      <c r="U1226">
        <v>4.0686920692228803</v>
      </c>
      <c r="V1226" s="1">
        <v>9.9999999999999905E-15</v>
      </c>
      <c r="W1226">
        <v>0.26019186766085201</v>
      </c>
      <c r="X1226">
        <v>2.4999999999999898</v>
      </c>
      <c r="Y1226">
        <v>11.8589987964661</v>
      </c>
      <c r="Z1226">
        <v>0.49999999999856698</v>
      </c>
      <c r="AA1226">
        <v>21.547706608163899</v>
      </c>
      <c r="AB1226" s="9">
        <f t="shared" si="170"/>
        <v>-0.47124883430874587</v>
      </c>
      <c r="AC1226" s="9">
        <f t="shared" si="171"/>
        <v>-0.50540410712752593</v>
      </c>
      <c r="AD1226" s="2">
        <f t="shared" si="172"/>
        <v>7.2478211789915425E-2</v>
      </c>
      <c r="AE1226" s="8">
        <f t="shared" si="173"/>
        <v>4.818708218517477E-2</v>
      </c>
      <c r="AF1226" s="2">
        <f t="shared" si="174"/>
        <v>-1.2659834420675919E-2</v>
      </c>
      <c r="AG1226" s="8">
        <f t="shared" si="175"/>
        <v>6.084691660585069E-2</v>
      </c>
      <c r="AH1226" s="7">
        <f t="shared" si="176"/>
        <v>-0.20806041007275333</v>
      </c>
      <c r="AI1226">
        <f t="shared" si="177"/>
        <v>4</v>
      </c>
      <c r="AJ1226" s="10">
        <f t="shared" si="178"/>
        <v>0.97355066569361104</v>
      </c>
    </row>
    <row r="1227" spans="1:36" hidden="1" x14ac:dyDescent="0.25">
      <c r="A1227" t="b">
        <v>0</v>
      </c>
      <c r="B1227">
        <v>1000</v>
      </c>
      <c r="C1227">
        <v>0.97355066569361104</v>
      </c>
      <c r="D1227" t="s">
        <v>52</v>
      </c>
      <c r="E1227" t="b">
        <v>1</v>
      </c>
      <c r="F1227" t="s">
        <v>53</v>
      </c>
      <c r="G1227">
        <v>7.4999999999999997E-2</v>
      </c>
      <c r="H1227">
        <v>0.5</v>
      </c>
      <c r="I1227">
        <v>1E-4</v>
      </c>
      <c r="J1227" t="b">
        <v>1</v>
      </c>
      <c r="K1227">
        <v>4</v>
      </c>
      <c r="L1227">
        <v>1500</v>
      </c>
      <c r="M1227">
        <v>1</v>
      </c>
      <c r="N1227">
        <v>0.154</v>
      </c>
      <c r="O1227" t="s">
        <v>488</v>
      </c>
      <c r="P1227" t="s">
        <v>491</v>
      </c>
      <c r="Q1227">
        <v>-1.37484074533478E-4</v>
      </c>
      <c r="R1227">
        <v>5.5771816386689804E-4</v>
      </c>
      <c r="S1227">
        <v>4.9168349087616505E-4</v>
      </c>
      <c r="T1227">
        <v>-3.7076494274641001E-3</v>
      </c>
      <c r="U1227">
        <v>4.0685942645003204</v>
      </c>
      <c r="V1227" s="1">
        <v>9.9999999999999905E-15</v>
      </c>
      <c r="W1227">
        <v>0.27375363800057201</v>
      </c>
      <c r="X1227">
        <v>2.4999999999999898</v>
      </c>
      <c r="Y1227">
        <v>12.3079210031943</v>
      </c>
      <c r="Z1227">
        <v>0.499999999998536</v>
      </c>
      <c r="AA1227">
        <v>22.513443204658699</v>
      </c>
      <c r="AB1227" s="9">
        <f t="shared" si="170"/>
        <v>-0.47129524077282692</v>
      </c>
      <c r="AC1227" s="9">
        <f t="shared" si="171"/>
        <v>-0.50540410712752593</v>
      </c>
      <c r="AD1227" s="2">
        <f t="shared" si="172"/>
        <v>7.2372609362164386E-2</v>
      </c>
      <c r="AE1227" s="8">
        <f t="shared" si="173"/>
        <v>4.8204077995365427E-2</v>
      </c>
      <c r="AF1227" s="2">
        <f t="shared" si="174"/>
        <v>-1.2642838610485263E-2</v>
      </c>
      <c r="AG1227" s="8">
        <f t="shared" si="175"/>
        <v>6.084691660585069E-2</v>
      </c>
      <c r="AH1227" s="7">
        <f t="shared" si="176"/>
        <v>-0.2077810892601516</v>
      </c>
      <c r="AI1227">
        <f t="shared" si="177"/>
        <v>4</v>
      </c>
      <c r="AJ1227" s="10">
        <f t="shared" si="178"/>
        <v>0.97355066569361104</v>
      </c>
    </row>
    <row r="1228" spans="1:36" hidden="1" x14ac:dyDescent="0.25">
      <c r="A1228" t="b">
        <v>0</v>
      </c>
      <c r="B1228">
        <v>1000</v>
      </c>
      <c r="C1228">
        <v>0.97355066569361104</v>
      </c>
      <c r="D1228" t="s">
        <v>52</v>
      </c>
      <c r="E1228" t="b">
        <v>1</v>
      </c>
      <c r="F1228" t="s">
        <v>53</v>
      </c>
      <c r="G1228">
        <v>7.4999999999999997E-2</v>
      </c>
      <c r="H1228">
        <v>0.5</v>
      </c>
      <c r="I1228">
        <v>1E-4</v>
      </c>
      <c r="J1228" t="b">
        <v>1</v>
      </c>
      <c r="K1228">
        <v>4</v>
      </c>
      <c r="L1228">
        <v>1500</v>
      </c>
      <c r="M1228">
        <v>1</v>
      </c>
      <c r="N1228">
        <v>0.154</v>
      </c>
      <c r="O1228" t="s">
        <v>488</v>
      </c>
      <c r="P1228" t="s">
        <v>492</v>
      </c>
      <c r="Q1228">
        <v>-2.7495926231142298E-4</v>
      </c>
      <c r="R1228">
        <v>1.1020647491225999E-3</v>
      </c>
      <c r="S1228">
        <v>9.8331368304697595E-4</v>
      </c>
      <c r="T1228">
        <v>-7.4139185945712597E-3</v>
      </c>
      <c r="U1228">
        <v>4.0679108254238399</v>
      </c>
      <c r="V1228" s="1">
        <v>9.9999999999999905E-15</v>
      </c>
      <c r="W1228">
        <v>0.271270917361629</v>
      </c>
      <c r="X1228">
        <v>2.4999999999999898</v>
      </c>
      <c r="Y1228">
        <v>12.161136379752399</v>
      </c>
      <c r="Z1228">
        <v>0.49999999999828798</v>
      </c>
      <c r="AA1228">
        <v>22.244737021033899</v>
      </c>
      <c r="AB1228" s="9">
        <f t="shared" si="170"/>
        <v>-0.47123305629681461</v>
      </c>
      <c r="AC1228" s="9">
        <f t="shared" si="171"/>
        <v>-0.50540410712752593</v>
      </c>
      <c r="AD1228" s="2">
        <f t="shared" si="172"/>
        <v>7.2514120930404546E-2</v>
      </c>
      <c r="AE1228" s="8">
        <f t="shared" si="173"/>
        <v>4.8181303803326449E-2</v>
      </c>
      <c r="AF1228" s="2">
        <f t="shared" si="174"/>
        <v>-1.2665612802524241E-2</v>
      </c>
      <c r="AG1228" s="8">
        <f t="shared" si="175"/>
        <v>6.084691660585069E-2</v>
      </c>
      <c r="AH1228" s="7">
        <f t="shared" si="176"/>
        <v>-0.20815537596701142</v>
      </c>
      <c r="AI1228">
        <f t="shared" si="177"/>
        <v>4</v>
      </c>
      <c r="AJ1228" s="10">
        <f t="shared" si="178"/>
        <v>0.97355066569361104</v>
      </c>
    </row>
    <row r="1229" spans="1:36" hidden="1" x14ac:dyDescent="0.25">
      <c r="A1229" t="b">
        <v>0</v>
      </c>
      <c r="B1229">
        <v>1000</v>
      </c>
      <c r="C1229">
        <v>0.97355066569361104</v>
      </c>
      <c r="D1229" t="s">
        <v>52</v>
      </c>
      <c r="E1229" t="b">
        <v>1</v>
      </c>
      <c r="F1229" t="s">
        <v>53</v>
      </c>
      <c r="G1229">
        <v>7.4999999999999997E-2</v>
      </c>
      <c r="H1229">
        <v>0.5</v>
      </c>
      <c r="I1229">
        <v>1E-4</v>
      </c>
      <c r="J1229" t="b">
        <v>1</v>
      </c>
      <c r="K1229">
        <v>4</v>
      </c>
      <c r="L1229">
        <v>1500</v>
      </c>
      <c r="M1229">
        <v>1</v>
      </c>
      <c r="N1229">
        <v>0.154</v>
      </c>
      <c r="O1229" t="s">
        <v>489</v>
      </c>
      <c r="P1229" t="s">
        <v>491</v>
      </c>
      <c r="Q1229" s="1">
        <v>-1E-10</v>
      </c>
      <c r="R1229" s="1">
        <v>3.5857859347456702E-12</v>
      </c>
      <c r="S1229" s="1">
        <v>4.8817869393508297E-18</v>
      </c>
      <c r="T1229" s="1">
        <v>9.2336868181087194E-17</v>
      </c>
      <c r="U1229">
        <v>4.0679108006598099</v>
      </c>
      <c r="V1229">
        <v>0</v>
      </c>
      <c r="W1229">
        <v>6.8474548311950406E-2</v>
      </c>
      <c r="X1229">
        <v>2</v>
      </c>
      <c r="Y1229">
        <v>4.0005664170602697E-3</v>
      </c>
      <c r="Z1229">
        <v>2.5000000000000001E-4</v>
      </c>
      <c r="AA1229">
        <v>4.7933529849652897E-3</v>
      </c>
      <c r="AB1229" s="9">
        <f t="shared" si="170"/>
        <v>1.182160207525438</v>
      </c>
      <c r="AC1229" s="9">
        <f t="shared" si="171"/>
        <v>-0.50540410712752593</v>
      </c>
      <c r="AD1229" s="2">
        <f t="shared" si="172"/>
        <v>-1.4275259003899863</v>
      </c>
      <c r="AE1229" s="8">
        <f t="shared" si="173"/>
        <v>-0.33562079696177566</v>
      </c>
      <c r="AF1229" s="2">
        <f t="shared" si="174"/>
        <v>-0.39646771356762633</v>
      </c>
      <c r="AG1229" s="8">
        <f t="shared" si="175"/>
        <v>6.084691660585069E-2</v>
      </c>
      <c r="AH1229" s="7">
        <f t="shared" si="176"/>
        <v>-6.5158225869657995</v>
      </c>
      <c r="AI1229">
        <f t="shared" si="177"/>
        <v>4</v>
      </c>
      <c r="AJ1229" s="10">
        <f t="shared" si="178"/>
        <v>0.97355066569361104</v>
      </c>
    </row>
    <row r="1230" spans="1:36" hidden="1" x14ac:dyDescent="0.25">
      <c r="A1230" t="b">
        <v>0</v>
      </c>
      <c r="B1230">
        <v>1000</v>
      </c>
      <c r="C1230">
        <v>0.97355066569361104</v>
      </c>
      <c r="D1230" t="s">
        <v>52</v>
      </c>
      <c r="E1230" t="b">
        <v>1</v>
      </c>
      <c r="F1230" t="s">
        <v>53</v>
      </c>
      <c r="G1230">
        <v>7.4999999999999997E-2</v>
      </c>
      <c r="H1230">
        <v>0.5</v>
      </c>
      <c r="I1230">
        <v>1E-4</v>
      </c>
      <c r="J1230" t="b">
        <v>1</v>
      </c>
      <c r="K1230">
        <v>4</v>
      </c>
      <c r="L1230">
        <v>1500</v>
      </c>
      <c r="M1230">
        <v>1</v>
      </c>
      <c r="N1230">
        <v>0.154</v>
      </c>
      <c r="O1230" t="s">
        <v>489</v>
      </c>
      <c r="P1230" t="s">
        <v>492</v>
      </c>
      <c r="Q1230">
        <v>-1.37475187782079E-4</v>
      </c>
      <c r="R1230">
        <v>5.5884753214146404E-4</v>
      </c>
      <c r="S1230">
        <v>4.9163019217080895E-4</v>
      </c>
      <c r="T1230">
        <v>-3.70626916710699E-3</v>
      </c>
      <c r="U1230">
        <v>4.0672273615833303</v>
      </c>
      <c r="V1230" s="1">
        <v>9.9999999999999905E-15</v>
      </c>
      <c r="W1230">
        <v>0.27730608821054598</v>
      </c>
      <c r="X1230">
        <v>2.4999999999999898</v>
      </c>
      <c r="Y1230">
        <v>12.288494870339701</v>
      </c>
      <c r="Z1230">
        <v>0.49999999999853001</v>
      </c>
      <c r="AA1230">
        <v>22.5782374300532</v>
      </c>
      <c r="AB1230" s="9">
        <f t="shared" si="170"/>
        <v>-0.47117086507922745</v>
      </c>
      <c r="AC1230" s="9">
        <f t="shared" si="171"/>
        <v>-0.50540410712752593</v>
      </c>
      <c r="AD1230" s="2">
        <f t="shared" si="172"/>
        <v>7.2655685199342956E-2</v>
      </c>
      <c r="AE1230" s="8">
        <f t="shared" si="173"/>
        <v>4.8158528132043396E-2</v>
      </c>
      <c r="AF1230" s="2">
        <f t="shared" si="174"/>
        <v>-1.2688388473807294E-2</v>
      </c>
      <c r="AG1230" s="8">
        <f t="shared" si="175"/>
        <v>6.084691660585069E-2</v>
      </c>
      <c r="AH1230" s="7">
        <f t="shared" si="176"/>
        <v>-0.20852968698478389</v>
      </c>
      <c r="AI1230">
        <f t="shared" si="177"/>
        <v>4</v>
      </c>
      <c r="AJ1230" s="10">
        <f t="shared" si="178"/>
        <v>0.97355066569361104</v>
      </c>
    </row>
    <row r="1231" spans="1:36" hidden="1" x14ac:dyDescent="0.25">
      <c r="A1231" t="b">
        <v>0</v>
      </c>
      <c r="B1231">
        <v>1000</v>
      </c>
      <c r="C1231">
        <v>0.97355066569361104</v>
      </c>
      <c r="D1231" t="s">
        <v>52</v>
      </c>
      <c r="E1231" t="b">
        <v>1</v>
      </c>
      <c r="F1231" t="s">
        <v>53</v>
      </c>
      <c r="G1231">
        <v>7.4999999999999997E-2</v>
      </c>
      <c r="H1231">
        <v>0.5</v>
      </c>
      <c r="I1231">
        <v>1E-4</v>
      </c>
      <c r="J1231" t="b">
        <v>1</v>
      </c>
      <c r="K1231">
        <v>4</v>
      </c>
      <c r="L1231">
        <v>1500</v>
      </c>
      <c r="M1231">
        <v>1</v>
      </c>
      <c r="N1231">
        <v>0.154</v>
      </c>
      <c r="O1231" t="s">
        <v>490</v>
      </c>
      <c r="P1231" t="s">
        <v>491</v>
      </c>
      <c r="Q1231" s="1">
        <v>-1.9657828908969301E-5</v>
      </c>
      <c r="R1231" s="1">
        <v>7.3133879031238199E-5</v>
      </c>
      <c r="S1231" s="1">
        <v>7.0309059453339801E-5</v>
      </c>
      <c r="T1231">
        <v>-5.3049407361597199E-4</v>
      </c>
      <c r="U1231">
        <v>4.0680086054215403</v>
      </c>
      <c r="V1231" s="1">
        <v>9.9999999999999905E-15</v>
      </c>
      <c r="W1231">
        <v>0.24674164272692201</v>
      </c>
      <c r="X1231">
        <v>2.4999999999999898</v>
      </c>
      <c r="Y1231">
        <v>11.4178977856103</v>
      </c>
      <c r="Z1231">
        <v>0.49999999999968903</v>
      </c>
      <c r="AA1231">
        <v>20.602823354958801</v>
      </c>
      <c r="AB1231" s="9">
        <f t="shared" si="170"/>
        <v>-0.47157336278978323</v>
      </c>
      <c r="AC1231" s="9">
        <f t="shared" si="171"/>
        <v>-0.50540410712752593</v>
      </c>
      <c r="AD1231" s="2">
        <f t="shared" si="172"/>
        <v>7.1740151177333678E-2</v>
      </c>
      <c r="AE1231" s="8">
        <f t="shared" si="173"/>
        <v>4.8305948395173465E-2</v>
      </c>
      <c r="AF1231" s="2">
        <f t="shared" si="174"/>
        <v>-1.2540968210677225E-2</v>
      </c>
      <c r="AG1231" s="8">
        <f t="shared" si="175"/>
        <v>6.084691660585069E-2</v>
      </c>
      <c r="AH1231" s="7">
        <f t="shared" si="176"/>
        <v>-0.20610688117384995</v>
      </c>
      <c r="AI1231">
        <f t="shared" si="177"/>
        <v>4</v>
      </c>
      <c r="AJ1231" s="10">
        <f t="shared" si="178"/>
        <v>0.97355066569361104</v>
      </c>
    </row>
    <row r="1232" spans="1:36" hidden="1" x14ac:dyDescent="0.25">
      <c r="A1232" t="b">
        <v>0</v>
      </c>
      <c r="B1232">
        <v>1000</v>
      </c>
      <c r="C1232">
        <v>0.97355066569361104</v>
      </c>
      <c r="D1232" t="s">
        <v>52</v>
      </c>
      <c r="E1232" t="b">
        <v>1</v>
      </c>
      <c r="F1232" t="s">
        <v>53</v>
      </c>
      <c r="G1232">
        <v>7.4999999999999997E-2</v>
      </c>
      <c r="H1232">
        <v>0.5</v>
      </c>
      <c r="I1232">
        <v>1E-4</v>
      </c>
      <c r="J1232" t="b">
        <v>1</v>
      </c>
      <c r="K1232">
        <v>4</v>
      </c>
      <c r="L1232">
        <v>1500</v>
      </c>
      <c r="M1232">
        <v>1</v>
      </c>
      <c r="N1232">
        <v>0.154</v>
      </c>
      <c r="O1232" t="s">
        <v>490</v>
      </c>
      <c r="P1232" t="s">
        <v>492</v>
      </c>
      <c r="Q1232">
        <v>-1.5713301668906601E-4</v>
      </c>
      <c r="R1232">
        <v>5.8061586335955001E-4</v>
      </c>
      <c r="S1232">
        <v>5.6193925162415198E-4</v>
      </c>
      <c r="T1232">
        <v>-4.2367632407230103E-3</v>
      </c>
      <c r="U1232">
        <v>4.0673251663450598</v>
      </c>
      <c r="V1232" s="1">
        <v>9.9999999999999905E-15</v>
      </c>
      <c r="W1232">
        <v>0.248809195916007</v>
      </c>
      <c r="X1232">
        <v>2.4999999999999898</v>
      </c>
      <c r="Y1232">
        <v>11.289035364867001</v>
      </c>
      <c r="Z1232">
        <v>0.49999999999849798</v>
      </c>
      <c r="AA1232">
        <v>20.484991919706101</v>
      </c>
      <c r="AB1232" s="9">
        <f t="shared" si="170"/>
        <v>-0.47122122503429553</v>
      </c>
      <c r="AC1232" s="9">
        <f t="shared" si="171"/>
        <v>-0.50540410712752593</v>
      </c>
      <c r="AD1232" s="2">
        <f t="shared" si="172"/>
        <v>7.2541049250789857E-2</v>
      </c>
      <c r="AE1232" s="8">
        <f t="shared" si="173"/>
        <v>4.81769708814479E-2</v>
      </c>
      <c r="AF1232" s="2">
        <f t="shared" si="174"/>
        <v>-1.266994572440279E-2</v>
      </c>
      <c r="AG1232" s="8">
        <f t="shared" si="175"/>
        <v>6.084691660585069E-2</v>
      </c>
      <c r="AH1232" s="7">
        <f t="shared" si="176"/>
        <v>-0.20822658617979206</v>
      </c>
      <c r="AI1232">
        <f t="shared" si="177"/>
        <v>4</v>
      </c>
      <c r="AJ1232" s="10">
        <f t="shared" si="178"/>
        <v>0.97355066569361104</v>
      </c>
    </row>
    <row r="1233" spans="1:37" x14ac:dyDescent="0.25">
      <c r="A1233" t="b">
        <v>0</v>
      </c>
      <c r="B1233">
        <v>1000</v>
      </c>
      <c r="C1233">
        <v>0.97355066569361104</v>
      </c>
      <c r="D1233" t="s">
        <v>52</v>
      </c>
      <c r="E1233" t="b">
        <v>1</v>
      </c>
      <c r="F1233" t="s">
        <v>53</v>
      </c>
      <c r="G1233">
        <v>7.4999999999999997E-2</v>
      </c>
      <c r="H1233">
        <v>0.5</v>
      </c>
      <c r="I1233">
        <v>1E-4</v>
      </c>
      <c r="J1233" t="b">
        <v>1</v>
      </c>
      <c r="K1233">
        <v>4</v>
      </c>
      <c r="L1233">
        <v>1500</v>
      </c>
      <c r="M1233">
        <v>1</v>
      </c>
      <c r="N1233">
        <v>0.154</v>
      </c>
      <c r="O1233" t="s">
        <v>491</v>
      </c>
      <c r="P1233" t="s">
        <v>492</v>
      </c>
      <c r="Q1233">
        <v>-1.37475187782079E-4</v>
      </c>
      <c r="R1233">
        <v>5.5286653929923998E-4</v>
      </c>
      <c r="S1233">
        <v>4.9163019217081199E-4</v>
      </c>
      <c r="T1233">
        <v>-3.7062691671071999E-3</v>
      </c>
      <c r="U1233">
        <v>4.0672273616224901</v>
      </c>
      <c r="V1233" s="1">
        <v>9.9999999999999905E-15</v>
      </c>
      <c r="W1233">
        <v>0.27499188615723502</v>
      </c>
      <c r="X1233">
        <v>2.4999999999999898</v>
      </c>
      <c r="Y1233">
        <v>12.155552968012399</v>
      </c>
      <c r="Z1233">
        <v>0.49999999999853001</v>
      </c>
      <c r="AA1233">
        <v>22.338400118684199</v>
      </c>
      <c r="AB1233" s="9">
        <f t="shared" si="170"/>
        <v>-0.47117086507925121</v>
      </c>
      <c r="AC1233" s="9">
        <f t="shared" si="171"/>
        <v>-0.50540410712752593</v>
      </c>
      <c r="AD1233" s="2">
        <f t="shared" si="172"/>
        <v>7.2655685199289E-2</v>
      </c>
      <c r="AE1233" s="8">
        <f t="shared" si="173"/>
        <v>4.8158528132052091E-2</v>
      </c>
      <c r="AF1233" s="2">
        <f t="shared" si="174"/>
        <v>-1.2688388473798599E-2</v>
      </c>
      <c r="AG1233" s="8">
        <f t="shared" si="175"/>
        <v>6.084691660585069E-2</v>
      </c>
      <c r="AH1233" s="7">
        <f t="shared" si="176"/>
        <v>-0.208529686984641</v>
      </c>
      <c r="AI1233">
        <f t="shared" si="177"/>
        <v>4</v>
      </c>
      <c r="AJ1233" s="10">
        <f t="shared" si="178"/>
        <v>0.97355066569361104</v>
      </c>
    </row>
    <row r="1235" spans="1:37" x14ac:dyDescent="0.25">
      <c r="A1235" s="3">
        <v>44287</v>
      </c>
      <c r="B1235" t="s">
        <v>493</v>
      </c>
    </row>
    <row r="1236" spans="1:37" x14ac:dyDescent="0.25">
      <c r="A1236" t="s">
        <v>25</v>
      </c>
      <c r="B1236" t="s">
        <v>26</v>
      </c>
      <c r="C1236" t="s">
        <v>494</v>
      </c>
      <c r="D1236" t="s">
        <v>27</v>
      </c>
      <c r="E1236" t="s">
        <v>28</v>
      </c>
      <c r="F1236" t="s">
        <v>29</v>
      </c>
      <c r="G1236" t="s">
        <v>30</v>
      </c>
      <c r="H1236" t="s">
        <v>31</v>
      </c>
      <c r="I1236" t="s">
        <v>32</v>
      </c>
      <c r="J1236" t="s">
        <v>33</v>
      </c>
      <c r="K1236" t="s">
        <v>34</v>
      </c>
      <c r="L1236" t="s">
        <v>35</v>
      </c>
      <c r="M1236" t="s">
        <v>36</v>
      </c>
      <c r="N1236" t="s">
        <v>37</v>
      </c>
      <c r="O1236" t="s">
        <v>38</v>
      </c>
      <c r="P1236" t="s">
        <v>39</v>
      </c>
      <c r="Q1236" t="s">
        <v>40</v>
      </c>
      <c r="R1236" t="s">
        <v>41</v>
      </c>
      <c r="S1236" t="s">
        <v>42</v>
      </c>
      <c r="T1236" t="s">
        <v>43</v>
      </c>
      <c r="U1236" t="s">
        <v>44</v>
      </c>
      <c r="V1236" t="s">
        <v>45</v>
      </c>
      <c r="W1236" t="s">
        <v>46</v>
      </c>
      <c r="X1236" t="s">
        <v>47</v>
      </c>
      <c r="Y1236" t="s">
        <v>48</v>
      </c>
      <c r="Z1236" t="s">
        <v>49</v>
      </c>
      <c r="AA1236" t="s">
        <v>50</v>
      </c>
      <c r="AB1236" s="9" t="s">
        <v>51</v>
      </c>
      <c r="AC1236" s="9" t="s">
        <v>150</v>
      </c>
      <c r="AD1236" s="9" t="s">
        <v>147</v>
      </c>
      <c r="AE1236" t="s">
        <v>148</v>
      </c>
      <c r="AF1236" t="s">
        <v>114</v>
      </c>
      <c r="AG1236" t="s">
        <v>115</v>
      </c>
      <c r="AH1236" t="s">
        <v>116</v>
      </c>
      <c r="AI1236" t="s">
        <v>149</v>
      </c>
      <c r="AJ1236" t="s">
        <v>35</v>
      </c>
      <c r="AK1236" t="s">
        <v>37</v>
      </c>
    </row>
    <row r="1237" spans="1:37" x14ac:dyDescent="0.25">
      <c r="A1237" t="b">
        <v>0</v>
      </c>
      <c r="B1237">
        <v>1000</v>
      </c>
      <c r="C1237">
        <v>1</v>
      </c>
      <c r="D1237">
        <v>1.9471013313871799E-2</v>
      </c>
      <c r="E1237" t="s">
        <v>52</v>
      </c>
      <c r="F1237" t="b">
        <v>1</v>
      </c>
      <c r="G1237" t="s">
        <v>53</v>
      </c>
      <c r="H1237">
        <v>7.4999999999999997E-2</v>
      </c>
      <c r="I1237">
        <v>0.25</v>
      </c>
      <c r="J1237">
        <v>1E-4</v>
      </c>
      <c r="K1237" t="b">
        <v>1</v>
      </c>
      <c r="L1237">
        <v>1</v>
      </c>
      <c r="M1237">
        <v>1500</v>
      </c>
      <c r="N1237">
        <v>0.02</v>
      </c>
      <c r="O1237">
        <v>0.154</v>
      </c>
      <c r="P1237" t="s">
        <v>56</v>
      </c>
      <c r="Q1237" t="s">
        <v>57</v>
      </c>
      <c r="R1237" s="1">
        <v>-1.1406116442378199E-5</v>
      </c>
      <c r="S1237" s="1">
        <v>7.7221628547528595E-6</v>
      </c>
      <c r="T1237" s="1">
        <v>3.4004182505326202E-5</v>
      </c>
      <c r="U1237" s="1">
        <v>-1.3374763627447801E-5</v>
      </c>
      <c r="V1237">
        <v>1.0095333830277899</v>
      </c>
      <c r="W1237" s="1">
        <v>-1.2336887051551301E-15</v>
      </c>
      <c r="X1237">
        <v>1.19034336262275E-2</v>
      </c>
      <c r="Y1237">
        <v>1.8139904811261101</v>
      </c>
      <c r="Z1237">
        <v>2.9706328700700402</v>
      </c>
      <c r="AA1237">
        <v>6.5389237744934003E-3</v>
      </c>
      <c r="AB1237" s="9">
        <v>2.2116635470655002</v>
      </c>
      <c r="AC1237" s="9">
        <f>U1237/T1237/L1237^2</f>
        <v>-0.39332701573851575</v>
      </c>
      <c r="AD1237" s="9">
        <f>(1+10*D1237/C1237^2)/(-3-3*D1237/C1237^2)</f>
        <v>-0.39063073480798555</v>
      </c>
      <c r="AE1237" s="2">
        <f>(AD1237/AC1237-1)</f>
        <v>-6.8550616221152438E-3</v>
      </c>
      <c r="AF1237" s="8">
        <f>-(1+3*AC1237)/(10+3*AC1237)</f>
        <v>2.0405970574329402E-2</v>
      </c>
      <c r="AG1237" s="2">
        <f>(AF1237-D1237/C1237^2)</f>
        <v>9.3495726045760355E-4</v>
      </c>
      <c r="AH1237" s="8">
        <f>D1237/C1237^2</f>
        <v>1.9471013313871799E-2</v>
      </c>
      <c r="AI1237" s="7">
        <f>AG1237/AH1237</f>
        <v>4.8017904635271801E-2</v>
      </c>
      <c r="AJ1237">
        <f>C1237</f>
        <v>1</v>
      </c>
      <c r="AK1237" s="10">
        <f>D1237</f>
        <v>1.9471013313871799E-2</v>
      </c>
    </row>
    <row r="1238" spans="1:37" x14ac:dyDescent="0.25">
      <c r="A1238" t="b">
        <v>0</v>
      </c>
      <c r="B1238">
        <v>1000</v>
      </c>
      <c r="C1238">
        <v>1.0127707097607499</v>
      </c>
      <c r="D1238">
        <v>0.18237679682340799</v>
      </c>
      <c r="E1238" t="s">
        <v>52</v>
      </c>
      <c r="F1238" t="b">
        <v>1</v>
      </c>
      <c r="G1238" t="s">
        <v>53</v>
      </c>
      <c r="H1238">
        <v>7.4999999999999997E-2</v>
      </c>
      <c r="I1238">
        <v>0.25</v>
      </c>
      <c r="J1238">
        <v>1E-4</v>
      </c>
      <c r="K1238" t="b">
        <v>1</v>
      </c>
      <c r="L1238">
        <v>1</v>
      </c>
      <c r="M1238">
        <v>1500</v>
      </c>
      <c r="N1238">
        <v>0.2</v>
      </c>
      <c r="O1238">
        <v>0.154</v>
      </c>
      <c r="P1238" t="s">
        <v>495</v>
      </c>
      <c r="Q1238" t="s">
        <v>496</v>
      </c>
      <c r="R1238" s="1">
        <v>-1.3460070010291901E-5</v>
      </c>
      <c r="S1238" s="1">
        <v>3.5746174734257698E-6</v>
      </c>
      <c r="T1238" s="1">
        <v>4.0276021755288101E-5</v>
      </c>
      <c r="U1238" s="1">
        <v>-3.4723100439870003E-5</v>
      </c>
      <c r="V1238">
        <v>1.09768847176994</v>
      </c>
      <c r="W1238" s="1">
        <v>-8.1618076205055601E-16</v>
      </c>
      <c r="X1238">
        <v>5.5849450850864396E-3</v>
      </c>
      <c r="Y1238">
        <v>1.87712968183006</v>
      </c>
      <c r="Z1238">
        <v>1.2048210165690301</v>
      </c>
      <c r="AA1238">
        <v>4.2256975251656901E-3</v>
      </c>
      <c r="AB1238" s="9">
        <v>0.93188742474097397</v>
      </c>
      <c r="AC1238" s="9">
        <f t="shared" ref="AC1238:AC1239" si="179">U1238/T1238/L1238^2</f>
        <v>-0.86212835644103758</v>
      </c>
      <c r="AD1238" s="9">
        <f t="shared" ref="AD1238:AD1239" si="180">(1+10*D1238/C1238^2)/(-3-3*D1238/C1238^2)</f>
        <v>-0.78622535900344881</v>
      </c>
      <c r="AE1238" s="2">
        <f t="shared" ref="AE1238:AE1239" si="181">(AD1238/AC1238-1)</f>
        <v>-8.8041411549116488E-2</v>
      </c>
      <c r="AF1238" s="8">
        <f t="shared" ref="AF1238:AF1239" si="182">-(1+3*AC1238)/(10+3*AC1238)</f>
        <v>0.21398266353958989</v>
      </c>
      <c r="AG1238" s="2">
        <f t="shared" ref="AG1238:AG1239" si="183">(AF1238-D1238/C1238^2)</f>
        <v>3.6176292457395676E-2</v>
      </c>
      <c r="AH1238" s="8">
        <f t="shared" ref="AH1238:AH1239" si="184">D1238/C1238^2</f>
        <v>0.17780637108219421</v>
      </c>
      <c r="AI1238" s="7">
        <f t="shared" ref="AI1238:AI1239" si="185">AG1238/AH1238</f>
        <v>0.20345892128169316</v>
      </c>
      <c r="AJ1238">
        <f t="shared" ref="AJ1238:AJ1239" si="186">C1238</f>
        <v>1.0127707097607499</v>
      </c>
      <c r="AK1238" s="10">
        <f t="shared" ref="AK1238:AK1239" si="187">D1238</f>
        <v>0.18237679682340799</v>
      </c>
    </row>
    <row r="1239" spans="1:37" x14ac:dyDescent="0.25">
      <c r="A1239" t="b">
        <v>0</v>
      </c>
      <c r="B1239">
        <v>1000</v>
      </c>
      <c r="C1239">
        <v>1</v>
      </c>
      <c r="D1239">
        <v>9.7355066569360896E-2</v>
      </c>
      <c r="E1239" t="s">
        <v>52</v>
      </c>
      <c r="F1239" t="b">
        <v>1</v>
      </c>
      <c r="G1239" t="s">
        <v>53</v>
      </c>
      <c r="H1239">
        <v>7.4999999999999997E-2</v>
      </c>
      <c r="I1239">
        <v>0.25</v>
      </c>
      <c r="J1239">
        <v>1E-4</v>
      </c>
      <c r="K1239" t="b">
        <v>1</v>
      </c>
      <c r="L1239">
        <v>1</v>
      </c>
      <c r="M1239">
        <v>1500</v>
      </c>
      <c r="N1239">
        <v>0.1</v>
      </c>
      <c r="O1239">
        <v>0.154</v>
      </c>
      <c r="P1239" t="s">
        <v>497</v>
      </c>
      <c r="Q1239" t="s">
        <v>498</v>
      </c>
      <c r="R1239" s="1">
        <v>-1.2252720323804301E-5</v>
      </c>
      <c r="S1239" s="1">
        <v>5.7859547098109003E-6</v>
      </c>
      <c r="T1239" s="1">
        <v>3.6594116763820403E-5</v>
      </c>
      <c r="U1239" s="1">
        <v>-2.2403682019038801E-5</v>
      </c>
      <c r="V1239">
        <v>1.0468124416739599</v>
      </c>
      <c r="W1239" s="1">
        <v>-1.065152114719E-15</v>
      </c>
      <c r="X1239">
        <v>8.9033304136279905E-3</v>
      </c>
      <c r="Y1239">
        <v>1.8394934681066799</v>
      </c>
      <c r="Z1239">
        <v>2.0985183687651499</v>
      </c>
      <c r="AA1239">
        <v>5.6041244777574302E-3</v>
      </c>
      <c r="AB1239" s="9">
        <v>1.5883791764701101</v>
      </c>
      <c r="AC1239" s="9">
        <f t="shared" si="179"/>
        <v>-0.61222087046485862</v>
      </c>
      <c r="AD1239" s="9">
        <f t="shared" si="180"/>
        <v>-0.59948711400631127</v>
      </c>
      <c r="AE1239" s="2">
        <f t="shared" si="181"/>
        <v>-2.079928514831364E-2</v>
      </c>
      <c r="AF1239" s="8">
        <f t="shared" si="182"/>
        <v>0.10249026489612068</v>
      </c>
      <c r="AG1239" s="2">
        <f t="shared" si="183"/>
        <v>5.1351983267597795E-3</v>
      </c>
      <c r="AH1239" s="8">
        <f t="shared" si="184"/>
        <v>9.7355066569360896E-2</v>
      </c>
      <c r="AI1239" s="7">
        <f t="shared" si="185"/>
        <v>5.2747109192321208E-2</v>
      </c>
      <c r="AJ1239">
        <f t="shared" si="186"/>
        <v>1</v>
      </c>
      <c r="AK1239" s="10">
        <f t="shared" si="187"/>
        <v>9.7355066569360896E-2</v>
      </c>
    </row>
  </sheetData>
  <sortState ref="A29:AE47">
    <sortCondition ref="K29:K47"/>
  </sortState>
  <conditionalFormatting sqref="AD28:AD60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8:AF60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8:M60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8:K60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8:AG60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64:AD87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64:AF87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64:AG87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64:AI87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4:M87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4:K87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64:AJ87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91:AD95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91:AF95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91:AG95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91:AI95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91:AJ95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99:AD1233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99:AF1233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99:AG1233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99:AI123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99:AJ1233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37:AE123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237:AG123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237:AH123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37:AJ123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1237:AK123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5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DDFD16-E6AF-4306-A774-08F5B9A8F2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fitting_results</vt:lpstr>
      <vt:lpstr>Sheet1</vt:lpstr>
      <vt:lpstr>fitting_results!fitting_results</vt:lpstr>
      <vt:lpstr>fitting_results!fitting_results_1</vt:lpstr>
      <vt:lpstr>fitting_results!fitting_results_2</vt:lpstr>
      <vt:lpstr>fitting_results!fitting_results_3</vt:lpstr>
      <vt:lpstr>fitting_results!fitting_results_4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</dc:creator>
  <cp:lastModifiedBy>URI</cp:lastModifiedBy>
  <dcterms:created xsi:type="dcterms:W3CDTF">2025-04-11T16:09:40Z</dcterms:created>
  <dcterms:modified xsi:type="dcterms:W3CDTF">2025-04-21T09:57:26Z</dcterms:modified>
</cp:coreProperties>
</file>