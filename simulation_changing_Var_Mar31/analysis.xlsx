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ybeck/Library/CloudStorage/Dropbox/coding/pazi/Pazi/simulation_changing_Var_Mar31/"/>
    </mc:Choice>
  </mc:AlternateContent>
  <xr:revisionPtr revIDLastSave="0" documentId="8_{1B9BEA90-DCDA-F647-ADED-49297A613AE6}" xr6:coauthVersionLast="47" xr6:coauthVersionMax="47" xr10:uidLastSave="{00000000-0000-0000-0000-000000000000}"/>
  <bookViews>
    <workbookView xWindow="0" yWindow="500" windowWidth="68800" windowHeight="26400" xr2:uid="{B14B5E83-D952-2F47-BA02-FC160B5883C3}"/>
  </bookViews>
  <sheets>
    <sheet name="analysis" sheetId="2" r:id="rId1"/>
    <sheet name="original" sheetId="1" r:id="rId2"/>
  </sheets>
  <definedNames>
    <definedName name="_xlnm._FilterDatabase" localSheetId="0" hidden="1">analysis!$A$1:$AA$1</definedName>
    <definedName name="_xlchart.v1.0" hidden="1">analysis!$T$2:$T$46</definedName>
    <definedName name="_xlchart.v1.1" hidden="1">analysis!$U$1</definedName>
    <definedName name="_xlchart.v1.10" hidden="1">analysis!$U$1</definedName>
    <definedName name="_xlchart.v1.11" hidden="1">analysis!$U$2:$U$46</definedName>
    <definedName name="_xlchart.v1.2" hidden="1">analysis!$U$2:$U$46</definedName>
    <definedName name="_xlchart.v1.3" hidden="1">analysis!$T$2:$T$46</definedName>
    <definedName name="_xlchart.v1.4" hidden="1">analysis!$U$1</definedName>
    <definedName name="_xlchart.v1.5" hidden="1">analysis!$U$2:$U$46</definedName>
    <definedName name="_xlchart.v1.6" hidden="1">analysis!$T$2:$T$46</definedName>
    <definedName name="_xlchart.v1.7" hidden="1">analysis!$U$1</definedName>
    <definedName name="_xlchart.v1.8" hidden="1">analysis!$U$2:$U$46</definedName>
    <definedName name="_xlchart.v1.9" hidden="1">analysis!$T$2:$T$46</definedName>
    <definedName name="fitting_results" localSheetId="0">analysis!$A$1:$Q$136</definedName>
    <definedName name="fitting_results" localSheetId="1">original!$A$1:$AA$186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2" l="1"/>
  <c r="S3" i="2"/>
  <c r="S4" i="2"/>
  <c r="S5" i="2"/>
  <c r="S6" i="2"/>
  <c r="S7" i="2"/>
  <c r="S8" i="2"/>
  <c r="U8" i="2" s="1"/>
  <c r="S9" i="2"/>
  <c r="U9" i="2" s="1"/>
  <c r="S10" i="2"/>
  <c r="U10" i="2" s="1"/>
  <c r="S11" i="2"/>
  <c r="S12" i="2"/>
  <c r="S13" i="2"/>
  <c r="S14" i="2"/>
  <c r="U14" i="2" s="1"/>
  <c r="S15" i="2"/>
  <c r="S16" i="2"/>
  <c r="U16" i="2" s="1"/>
  <c r="S17" i="2"/>
  <c r="U17" i="2" s="1"/>
  <c r="S18" i="2"/>
  <c r="U18" i="2" s="1"/>
  <c r="S19" i="2"/>
  <c r="S20" i="2"/>
  <c r="S21" i="2"/>
  <c r="S22" i="2"/>
  <c r="S23" i="2"/>
  <c r="S24" i="2"/>
  <c r="U24" i="2" s="1"/>
  <c r="S25" i="2"/>
  <c r="U25" i="2" s="1"/>
  <c r="S26" i="2"/>
  <c r="U26" i="2" s="1"/>
  <c r="S27" i="2"/>
  <c r="S28" i="2"/>
  <c r="S29" i="2"/>
  <c r="S30" i="2"/>
  <c r="U30" i="2" s="1"/>
  <c r="S31" i="2"/>
  <c r="S32" i="2"/>
  <c r="U32" i="2" s="1"/>
  <c r="S33" i="2"/>
  <c r="U33" i="2" s="1"/>
  <c r="S34" i="2"/>
  <c r="U34" i="2" s="1"/>
  <c r="S35" i="2"/>
  <c r="S36" i="2"/>
  <c r="S37" i="2"/>
  <c r="S38" i="2"/>
  <c r="S39" i="2"/>
  <c r="S40" i="2"/>
  <c r="U40" i="2" s="1"/>
  <c r="S41" i="2"/>
  <c r="U41" i="2" s="1"/>
  <c r="S42" i="2"/>
  <c r="U42" i="2" s="1"/>
  <c r="S43" i="2"/>
  <c r="S44" i="2"/>
  <c r="S45" i="2"/>
  <c r="S46" i="2"/>
  <c r="U46" i="2" s="1"/>
  <c r="S47" i="2"/>
  <c r="S48" i="2"/>
  <c r="U48" i="2" s="1"/>
  <c r="S49" i="2"/>
  <c r="U49" i="2" s="1"/>
  <c r="S50" i="2"/>
  <c r="U50" i="2" s="1"/>
  <c r="S51" i="2"/>
  <c r="S52" i="2"/>
  <c r="S53" i="2"/>
  <c r="S54" i="2"/>
  <c r="S55" i="2"/>
  <c r="S56" i="2"/>
  <c r="U56" i="2" s="1"/>
  <c r="S57" i="2"/>
  <c r="U57" i="2" s="1"/>
  <c r="S58" i="2"/>
  <c r="U58" i="2" s="1"/>
  <c r="S59" i="2"/>
  <c r="S60" i="2"/>
  <c r="S61" i="2"/>
  <c r="S62" i="2"/>
  <c r="U62" i="2" s="1"/>
  <c r="S63" i="2"/>
  <c r="S64" i="2"/>
  <c r="U64" i="2" s="1"/>
  <c r="S65" i="2"/>
  <c r="U65" i="2" s="1"/>
  <c r="S66" i="2"/>
  <c r="U66" i="2" s="1"/>
  <c r="S67" i="2"/>
  <c r="S68" i="2"/>
  <c r="S69" i="2"/>
  <c r="S70" i="2"/>
  <c r="S71" i="2"/>
  <c r="S72" i="2"/>
  <c r="U72" i="2" s="1"/>
  <c r="S73" i="2"/>
  <c r="U73" i="2" s="1"/>
  <c r="S74" i="2"/>
  <c r="U74" i="2" s="1"/>
  <c r="S75" i="2"/>
  <c r="S76" i="2"/>
  <c r="S77" i="2"/>
  <c r="S78" i="2"/>
  <c r="U78" i="2" s="1"/>
  <c r="S79" i="2"/>
  <c r="S80" i="2"/>
  <c r="U80" i="2" s="1"/>
  <c r="S81" i="2"/>
  <c r="U81" i="2" s="1"/>
  <c r="S82" i="2"/>
  <c r="U82" i="2" s="1"/>
  <c r="S83" i="2"/>
  <c r="S84" i="2"/>
  <c r="S85" i="2"/>
  <c r="S86" i="2"/>
  <c r="S87" i="2"/>
  <c r="S88" i="2"/>
  <c r="U88" i="2" s="1"/>
  <c r="S89" i="2"/>
  <c r="U89" i="2" s="1"/>
  <c r="S90" i="2"/>
  <c r="U90" i="2" s="1"/>
  <c r="S91" i="2"/>
  <c r="S92" i="2"/>
  <c r="S93" i="2"/>
  <c r="S94" i="2"/>
  <c r="U94" i="2" s="1"/>
  <c r="S95" i="2"/>
  <c r="U95" i="2" s="1"/>
  <c r="S96" i="2"/>
  <c r="U96" i="2" s="1"/>
  <c r="S97" i="2"/>
  <c r="U97" i="2" s="1"/>
  <c r="S98" i="2"/>
  <c r="U98" i="2" s="1"/>
  <c r="S99" i="2"/>
  <c r="S100" i="2"/>
  <c r="S101" i="2"/>
  <c r="S102" i="2"/>
  <c r="S103" i="2"/>
  <c r="S104" i="2"/>
  <c r="U104" i="2" s="1"/>
  <c r="S105" i="2"/>
  <c r="U105" i="2" s="1"/>
  <c r="S106" i="2"/>
  <c r="U106" i="2" s="1"/>
  <c r="S107" i="2"/>
  <c r="S108" i="2"/>
  <c r="S109" i="2"/>
  <c r="S110" i="2"/>
  <c r="U110" i="2" s="1"/>
  <c r="S111" i="2"/>
  <c r="U111" i="2" s="1"/>
  <c r="S112" i="2"/>
  <c r="U112" i="2" s="1"/>
  <c r="S113" i="2"/>
  <c r="U113" i="2" s="1"/>
  <c r="S114" i="2"/>
  <c r="U114" i="2" s="1"/>
  <c r="S115" i="2"/>
  <c r="S116" i="2"/>
  <c r="S117" i="2"/>
  <c r="S118" i="2"/>
  <c r="S119" i="2"/>
  <c r="S120" i="2"/>
  <c r="U120" i="2" s="1"/>
  <c r="S121" i="2"/>
  <c r="U121" i="2" s="1"/>
  <c r="S122" i="2"/>
  <c r="U122" i="2" s="1"/>
  <c r="S123" i="2"/>
  <c r="S124" i="2"/>
  <c r="S125" i="2"/>
  <c r="S126" i="2"/>
  <c r="U126" i="2" s="1"/>
  <c r="S127" i="2"/>
  <c r="U127" i="2" s="1"/>
  <c r="S128" i="2"/>
  <c r="U128" i="2" s="1"/>
  <c r="S129" i="2"/>
  <c r="U129" i="2" s="1"/>
  <c r="S130" i="2"/>
  <c r="U130" i="2" s="1"/>
  <c r="S131" i="2"/>
  <c r="S132" i="2"/>
  <c r="S133" i="2"/>
  <c r="S134" i="2"/>
  <c r="S135" i="2"/>
  <c r="S136" i="2"/>
  <c r="U136" i="2" s="1"/>
  <c r="U6" i="2"/>
  <c r="U7" i="2"/>
  <c r="U15" i="2"/>
  <c r="U22" i="2"/>
  <c r="U23" i="2"/>
  <c r="U31" i="2"/>
  <c r="U38" i="2"/>
  <c r="U39" i="2"/>
  <c r="U47" i="2"/>
  <c r="U54" i="2"/>
  <c r="U55" i="2"/>
  <c r="U63" i="2"/>
  <c r="U70" i="2"/>
  <c r="U71" i="2"/>
  <c r="U79" i="2"/>
  <c r="U86" i="2"/>
  <c r="U87" i="2"/>
  <c r="U102" i="2"/>
  <c r="U103" i="2"/>
  <c r="U118" i="2"/>
  <c r="U119" i="2"/>
  <c r="U134" i="2"/>
  <c r="U135" i="2"/>
  <c r="U3" i="2"/>
  <c r="U4" i="2"/>
  <c r="U5" i="2"/>
  <c r="U11" i="2"/>
  <c r="U12" i="2"/>
  <c r="U13" i="2"/>
  <c r="U19" i="2"/>
  <c r="U20" i="2"/>
  <c r="U21" i="2"/>
  <c r="U27" i="2"/>
  <c r="U28" i="2"/>
  <c r="U29" i="2"/>
  <c r="U35" i="2"/>
  <c r="U36" i="2"/>
  <c r="U37" i="2"/>
  <c r="U43" i="2"/>
  <c r="U44" i="2"/>
  <c r="U45" i="2"/>
  <c r="U51" i="2"/>
  <c r="U52" i="2"/>
  <c r="U53" i="2"/>
  <c r="U59" i="2"/>
  <c r="U60" i="2"/>
  <c r="U61" i="2"/>
  <c r="U67" i="2"/>
  <c r="U68" i="2"/>
  <c r="U69" i="2"/>
  <c r="U75" i="2"/>
  <c r="U76" i="2"/>
  <c r="U77" i="2"/>
  <c r="U83" i="2"/>
  <c r="U84" i="2"/>
  <c r="U85" i="2"/>
  <c r="U91" i="2"/>
  <c r="U92" i="2"/>
  <c r="U93" i="2"/>
  <c r="U99" i="2"/>
  <c r="U100" i="2"/>
  <c r="U101" i="2"/>
  <c r="U107" i="2"/>
  <c r="U108" i="2"/>
  <c r="U109" i="2"/>
  <c r="U115" i="2"/>
  <c r="U116" i="2"/>
  <c r="U117" i="2"/>
  <c r="U123" i="2"/>
  <c r="U124" i="2"/>
  <c r="U125" i="2"/>
  <c r="U131" i="2"/>
  <c r="U132" i="2"/>
  <c r="U133" i="2"/>
  <c r="U2" i="2"/>
  <c r="T95" i="2"/>
  <c r="T96" i="2"/>
  <c r="T92" i="2"/>
  <c r="T93" i="2"/>
  <c r="T49" i="2"/>
  <c r="T50" i="2"/>
  <c r="T51" i="2"/>
  <c r="T48" i="2"/>
  <c r="T47" i="2"/>
  <c r="T2" i="2"/>
  <c r="T4" i="2"/>
  <c r="T6" i="2"/>
  <c r="T5" i="2"/>
  <c r="T3" i="2"/>
  <c r="T55" i="2"/>
  <c r="T54" i="2"/>
  <c r="T56" i="2"/>
  <c r="T53" i="2"/>
  <c r="T52" i="2"/>
  <c r="T100" i="2"/>
  <c r="T99" i="2"/>
  <c r="T101" i="2"/>
  <c r="T97" i="2"/>
  <c r="T98" i="2"/>
  <c r="T9" i="2"/>
  <c r="T10" i="2"/>
  <c r="T11" i="2"/>
  <c r="T7" i="2"/>
  <c r="T8" i="2"/>
  <c r="T104" i="2"/>
  <c r="T105" i="2"/>
  <c r="T106" i="2"/>
  <c r="T103" i="2"/>
  <c r="T102" i="2"/>
  <c r="T60" i="2"/>
  <c r="T59" i="2"/>
  <c r="T61" i="2"/>
  <c r="T57" i="2"/>
  <c r="T58" i="2"/>
  <c r="T15" i="2"/>
  <c r="T14" i="2"/>
  <c r="T16" i="2"/>
  <c r="T13" i="2"/>
  <c r="T12" i="2"/>
  <c r="T110" i="2"/>
  <c r="T109" i="2"/>
  <c r="T111" i="2"/>
  <c r="T108" i="2"/>
  <c r="T107" i="2"/>
  <c r="T65" i="2"/>
  <c r="T64" i="2"/>
  <c r="T66" i="2"/>
  <c r="T62" i="2"/>
  <c r="T63" i="2"/>
  <c r="T19" i="2"/>
  <c r="T20" i="2"/>
  <c r="T21" i="2"/>
  <c r="T18" i="2"/>
  <c r="T17" i="2"/>
  <c r="T115" i="2"/>
  <c r="T114" i="2"/>
  <c r="T116" i="2"/>
  <c r="T112" i="2"/>
  <c r="T113" i="2"/>
  <c r="T120" i="2"/>
  <c r="T119" i="2"/>
  <c r="T121" i="2"/>
  <c r="T117" i="2"/>
  <c r="T118" i="2"/>
  <c r="T24" i="2"/>
  <c r="T25" i="2"/>
  <c r="T26" i="2"/>
  <c r="T23" i="2"/>
  <c r="T22" i="2"/>
  <c r="T70" i="2"/>
  <c r="T69" i="2"/>
  <c r="T71" i="2"/>
  <c r="T67" i="2"/>
  <c r="T68" i="2"/>
  <c r="T124" i="2"/>
  <c r="T125" i="2"/>
  <c r="T126" i="2"/>
  <c r="T123" i="2"/>
  <c r="T122" i="2"/>
  <c r="T74" i="2"/>
  <c r="T75" i="2"/>
  <c r="T76" i="2"/>
  <c r="T73" i="2"/>
  <c r="T72" i="2"/>
  <c r="T30" i="2"/>
  <c r="T29" i="2"/>
  <c r="T31" i="2"/>
  <c r="T28" i="2"/>
  <c r="T27" i="2"/>
  <c r="T129" i="2"/>
  <c r="T130" i="2"/>
  <c r="T131" i="2"/>
  <c r="T127" i="2"/>
  <c r="T128" i="2"/>
  <c r="T135" i="2"/>
  <c r="T134" i="2"/>
  <c r="T136" i="2"/>
  <c r="T133" i="2"/>
  <c r="T132" i="2"/>
  <c r="T80" i="2"/>
  <c r="T79" i="2"/>
  <c r="T81" i="2"/>
  <c r="T77" i="2"/>
  <c r="T78" i="2"/>
  <c r="T35" i="2"/>
  <c r="T34" i="2"/>
  <c r="T36" i="2"/>
  <c r="T33" i="2"/>
  <c r="T32" i="2"/>
  <c r="T84" i="2"/>
  <c r="T85" i="2"/>
  <c r="T86" i="2"/>
  <c r="T83" i="2"/>
  <c r="T82" i="2"/>
  <c r="T40" i="2"/>
  <c r="T39" i="2"/>
  <c r="T41" i="2"/>
  <c r="T38" i="2"/>
  <c r="T37" i="2"/>
  <c r="T90" i="2"/>
  <c r="T89" i="2"/>
  <c r="T91" i="2"/>
  <c r="T87" i="2"/>
  <c r="T88" i="2"/>
  <c r="T45" i="2"/>
  <c r="T44" i="2"/>
  <c r="T46" i="2"/>
  <c r="T42" i="2"/>
  <c r="T43" i="2"/>
  <c r="T94" i="2"/>
  <c r="R95" i="2"/>
  <c r="R96" i="2"/>
  <c r="R92" i="2"/>
  <c r="R93" i="2"/>
  <c r="R49" i="2"/>
  <c r="R50" i="2"/>
  <c r="R51" i="2"/>
  <c r="R48" i="2"/>
  <c r="R47" i="2"/>
  <c r="R2" i="2"/>
  <c r="R4" i="2"/>
  <c r="R6" i="2"/>
  <c r="R5" i="2"/>
  <c r="R3" i="2"/>
  <c r="R55" i="2"/>
  <c r="R54" i="2"/>
  <c r="R56" i="2"/>
  <c r="R53" i="2"/>
  <c r="R52" i="2"/>
  <c r="R100" i="2"/>
  <c r="R99" i="2"/>
  <c r="R101" i="2"/>
  <c r="R97" i="2"/>
  <c r="R98" i="2"/>
  <c r="R9" i="2"/>
  <c r="R10" i="2"/>
  <c r="R11" i="2"/>
  <c r="R7" i="2"/>
  <c r="R8" i="2"/>
  <c r="R104" i="2"/>
  <c r="R105" i="2"/>
  <c r="R106" i="2"/>
  <c r="R103" i="2"/>
  <c r="R102" i="2"/>
  <c r="R60" i="2"/>
  <c r="R59" i="2"/>
  <c r="R61" i="2"/>
  <c r="R57" i="2"/>
  <c r="R58" i="2"/>
  <c r="R15" i="2"/>
  <c r="R14" i="2"/>
  <c r="R16" i="2"/>
  <c r="R13" i="2"/>
  <c r="R12" i="2"/>
  <c r="R110" i="2"/>
  <c r="R109" i="2"/>
  <c r="R111" i="2"/>
  <c r="R108" i="2"/>
  <c r="R107" i="2"/>
  <c r="R65" i="2"/>
  <c r="R64" i="2"/>
  <c r="R66" i="2"/>
  <c r="R62" i="2"/>
  <c r="R63" i="2"/>
  <c r="R19" i="2"/>
  <c r="R20" i="2"/>
  <c r="R21" i="2"/>
  <c r="R18" i="2"/>
  <c r="R17" i="2"/>
  <c r="R115" i="2"/>
  <c r="R114" i="2"/>
  <c r="R116" i="2"/>
  <c r="R112" i="2"/>
  <c r="R113" i="2"/>
  <c r="R120" i="2"/>
  <c r="R119" i="2"/>
  <c r="R121" i="2"/>
  <c r="R117" i="2"/>
  <c r="R118" i="2"/>
  <c r="R24" i="2"/>
  <c r="R25" i="2"/>
  <c r="R26" i="2"/>
  <c r="R23" i="2"/>
  <c r="R22" i="2"/>
  <c r="R70" i="2"/>
  <c r="R69" i="2"/>
  <c r="R71" i="2"/>
  <c r="R67" i="2"/>
  <c r="R68" i="2"/>
  <c r="R124" i="2"/>
  <c r="R125" i="2"/>
  <c r="R126" i="2"/>
  <c r="R123" i="2"/>
  <c r="R122" i="2"/>
  <c r="R74" i="2"/>
  <c r="R75" i="2"/>
  <c r="R76" i="2"/>
  <c r="R73" i="2"/>
  <c r="R72" i="2"/>
  <c r="R30" i="2"/>
  <c r="R29" i="2"/>
  <c r="R31" i="2"/>
  <c r="R28" i="2"/>
  <c r="R27" i="2"/>
  <c r="R129" i="2"/>
  <c r="R130" i="2"/>
  <c r="R131" i="2"/>
  <c r="R127" i="2"/>
  <c r="R128" i="2"/>
  <c r="R135" i="2"/>
  <c r="R134" i="2"/>
  <c r="R136" i="2"/>
  <c r="R133" i="2"/>
  <c r="R132" i="2"/>
  <c r="R80" i="2"/>
  <c r="R79" i="2"/>
  <c r="R81" i="2"/>
  <c r="R77" i="2"/>
  <c r="R78" i="2"/>
  <c r="R35" i="2"/>
  <c r="R34" i="2"/>
  <c r="R36" i="2"/>
  <c r="R33" i="2"/>
  <c r="R32" i="2"/>
  <c r="R84" i="2"/>
  <c r="R85" i="2"/>
  <c r="R86" i="2"/>
  <c r="R83" i="2"/>
  <c r="R82" i="2"/>
  <c r="R40" i="2"/>
  <c r="R39" i="2"/>
  <c r="R41" i="2"/>
  <c r="R38" i="2"/>
  <c r="R37" i="2"/>
  <c r="R90" i="2"/>
  <c r="R89" i="2"/>
  <c r="R91" i="2"/>
  <c r="R87" i="2"/>
  <c r="R88" i="2"/>
  <c r="R45" i="2"/>
  <c r="R44" i="2"/>
  <c r="R46" i="2"/>
  <c r="R42" i="2"/>
  <c r="R43" i="2"/>
  <c r="R9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9795A7-7FD8-0149-AA48-DAEE53877790}" name="fitting_results" type="6" refreshedVersion="8" background="1" saveData="1">
    <textPr codePage="10000" sourceFile="/Users/roybeck/Library/CloudStorage/Dropbox/coding/pazi/Pazi/simulation_changing_Var_Mar31/fitting_results.csv" comma="1">
      <textFields>
        <textField/>
      </textFields>
    </textPr>
  </connection>
  <connection id="2" xr16:uid="{8BE7220B-6E22-BB41-AA92-123D12D61C71}" name="fitting_results1" type="6" refreshedVersion="8" background="1" saveData="1">
    <textPr codePage="10000" sourceFile="/Users/roybeck/Library/CloudStorage/Dropbox/coding/pazi/Pazi/simulation_changing_Var_Mar31/fitting_results.csv" comma="1">
      <textFields>
        <textField/>
      </textFields>
    </textPr>
  </connection>
</connections>
</file>

<file path=xl/sharedStrings.xml><?xml version="1.0" encoding="utf-8"?>
<sst xmlns="http://schemas.openxmlformats.org/spreadsheetml/2006/main" count="1114" uniqueCount="166">
  <si>
    <t># Fitting Parameters Used:</t>
  </si>
  <si>
    <t># q_min: 0.0</t>
  </si>
  <si>
    <t># q_max: 0.2</t>
  </si>
  <si>
    <t># form_factor_name: guinier_ff</t>
  </si>
  <si>
    <t># f2_initial: 0.0</t>
  </si>
  <si>
    <t># f2_min: -1.0</t>
  </si>
  <si>
    <t># f2_max: 1.0</t>
  </si>
  <si>
    <t># f2_free: False</t>
  </si>
  <si>
    <t># rg_initial: 2.0</t>
  </si>
  <si>
    <t># rg_min: 0.5</t>
  </si>
  <si>
    <t># rg_max: 5.0</t>
  </si>
  <si>
    <t># rg_free: True</t>
  </si>
  <si>
    <t># perform_guinier_estimation: False</t>
  </si>
  <si>
    <t># var_initial: 0.00025</t>
  </si>
  <si>
    <t># var_min: 5e-06</t>
  </si>
  <si>
    <t># var_max: 2.0</t>
  </si>
  <si>
    <t># var_free: True</t>
  </si>
  <si>
    <t># A_initial: 0.1</t>
  </si>
  <si>
    <t># A_min: -5.0</t>
  </si>
  <si>
    <t># A_max: 0.0</t>
  </si>
  <si>
    <t># A_free: True</t>
  </si>
  <si>
    <t># auto_init_A: True</t>
  </si>
  <si>
    <t># plot_fitting_curve: False</t>
  </si>
  <si>
    <t># auto_set_parameters: False</t>
  </si>
  <si>
    <t># auto_rg_bound_percent: 0.2</t>
  </si>
  <si>
    <t>binning</t>
  </si>
  <si>
    <t>bins_number</t>
  </si>
  <si>
    <t>empirical_var</t>
  </si>
  <si>
    <t>form_factor_name</t>
  </si>
  <si>
    <t>normalization_on</t>
  </si>
  <si>
    <t>px_number</t>
  </si>
  <si>
    <t>px_size</t>
  </si>
  <si>
    <t>q_max</t>
  </si>
  <si>
    <t>q_min</t>
  </si>
  <si>
    <t>return_unique</t>
  </si>
  <si>
    <t>rg</t>
  </si>
  <si>
    <t>sample_detector_distance</t>
  </si>
  <si>
    <t>variance</t>
  </si>
  <si>
    <t>wavelength</t>
  </si>
  <si>
    <t>filename1</t>
  </si>
  <si>
    <t>filename2</t>
  </si>
  <si>
    <t>A_fit</t>
  </si>
  <si>
    <t>A_fit_error</t>
  </si>
  <si>
    <t>Ag0</t>
  </si>
  <si>
    <t>Ag1</t>
  </si>
  <si>
    <t>Rg_guinier</t>
  </si>
  <si>
    <t>f2_fit</t>
  </si>
  <si>
    <t>f2_fit_error</t>
  </si>
  <si>
    <t>rg_fit</t>
  </si>
  <si>
    <t>rg_fit_error</t>
  </si>
  <si>
    <t>var_fit</t>
  </si>
  <si>
    <t>var_fit_error</t>
  </si>
  <si>
    <t>guinier_ff</t>
  </si>
  <si>
    <t>[500, 500]</t>
  </si>
  <si>
    <t>sim_000_rg1.000_variance0.010_sigma_x1_sigma_y1.csv</t>
  </si>
  <si>
    <t>sim_001_rg1.000_variance0.010_sigma_x1_sigma_y5.csv</t>
  </si>
  <si>
    <t>sim_002_rg1.000_variance0.010_sigma_x5_sigma_y1.csv</t>
  </si>
  <si>
    <t>sim_003_rg1.000_variance0.010_sigma_x5_sigma_y5.csv</t>
  </si>
  <si>
    <t>sim_036_rg2.000_variance0.010_sigma_x1_sigma_y1.csv</t>
  </si>
  <si>
    <t>sim_037_rg2.000_variance0.010_sigma_x1_sigma_y5.csv</t>
  </si>
  <si>
    <t>sim_038_rg2.000_variance0.010_sigma_x5_sigma_y1.csv</t>
  </si>
  <si>
    <t>sim_039_rg2.000_variance0.010_sigma_x5_sigma_y5.csv</t>
  </si>
  <si>
    <t>sim_072_rg4.000_variance0.010_sigma_x1_sigma_y1.csv</t>
  </si>
  <si>
    <t>sim_073_rg4.000_variance0.010_sigma_x1_sigma_y5.csv</t>
  </si>
  <si>
    <t>sim_074_rg4.000_variance0.010_sigma_x5_sigma_y1.csv</t>
  </si>
  <si>
    <t>sim_075_rg4.000_variance0.010_sigma_x5_sigma_y5.csv</t>
  </si>
  <si>
    <t>sim_040_rg2.000_variance0.100_sigma_x1_sigma_y1.csv</t>
  </si>
  <si>
    <t>sim_041_rg2.000_variance0.100_sigma_x1_sigma_y5.csv</t>
  </si>
  <si>
    <t>sim_042_rg2.000_variance0.100_sigma_x5_sigma_y1.csv</t>
  </si>
  <si>
    <t>sim_043_rg2.000_variance0.100_sigma_x5_sigma_y5.csv</t>
  </si>
  <si>
    <t>sim_004_rg1.000_variance0.100_sigma_x1_sigma_y1.csv</t>
  </si>
  <si>
    <t>sim_005_rg1.000_variance0.100_sigma_x1_sigma_y5.csv</t>
  </si>
  <si>
    <t>sim_006_rg1.000_variance0.100_sigma_x5_sigma_y1.csv</t>
  </si>
  <si>
    <t>sim_007_rg1.000_variance0.100_sigma_x5_sigma_y5.csv</t>
  </si>
  <si>
    <t>sim_076_rg4.000_variance0.100_sigma_x1_sigma_y1.csv</t>
  </si>
  <si>
    <t>sim_077_rg4.000_variance0.100_sigma_x1_sigma_y5.csv</t>
  </si>
  <si>
    <t>sim_078_rg4.000_variance0.100_sigma_x5_sigma_y1.csv</t>
  </si>
  <si>
    <t>sim_079_rg4.000_variance0.100_sigma_x5_sigma_y5.csv</t>
  </si>
  <si>
    <t>sim_008_rg1.000_variance0.200_sigma_x1_sigma_y1.csv</t>
  </si>
  <si>
    <t>sim_009_rg1.000_variance0.200_sigma_x1_sigma_y5.csv</t>
  </si>
  <si>
    <t>sim_010_rg1.000_variance0.200_sigma_x5_sigma_y1.csv</t>
  </si>
  <si>
    <t>sim_011_rg1.000_variance0.200_sigma_x5_sigma_y5.csv</t>
  </si>
  <si>
    <t>sim_044_rg2.000_variance0.200_sigma_x1_sigma_y1.csv</t>
  </si>
  <si>
    <t>sim_045_rg2.000_variance0.200_sigma_x1_sigma_y5.csv</t>
  </si>
  <si>
    <t>sim_046_rg2.000_variance0.200_sigma_x5_sigma_y1.csv</t>
  </si>
  <si>
    <t>sim_047_rg2.000_variance0.200_sigma_x5_sigma_y5.csv</t>
  </si>
  <si>
    <t>sim_080_rg4.000_variance0.200_sigma_x1_sigma_y1.csv</t>
  </si>
  <si>
    <t>sim_081_rg4.000_variance0.200_sigma_x1_sigma_y5.csv</t>
  </si>
  <si>
    <t>sim_082_rg4.000_variance0.200_sigma_x5_sigma_y1.csv</t>
  </si>
  <si>
    <t>sim_083_rg4.000_variance0.200_sigma_x5_sigma_y5.csv</t>
  </si>
  <si>
    <t>sim_012_rg1.000_variance0.300_sigma_x1_sigma_y1.csv</t>
  </si>
  <si>
    <t>sim_013_rg1.000_variance0.300_sigma_x1_sigma_y5.csv</t>
  </si>
  <si>
    <t>sim_014_rg1.000_variance0.300_sigma_x5_sigma_y1.csv</t>
  </si>
  <si>
    <t>sim_015_rg1.000_variance0.300_sigma_x5_sigma_y5.csv</t>
  </si>
  <si>
    <t>sim_048_rg2.000_variance0.300_sigma_x1_sigma_y1.csv</t>
  </si>
  <si>
    <t>sim_049_rg2.000_variance0.300_sigma_x1_sigma_y5.csv</t>
  </si>
  <si>
    <t>sim_050_rg2.000_variance0.300_sigma_x5_sigma_y1.csv</t>
  </si>
  <si>
    <t>sim_051_rg2.000_variance0.300_sigma_x5_sigma_y5.csv</t>
  </si>
  <si>
    <t>sim_084_rg4.000_variance0.300_sigma_x1_sigma_y1.csv</t>
  </si>
  <si>
    <t>sim_085_rg4.000_variance0.300_sigma_x1_sigma_y5.csv</t>
  </si>
  <si>
    <t>sim_086_rg4.000_variance0.300_sigma_x5_sigma_y1.csv</t>
  </si>
  <si>
    <t>sim_087_rg4.000_variance0.300_sigma_x5_sigma_y5.csv</t>
  </si>
  <si>
    <t>sim_016_rg1.000_variance0.400_sigma_x1_sigma_y1.csv</t>
  </si>
  <si>
    <t>sim_017_rg1.000_variance0.400_sigma_x1_sigma_y5.csv</t>
  </si>
  <si>
    <t>sim_018_rg1.000_variance0.400_sigma_x5_sigma_y1.csv</t>
  </si>
  <si>
    <t>sim_019_rg1.000_variance0.400_sigma_x5_sigma_y5.csv</t>
  </si>
  <si>
    <t>sim_020_rg1.000_variance0.500_sigma_x1_sigma_y1.csv</t>
  </si>
  <si>
    <t>sim_021_rg1.000_variance0.500_sigma_x1_sigma_y5.csv</t>
  </si>
  <si>
    <t>sim_022_rg1.000_variance0.500_sigma_x5_sigma_y1.csv</t>
  </si>
  <si>
    <t>sim_023_rg1.000_variance0.500_sigma_x5_sigma_y5.csv</t>
  </si>
  <si>
    <t>sim_088_rg4.000_variance0.400_sigma_x1_sigma_y1.csv</t>
  </si>
  <si>
    <t>sim_089_rg4.000_variance0.400_sigma_x1_sigma_y5.csv</t>
  </si>
  <si>
    <t>sim_090_rg4.000_variance0.400_sigma_x5_sigma_y1.csv</t>
  </si>
  <si>
    <t>sim_091_rg4.000_variance0.400_sigma_x5_sigma_y5.csv</t>
  </si>
  <si>
    <t>sim_052_rg2.000_variance0.400_sigma_x1_sigma_y1.csv</t>
  </si>
  <si>
    <t>sim_053_rg2.000_variance0.400_sigma_x1_sigma_y5.csv</t>
  </si>
  <si>
    <t>sim_054_rg2.000_variance0.400_sigma_x5_sigma_y1.csv</t>
  </si>
  <si>
    <t>sim_055_rg2.000_variance0.400_sigma_x5_sigma_y5.csv</t>
  </si>
  <si>
    <t>sim_024_rg1.000_variance0.700_sigma_x1_sigma_y1.csv</t>
  </si>
  <si>
    <t>sim_025_rg1.000_variance0.700_sigma_x1_sigma_y5.csv</t>
  </si>
  <si>
    <t>sim_026_rg1.000_variance0.700_sigma_x5_sigma_y1.csv</t>
  </si>
  <si>
    <t>sim_027_rg1.000_variance0.700_sigma_x5_sigma_y5.csv</t>
  </si>
  <si>
    <t>sim_056_rg2.000_variance0.500_sigma_x1_sigma_y1.csv</t>
  </si>
  <si>
    <t>sim_057_rg2.000_variance0.500_sigma_x1_sigma_y5.csv</t>
  </si>
  <si>
    <t>sim_058_rg2.000_variance0.500_sigma_x5_sigma_y1.csv</t>
  </si>
  <si>
    <t>sim_059_rg2.000_variance0.500_sigma_x5_sigma_y5.csv</t>
  </si>
  <si>
    <t>sim_092_rg4.000_variance0.500_sigma_x1_sigma_y1.csv</t>
  </si>
  <si>
    <t>sim_093_rg4.000_variance0.500_sigma_x1_sigma_y5.csv</t>
  </si>
  <si>
    <t>sim_094_rg4.000_variance0.500_sigma_x5_sigma_y1.csv</t>
  </si>
  <si>
    <t>sim_095_rg4.000_variance0.500_sigma_x5_sigma_y5.csv</t>
  </si>
  <si>
    <t>sim_028_rg1.000_variance0.800_sigma_x1_sigma_y1.csv</t>
  </si>
  <si>
    <t>sim_029_rg1.000_variance0.800_sigma_x1_sigma_y5.csv</t>
  </si>
  <si>
    <t>sim_030_rg1.000_variance0.800_sigma_x5_sigma_y1.csv</t>
  </si>
  <si>
    <t>sim_031_rg1.000_variance0.800_sigma_x5_sigma_y5.csv</t>
  </si>
  <si>
    <t>sim_032_rg1.000_variance1_sigma_x1_sigma_y1.csv</t>
  </si>
  <si>
    <t>sim_033_rg1.000_variance1_sigma_x1_sigma_y5.csv</t>
  </si>
  <si>
    <t>sim_034_rg1.000_variance1_sigma_x5_sigma_y1.csv</t>
  </si>
  <si>
    <t>sim_035_rg1.000_variance1_sigma_x5_sigma_y5.csv</t>
  </si>
  <si>
    <t>sim_060_rg2.000_variance0.700_sigma_x1_sigma_y1.csv</t>
  </si>
  <si>
    <t>sim_061_rg2.000_variance0.700_sigma_x1_sigma_y5.csv</t>
  </si>
  <si>
    <t>sim_062_rg2.000_variance0.700_sigma_x5_sigma_y1.csv</t>
  </si>
  <si>
    <t>sim_063_rg2.000_variance0.700_sigma_x5_sigma_y5.csv</t>
  </si>
  <si>
    <t>sim_096_rg4.000_variance0.700_sigma_x1_sigma_y1.csv</t>
  </si>
  <si>
    <t>sim_097_rg4.000_variance0.700_sigma_x1_sigma_y5.csv</t>
  </si>
  <si>
    <t>sim_098_rg4.000_variance0.700_sigma_x5_sigma_y1.csv</t>
  </si>
  <si>
    <t>sim_099_rg4.000_variance0.700_sigma_x5_sigma_y5.csv</t>
  </si>
  <si>
    <t>sim_064_rg2.000_variance0.800_sigma_x1_sigma_y1.csv</t>
  </si>
  <si>
    <t>sim_065_rg2.000_variance0.800_sigma_x1_sigma_y5.csv</t>
  </si>
  <si>
    <t>sim_066_rg2.000_variance0.800_sigma_x5_sigma_y1.csv</t>
  </si>
  <si>
    <t>sim_067_rg2.000_variance0.800_sigma_x5_sigma_y5.csv</t>
  </si>
  <si>
    <t>sim_100_rg4.000_variance0.800_sigma_x1_sigma_y1.csv</t>
  </si>
  <si>
    <t>sim_101_rg4.000_variance0.800_sigma_x1_sigma_y5.csv</t>
  </si>
  <si>
    <t>sim_102_rg4.000_variance0.800_sigma_x5_sigma_y1.csv</t>
  </si>
  <si>
    <t>sim_103_rg4.000_variance0.800_sigma_x5_sigma_y5.csv</t>
  </si>
  <si>
    <t>sim_068_rg2.000_variance1_sigma_x1_sigma_y1.csv</t>
  </si>
  <si>
    <t>sim_069_rg2.000_variance1_sigma_x1_sigma_y5.csv</t>
  </si>
  <si>
    <t>sim_070_rg2.000_variance1_sigma_x5_sigma_y1.csv</t>
  </si>
  <si>
    <t>sim_071_rg2.000_variance1_sigma_x5_sigma_y5.csv</t>
  </si>
  <si>
    <t>sim_104_rg4.000_variance1_sigma_x1_sigma_y1.csv</t>
  </si>
  <si>
    <t>sim_105_rg4.000_variance1_sigma_x1_sigma_y5.csv</t>
  </si>
  <si>
    <t>sim_106_rg4.000_variance1_sigma_x5_sigma_y1.csv</t>
  </si>
  <si>
    <t>sim_107_rg4.000_variance1_sigma_x5_sigma_y5.csv</t>
  </si>
  <si>
    <t>Rg</t>
  </si>
  <si>
    <t>Ag1/Ag0</t>
  </si>
  <si>
    <t>V=V_emp/Rg^2</t>
  </si>
  <si>
    <t>-(1+6V)Rg^2/(3(1+V))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</si>
</sst>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0" fillId="0" borderId="0" xfId="0" applyNumberFormat="1"/>
    <xf numFmtId="0" fontId="0" fillId="0" borderId="0" xfId="0" quotePrefix="1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analysis!$U$1</c:f>
              <c:strCache>
                <c:ptCount val="1"/>
                <c:pt idx="0">
                  <c:v>-(1+6V)Rg^2/(3(1+V))</c:v>
                </c:pt>
              </c:strCache>
            </c:strRef>
          </c:tx>
          <c:spPr>
            <a:ln w="25400">
              <a:noFill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analysis!$T$2:$T$136</c:f>
              <c:numCache>
                <c:formatCode>0.000</c:formatCode>
                <c:ptCount val="135"/>
                <c:pt idx="0">
                  <c:v>-5.3567311726670352</c:v>
                </c:pt>
                <c:pt idx="1">
                  <c:v>-5.3564237469839826</c:v>
                </c:pt>
                <c:pt idx="2">
                  <c:v>-5.356731172667109</c:v>
                </c:pt>
                <c:pt idx="3">
                  <c:v>-5.3564237469839737</c:v>
                </c:pt>
                <c:pt idx="4">
                  <c:v>-5.3565774600744751</c:v>
                </c:pt>
                <c:pt idx="5">
                  <c:v>-5.5694862467755266</c:v>
                </c:pt>
                <c:pt idx="6">
                  <c:v>-5.5694862467757194</c:v>
                </c:pt>
                <c:pt idx="7">
                  <c:v>-5.5699676979117108</c:v>
                </c:pt>
                <c:pt idx="8">
                  <c:v>-5.5699676979117028</c:v>
                </c:pt>
                <c:pt idx="9">
                  <c:v>-5.5697269741156026</c:v>
                </c:pt>
                <c:pt idx="10">
                  <c:v>-5.8025816639657464</c:v>
                </c:pt>
                <c:pt idx="11">
                  <c:v>-5.8025816639655536</c:v>
                </c:pt>
                <c:pt idx="12">
                  <c:v>-5.8032578697722297</c:v>
                </c:pt>
                <c:pt idx="13">
                  <c:v>-5.8032578697723638</c:v>
                </c:pt>
                <c:pt idx="14">
                  <c:v>-5.8029197714934622</c:v>
                </c:pt>
                <c:pt idx="15">
                  <c:v>-6.0319317948276163</c:v>
                </c:pt>
                <c:pt idx="16">
                  <c:v>-6.0319317948277194</c:v>
                </c:pt>
                <c:pt idx="17">
                  <c:v>-6.032804118669028</c:v>
                </c:pt>
                <c:pt idx="18">
                  <c:v>-6.032804118668766</c:v>
                </c:pt>
                <c:pt idx="19">
                  <c:v>-6.0323679654412254</c:v>
                </c:pt>
                <c:pt idx="20">
                  <c:v>-6.2576240323525321</c:v>
                </c:pt>
                <c:pt idx="21">
                  <c:v>-6.2576240323526662</c:v>
                </c:pt>
                <c:pt idx="22">
                  <c:v>-6.2586937350016782</c:v>
                </c:pt>
                <c:pt idx="23">
                  <c:v>-6.2586937350017733</c:v>
                </c:pt>
                <c:pt idx="24">
                  <c:v>-6.2581588976477462</c:v>
                </c:pt>
                <c:pt idx="25">
                  <c:v>-6.4797431685994349</c:v>
                </c:pt>
                <c:pt idx="26">
                  <c:v>-6.4797431685994527</c:v>
                </c:pt>
                <c:pt idx="27">
                  <c:v>-6.4810114121503197</c:v>
                </c:pt>
                <c:pt idx="28">
                  <c:v>-6.4810114121503677</c:v>
                </c:pt>
                <c:pt idx="29">
                  <c:v>-6.4803773108237186</c:v>
                </c:pt>
                <c:pt idx="30">
                  <c:v>-6.9135888658173021</c:v>
                </c:pt>
                <c:pt idx="31">
                  <c:v>-6.9135888658172231</c:v>
                </c:pt>
                <c:pt idx="32">
                  <c:v>-6.9152573014552949</c:v>
                </c:pt>
                <c:pt idx="33">
                  <c:v>-6.9152573014552887</c:v>
                </c:pt>
                <c:pt idx="34">
                  <c:v>-6.9144231206052895</c:v>
                </c:pt>
                <c:pt idx="35">
                  <c:v>-7.125472839549607</c:v>
                </c:pt>
                <c:pt idx="36">
                  <c:v>-7.1254728395494897</c:v>
                </c:pt>
                <c:pt idx="37">
                  <c:v>-7.1273427472947057</c:v>
                </c:pt>
                <c:pt idx="38">
                  <c:v>-7.1273427472947342</c:v>
                </c:pt>
                <c:pt idx="39">
                  <c:v>-7.1264078404116891</c:v>
                </c:pt>
                <c:pt idx="40">
                  <c:v>-7.5395396005481095</c:v>
                </c:pt>
                <c:pt idx="41">
                  <c:v>-7.5395396005486166</c:v>
                </c:pt>
                <c:pt idx="42">
                  <c:v>-7.5418147823128177</c:v>
                </c:pt>
                <c:pt idx="43">
                  <c:v>-7.5418147823129509</c:v>
                </c:pt>
                <c:pt idx="44">
                  <c:v>-7.5406772619201909</c:v>
                </c:pt>
                <c:pt idx="45">
                  <c:v>-1.3635452378706325</c:v>
                </c:pt>
                <c:pt idx="46">
                  <c:v>-1.3635452378708124</c:v>
                </c:pt>
                <c:pt idx="47">
                  <c:v>-1.3635553542660928</c:v>
                </c:pt>
                <c:pt idx="48">
                  <c:v>-1.3635553542647247</c:v>
                </c:pt>
                <c:pt idx="49">
                  <c:v>-1.3635502960721633</c:v>
                </c:pt>
                <c:pt idx="50">
                  <c:v>-1.6092721984707614</c:v>
                </c:pt>
                <c:pt idx="51">
                  <c:v>-1.6092721984713283</c:v>
                </c:pt>
                <c:pt idx="52">
                  <c:v>-1.6093315109666997</c:v>
                </c:pt>
                <c:pt idx="53">
                  <c:v>-1.609331510965232</c:v>
                </c:pt>
                <c:pt idx="54">
                  <c:v>-1.6093018549102067</c:v>
                </c:pt>
                <c:pt idx="55">
                  <c:v>-1.873751747290642</c:v>
                </c:pt>
                <c:pt idx="56">
                  <c:v>-1.873751747290314</c:v>
                </c:pt>
                <c:pt idx="57">
                  <c:v>-1.8738714517636079</c:v>
                </c:pt>
                <c:pt idx="58">
                  <c:v>-1.8738714517643718</c:v>
                </c:pt>
                <c:pt idx="59">
                  <c:v>-1.8738116002854406</c:v>
                </c:pt>
                <c:pt idx="60">
                  <c:v>-2.1298030962380086</c:v>
                </c:pt>
                <c:pt idx="61">
                  <c:v>-2.1298030962376759</c:v>
                </c:pt>
                <c:pt idx="62">
                  <c:v>-2.1299888561693496</c:v>
                </c:pt>
                <c:pt idx="63">
                  <c:v>-2.1299888561680151</c:v>
                </c:pt>
                <c:pt idx="64">
                  <c:v>-2.1298959779413256</c:v>
                </c:pt>
                <c:pt idx="65">
                  <c:v>-2.3779666888966462</c:v>
                </c:pt>
                <c:pt idx="66">
                  <c:v>-2.3779666888961595</c:v>
                </c:pt>
                <c:pt idx="67">
                  <c:v>-2.3782238099110034</c:v>
                </c:pt>
                <c:pt idx="68">
                  <c:v>-2.3782238099113497</c:v>
                </c:pt>
                <c:pt idx="69">
                  <c:v>-2.3780952525707839</c:v>
                </c:pt>
                <c:pt idx="70">
                  <c:v>-2.6173897167371241</c:v>
                </c:pt>
                <c:pt idx="71">
                  <c:v>-2.6173897167361186</c:v>
                </c:pt>
                <c:pt idx="72">
                  <c:v>-2.6177230168905288</c:v>
                </c:pt>
                <c:pt idx="73">
                  <c:v>-2.6177230168904861</c:v>
                </c:pt>
                <c:pt idx="74">
                  <c:v>-2.6175563718685528</c:v>
                </c:pt>
                <c:pt idx="75">
                  <c:v>-3.0704565506836685</c:v>
                </c:pt>
                <c:pt idx="76">
                  <c:v>-3.0704565506833692</c:v>
                </c:pt>
                <c:pt idx="77">
                  <c:v>-3.0709548400184579</c:v>
                </c:pt>
                <c:pt idx="78">
                  <c:v>-3.0709548400175151</c:v>
                </c:pt>
                <c:pt idx="79">
                  <c:v>-3.0707057055760458</c:v>
                </c:pt>
                <c:pt idx="80">
                  <c:v>-3.2862124346105448</c:v>
                </c:pt>
                <c:pt idx="81">
                  <c:v>-3.2862124346107273</c:v>
                </c:pt>
                <c:pt idx="82">
                  <c:v>-3.2867989250749861</c:v>
                </c:pt>
                <c:pt idx="83">
                  <c:v>-3.2867989250753404</c:v>
                </c:pt>
                <c:pt idx="84">
                  <c:v>-3.2865056933695223</c:v>
                </c:pt>
                <c:pt idx="85">
                  <c:v>-3.6995031898672317</c:v>
                </c:pt>
                <c:pt idx="86">
                  <c:v>-3.6995031898645006</c:v>
                </c:pt>
                <c:pt idx="87">
                  <c:v>-3.7002761567345521</c:v>
                </c:pt>
                <c:pt idx="88">
                  <c:v>-3.7002761567329201</c:v>
                </c:pt>
                <c:pt idx="89">
                  <c:v>-3.699889694879579</c:v>
                </c:pt>
                <c:pt idx="90">
                  <c:v>-0.36464662060050262</c:v>
                </c:pt>
                <c:pt idx="91">
                  <c:v>-0.36464662060759878</c:v>
                </c:pt>
                <c:pt idx="92">
                  <c:v>-0.36464812033958932</c:v>
                </c:pt>
                <c:pt idx="93">
                  <c:v>-0.36464812033372224</c:v>
                </c:pt>
                <c:pt idx="94">
                  <c:v>-0.36464737046874074</c:v>
                </c:pt>
                <c:pt idx="95">
                  <c:v>-0.61011789750619705</c:v>
                </c:pt>
                <c:pt idx="96">
                  <c:v>-0.61011789751694878</c:v>
                </c:pt>
                <c:pt idx="97">
                  <c:v>-0.610134764505882</c:v>
                </c:pt>
                <c:pt idx="98">
                  <c:v>-0.61013476451829007</c:v>
                </c:pt>
                <c:pt idx="99">
                  <c:v>-0.61012633106399383</c:v>
                </c:pt>
                <c:pt idx="100">
                  <c:v>-0.85693423065314867</c:v>
                </c:pt>
                <c:pt idx="101">
                  <c:v>-0.85693423065784669</c:v>
                </c:pt>
                <c:pt idx="102">
                  <c:v>-0.85697439214422</c:v>
                </c:pt>
                <c:pt idx="103">
                  <c:v>-0.85697439214898685</c:v>
                </c:pt>
                <c:pt idx="104">
                  <c:v>-0.8569543116362871</c:v>
                </c:pt>
                <c:pt idx="105">
                  <c:v>-1.082654691546044</c:v>
                </c:pt>
                <c:pt idx="106">
                  <c:v>-1.0826546915458084</c:v>
                </c:pt>
                <c:pt idx="107">
                  <c:v>-1.0827236013270576</c:v>
                </c:pt>
                <c:pt idx="108">
                  <c:v>-1.0827236013307735</c:v>
                </c:pt>
                <c:pt idx="109">
                  <c:v>-1.0826891470012958</c:v>
                </c:pt>
                <c:pt idx="110">
                  <c:v>-1.2946121816153278</c:v>
                </c:pt>
                <c:pt idx="111">
                  <c:v>-1.2946121816120533</c:v>
                </c:pt>
                <c:pt idx="112">
                  <c:v>-1.2947146518334181</c:v>
                </c:pt>
                <c:pt idx="113">
                  <c:v>-1.2947146518342765</c:v>
                </c:pt>
                <c:pt idx="114">
                  <c:v>-1.2946634177927672</c:v>
                </c:pt>
                <c:pt idx="115">
                  <c:v>-1.496878502427617</c:v>
                </c:pt>
                <c:pt idx="116">
                  <c:v>-1.4968785024304427</c:v>
                </c:pt>
                <c:pt idx="117">
                  <c:v>-1.4970189355083297</c:v>
                </c:pt>
                <c:pt idx="118">
                  <c:v>-1.4970189355085521</c:v>
                </c:pt>
                <c:pt idx="119">
                  <c:v>-1.4969487207286205</c:v>
                </c:pt>
                <c:pt idx="120">
                  <c:v>-1.8808173431701458</c:v>
                </c:pt>
                <c:pt idx="121">
                  <c:v>-1.8808173431717496</c:v>
                </c:pt>
                <c:pt idx="122">
                  <c:v>-1.8810457456817642</c:v>
                </c:pt>
                <c:pt idx="123">
                  <c:v>-1.8810457456848533</c:v>
                </c:pt>
                <c:pt idx="124">
                  <c:v>-1.8809315482099154</c:v>
                </c:pt>
                <c:pt idx="125">
                  <c:v>-2.0649238837841088</c:v>
                </c:pt>
                <c:pt idx="126">
                  <c:v>-2.0649238837788357</c:v>
                </c:pt>
                <c:pt idx="127">
                  <c:v>-2.0652018353071226</c:v>
                </c:pt>
                <c:pt idx="128">
                  <c:v>-2.0652018353118593</c:v>
                </c:pt>
                <c:pt idx="129">
                  <c:v>-2.0650628646866012</c:v>
                </c:pt>
                <c:pt idx="130">
                  <c:v>-2.4209711033047712</c:v>
                </c:pt>
                <c:pt idx="131">
                  <c:v>-2.4209711033050794</c:v>
                </c:pt>
                <c:pt idx="132">
                  <c:v>-2.4213583562312864</c:v>
                </c:pt>
                <c:pt idx="133">
                  <c:v>-2.4213583562290952</c:v>
                </c:pt>
                <c:pt idx="134">
                  <c:v>-2.4211647383892503</c:v>
                </c:pt>
              </c:numCache>
            </c:numRef>
          </c:xVal>
          <c:yVal>
            <c:numRef>
              <c:f>analysis!$U$2:$U$136</c:f>
              <c:numCache>
                <c:formatCode>0.000</c:formatCode>
                <c:ptCount val="135"/>
                <c:pt idx="0">
                  <c:v>-5.3495493108392536</c:v>
                </c:pt>
                <c:pt idx="1">
                  <c:v>-5.3495493108392536</c:v>
                </c:pt>
                <c:pt idx="2">
                  <c:v>-5.3495493108392536</c:v>
                </c:pt>
                <c:pt idx="3">
                  <c:v>-5.3495493108392536</c:v>
                </c:pt>
                <c:pt idx="4">
                  <c:v>-5.3495493108392536</c:v>
                </c:pt>
                <c:pt idx="5">
                  <c:v>-5.4946104560519622</c:v>
                </c:pt>
                <c:pt idx="6">
                  <c:v>-5.4946104560519622</c:v>
                </c:pt>
                <c:pt idx="7">
                  <c:v>-5.4946104560519622</c:v>
                </c:pt>
                <c:pt idx="8">
                  <c:v>-5.4946104560519622</c:v>
                </c:pt>
                <c:pt idx="9">
                  <c:v>-5.4946104560519622</c:v>
                </c:pt>
                <c:pt idx="10">
                  <c:v>-5.6539485326389238</c:v>
                </c:pt>
                <c:pt idx="11">
                  <c:v>-5.6539485326389238</c:v>
                </c:pt>
                <c:pt idx="12">
                  <c:v>-5.6539485326389238</c:v>
                </c:pt>
                <c:pt idx="13">
                  <c:v>-5.6539485326389238</c:v>
                </c:pt>
                <c:pt idx="14">
                  <c:v>-5.6539485326389238</c:v>
                </c:pt>
                <c:pt idx="15">
                  <c:v>-5.8113823240584956</c:v>
                </c:pt>
                <c:pt idx="16">
                  <c:v>-5.8113823240584956</c:v>
                </c:pt>
                <c:pt idx="17">
                  <c:v>-5.8113823240584956</c:v>
                </c:pt>
                <c:pt idx="18">
                  <c:v>-5.8113823240584956</c:v>
                </c:pt>
                <c:pt idx="19">
                  <c:v>-5.8113823240584956</c:v>
                </c:pt>
                <c:pt idx="20">
                  <c:v>-5.9669457653381484</c:v>
                </c:pt>
                <c:pt idx="21">
                  <c:v>-5.9669457653381484</c:v>
                </c:pt>
                <c:pt idx="22">
                  <c:v>-5.9669457653381484</c:v>
                </c:pt>
                <c:pt idx="23">
                  <c:v>-5.9669457653381484</c:v>
                </c:pt>
                <c:pt idx="24">
                  <c:v>-5.9669457653381484</c:v>
                </c:pt>
                <c:pt idx="25">
                  <c:v>-6.1206719899546842</c:v>
                </c:pt>
                <c:pt idx="26">
                  <c:v>-6.1206719899546842</c:v>
                </c:pt>
                <c:pt idx="27">
                  <c:v>-6.1206719899546842</c:v>
                </c:pt>
                <c:pt idx="28">
                  <c:v>-6.1206719899546842</c:v>
                </c:pt>
                <c:pt idx="29">
                  <c:v>-6.1206719899546842</c:v>
                </c:pt>
                <c:pt idx="30">
                  <c:v>-6.4227414556896836</c:v>
                </c:pt>
                <c:pt idx="31">
                  <c:v>-6.4227414556896836</c:v>
                </c:pt>
                <c:pt idx="32">
                  <c:v>-6.4227414556896836</c:v>
                </c:pt>
                <c:pt idx="33">
                  <c:v>-6.4227414556896836</c:v>
                </c:pt>
                <c:pt idx="34">
                  <c:v>-6.4227414556896836</c:v>
                </c:pt>
                <c:pt idx="35">
                  <c:v>-6.5711471636652465</c:v>
                </c:pt>
                <c:pt idx="36">
                  <c:v>-6.5711471636652465</c:v>
                </c:pt>
                <c:pt idx="37">
                  <c:v>-6.5711471636652465</c:v>
                </c:pt>
                <c:pt idx="38">
                  <c:v>-6.5711471636652465</c:v>
                </c:pt>
                <c:pt idx="39">
                  <c:v>-6.5711471636652465</c:v>
                </c:pt>
                <c:pt idx="40">
                  <c:v>-6.8628513226150449</c:v>
                </c:pt>
                <c:pt idx="41">
                  <c:v>-6.8628513226150449</c:v>
                </c:pt>
                <c:pt idx="42">
                  <c:v>-6.8628513226150449</c:v>
                </c:pt>
                <c:pt idx="43">
                  <c:v>-6.8628513226150449</c:v>
                </c:pt>
                <c:pt idx="44">
                  <c:v>-6.8628513226150449</c:v>
                </c:pt>
                <c:pt idx="45">
                  <c:v>-1.3495197819420146</c:v>
                </c:pt>
                <c:pt idx="46">
                  <c:v>-1.3495197819420146</c:v>
                </c:pt>
                <c:pt idx="47">
                  <c:v>-1.3495197819420146</c:v>
                </c:pt>
                <c:pt idx="48">
                  <c:v>-1.3495197819420146</c:v>
                </c:pt>
                <c:pt idx="49">
                  <c:v>-1.3495197819420146</c:v>
                </c:pt>
                <c:pt idx="50">
                  <c:v>-1.4917364413345375</c:v>
                </c:pt>
                <c:pt idx="51">
                  <c:v>-1.4917364413345375</c:v>
                </c:pt>
                <c:pt idx="52">
                  <c:v>-1.4917364413345375</c:v>
                </c:pt>
                <c:pt idx="53">
                  <c:v>-1.4917364413345375</c:v>
                </c:pt>
                <c:pt idx="54">
                  <c:v>-1.4917364413345375</c:v>
                </c:pt>
                <c:pt idx="55">
                  <c:v>-1.6427867909163116</c:v>
                </c:pt>
                <c:pt idx="56">
                  <c:v>-1.6427867909163116</c:v>
                </c:pt>
                <c:pt idx="57">
                  <c:v>-1.6427867909163116</c:v>
                </c:pt>
                <c:pt idx="58">
                  <c:v>-1.6427867909163116</c:v>
                </c:pt>
                <c:pt idx="59">
                  <c:v>-1.6427867909163116</c:v>
                </c:pt>
                <c:pt idx="60">
                  <c:v>-1.7869847204370635</c:v>
                </c:pt>
                <c:pt idx="61">
                  <c:v>-1.7869847204370635</c:v>
                </c:pt>
                <c:pt idx="62">
                  <c:v>-1.7869847204370635</c:v>
                </c:pt>
                <c:pt idx="63">
                  <c:v>-1.7869847204370635</c:v>
                </c:pt>
                <c:pt idx="64">
                  <c:v>-1.7869847204370635</c:v>
                </c:pt>
                <c:pt idx="65">
                  <c:v>-1.9247861792732832</c:v>
                </c:pt>
                <c:pt idx="66">
                  <c:v>-1.9247861792732832</c:v>
                </c:pt>
                <c:pt idx="67">
                  <c:v>-1.9247861792732832</c:v>
                </c:pt>
                <c:pt idx="68">
                  <c:v>-1.9247861792732832</c:v>
                </c:pt>
                <c:pt idx="69">
                  <c:v>-1.9247861792732832</c:v>
                </c:pt>
                <c:pt idx="70">
                  <c:v>-2.0517069913010224</c:v>
                </c:pt>
                <c:pt idx="71">
                  <c:v>-2.0517069913010224</c:v>
                </c:pt>
                <c:pt idx="72">
                  <c:v>-2.0517069913010224</c:v>
                </c:pt>
                <c:pt idx="73">
                  <c:v>-2.0517069913010224</c:v>
                </c:pt>
                <c:pt idx="74">
                  <c:v>-2.0517069913010224</c:v>
                </c:pt>
                <c:pt idx="75">
                  <c:v>-2.2675994980452252</c:v>
                </c:pt>
                <c:pt idx="76">
                  <c:v>-2.2675994980452252</c:v>
                </c:pt>
                <c:pt idx="77">
                  <c:v>-2.2675994980452252</c:v>
                </c:pt>
                <c:pt idx="78">
                  <c:v>-2.2675994980452252</c:v>
                </c:pt>
                <c:pt idx="79">
                  <c:v>-2.2675994980452252</c:v>
                </c:pt>
                <c:pt idx="80">
                  <c:v>-2.3616394667271599</c:v>
                </c:pt>
                <c:pt idx="81">
                  <c:v>-2.3616394667271599</c:v>
                </c:pt>
                <c:pt idx="82">
                  <c:v>-2.3616394667271599</c:v>
                </c:pt>
                <c:pt idx="83">
                  <c:v>-2.3616394667271599</c:v>
                </c:pt>
                <c:pt idx="84">
                  <c:v>-2.3616394667271599</c:v>
                </c:pt>
                <c:pt idx="85">
                  <c:v>-2.5284535966131187</c:v>
                </c:pt>
                <c:pt idx="86">
                  <c:v>-2.5284535966131187</c:v>
                </c:pt>
                <c:pt idx="87">
                  <c:v>-2.5284535966131187</c:v>
                </c:pt>
                <c:pt idx="88">
                  <c:v>-2.5284535966131187</c:v>
                </c:pt>
                <c:pt idx="89">
                  <c:v>-2.5284535966131187</c:v>
                </c:pt>
                <c:pt idx="90">
                  <c:v>-0.34940273400435456</c:v>
                </c:pt>
                <c:pt idx="91">
                  <c:v>-0.34940273400435456</c:v>
                </c:pt>
                <c:pt idx="92">
                  <c:v>-0.34940273400435456</c:v>
                </c:pt>
                <c:pt idx="93">
                  <c:v>-0.34940273400435456</c:v>
                </c:pt>
                <c:pt idx="94">
                  <c:v>-0.34940273400435456</c:v>
                </c:pt>
                <c:pt idx="95">
                  <c:v>-0.48119654481832103</c:v>
                </c:pt>
                <c:pt idx="96">
                  <c:v>-0.48119654481832103</c:v>
                </c:pt>
                <c:pt idx="97">
                  <c:v>-0.48119654481832103</c:v>
                </c:pt>
                <c:pt idx="98">
                  <c:v>-0.48119654481832103</c:v>
                </c:pt>
                <c:pt idx="99">
                  <c:v>-0.48119654481832103</c:v>
                </c:pt>
                <c:pt idx="100">
                  <c:v>-0.59040986668178908</c:v>
                </c:pt>
                <c:pt idx="101">
                  <c:v>-0.59040986668178908</c:v>
                </c:pt>
                <c:pt idx="102">
                  <c:v>-0.59040986668178908</c:v>
                </c:pt>
                <c:pt idx="103">
                  <c:v>-0.59040986668178908</c:v>
                </c:pt>
                <c:pt idx="104">
                  <c:v>-0.59040986668178908</c:v>
                </c:pt>
                <c:pt idx="105">
                  <c:v>-0.66841936975247673</c:v>
                </c:pt>
                <c:pt idx="106">
                  <c:v>-0.66841936975247673</c:v>
                </c:pt>
                <c:pt idx="107">
                  <c:v>-0.66841936975247673</c:v>
                </c:pt>
                <c:pt idx="108">
                  <c:v>-0.66841936975247673</c:v>
                </c:pt>
                <c:pt idx="109">
                  <c:v>-0.66841936975247673</c:v>
                </c:pt>
                <c:pt idx="110">
                  <c:v>-0.73007412414133088</c:v>
                </c:pt>
                <c:pt idx="111">
                  <c:v>-0.73007412414133088</c:v>
                </c:pt>
                <c:pt idx="112">
                  <c:v>-0.73007412414133088</c:v>
                </c:pt>
                <c:pt idx="113">
                  <c:v>-0.73007412414133088</c:v>
                </c:pt>
                <c:pt idx="114">
                  <c:v>-0.73007412414133088</c:v>
                </c:pt>
                <c:pt idx="115">
                  <c:v>-0.78198723255789693</c:v>
                </c:pt>
                <c:pt idx="116">
                  <c:v>-0.78198723255789693</c:v>
                </c:pt>
                <c:pt idx="117">
                  <c:v>-0.78198723255789693</c:v>
                </c:pt>
                <c:pt idx="118">
                  <c:v>-0.78198723255789693</c:v>
                </c:pt>
                <c:pt idx="119">
                  <c:v>-0.78198723255789693</c:v>
                </c:pt>
                <c:pt idx="120">
                  <c:v>-0.86781603251212691</c:v>
                </c:pt>
                <c:pt idx="121">
                  <c:v>-0.86781603251212691</c:v>
                </c:pt>
                <c:pt idx="122">
                  <c:v>-0.86781603251212691</c:v>
                </c:pt>
                <c:pt idx="123">
                  <c:v>-0.86781603251212691</c:v>
                </c:pt>
                <c:pt idx="124">
                  <c:v>-0.86781603251212691</c:v>
                </c:pt>
                <c:pt idx="125">
                  <c:v>-0.90451735653314169</c:v>
                </c:pt>
                <c:pt idx="126">
                  <c:v>-0.90451735653314169</c:v>
                </c:pt>
                <c:pt idx="127">
                  <c:v>-0.90451735653314169</c:v>
                </c:pt>
                <c:pt idx="128">
                  <c:v>-0.90451735653314169</c:v>
                </c:pt>
                <c:pt idx="129">
                  <c:v>-0.90451735653314169</c:v>
                </c:pt>
                <c:pt idx="130">
                  <c:v>-0.96916130176170412</c:v>
                </c:pt>
                <c:pt idx="131">
                  <c:v>-0.96916130176170412</c:v>
                </c:pt>
                <c:pt idx="132">
                  <c:v>-0.96916130176170412</c:v>
                </c:pt>
                <c:pt idx="133">
                  <c:v>-0.96916130176170412</c:v>
                </c:pt>
                <c:pt idx="134">
                  <c:v>-0.96916130176170412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38-2E4A-B585-9B7501F65C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966432"/>
        <c:axId val="204968160"/>
      </c:scatterChart>
      <c:valAx>
        <c:axId val="204966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g1/g0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L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204968160"/>
        <c:crosses val="autoZero"/>
        <c:crossBetween val="midCat"/>
      </c:valAx>
      <c:valAx>
        <c:axId val="20496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-(1+6V)Rg^2/(3(1+V))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L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204966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 rtl="0"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4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>
        <a:solidFill>
          <a:schemeClr val="phClr">
            <a:alpha val="20000"/>
          </a:schemeClr>
        </a:solidFill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227736</xdr:colOff>
      <xdr:row>3</xdr:row>
      <xdr:rowOff>146670</xdr:rowOff>
    </xdr:from>
    <xdr:to>
      <xdr:col>27</xdr:col>
      <xdr:colOff>401051</xdr:colOff>
      <xdr:row>25</xdr:row>
      <xdr:rowOff>109811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1BD5481-FDFD-1165-4667-4313FEC3B2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itting_results" connectionId="2" xr16:uid="{95367CF4-ABFE-714F-A03E-4F34A03F995D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itting_results" connectionId="1" xr16:uid="{58F63856-A44A-E44D-991F-7856B3F16CEC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D0855-FF0D-9747-A549-770142176AD7}">
  <dimension ref="A1:U136"/>
  <sheetViews>
    <sheetView tabSelected="1" topLeftCell="N1" zoomScale="266" zoomScaleNormal="266" workbookViewId="0">
      <selection activeCell="T6" sqref="T6"/>
    </sheetView>
  </sheetViews>
  <sheetFormatPr baseColWidth="10" defaultRowHeight="16" x14ac:dyDescent="0.2"/>
  <cols>
    <col min="1" max="1" width="12.6640625" bestFit="1" customWidth="1"/>
    <col min="2" max="2" width="15.83203125" bestFit="1" customWidth="1"/>
    <col min="3" max="4" width="8.6640625" bestFit="1" customWidth="1"/>
    <col min="5" max="6" width="47.6640625" bestFit="1" customWidth="1"/>
    <col min="7" max="7" width="13.33203125" bestFit="1" customWidth="1"/>
    <col min="8" max="8" width="10" bestFit="1" customWidth="1"/>
    <col min="9" max="9" width="12.6640625" bestFit="1" customWidth="1"/>
    <col min="10" max="10" width="13.33203125" bestFit="1" customWidth="1"/>
    <col min="11" max="11" width="12.6640625" bestFit="1" customWidth="1"/>
    <col min="12" max="12" width="9.5" bestFit="1" customWidth="1"/>
    <col min="13" max="17" width="12.6640625" bestFit="1" customWidth="1"/>
    <col min="18" max="18" width="11.33203125" bestFit="1" customWidth="1"/>
    <col min="19" max="19" width="15" style="2" customWidth="1"/>
    <col min="20" max="20" width="14.33203125" style="2" customWidth="1"/>
    <col min="21" max="21" width="16.33203125" style="2" customWidth="1"/>
  </cols>
  <sheetData>
    <row r="1" spans="1:21" x14ac:dyDescent="0.2">
      <c r="A1" t="s">
        <v>27</v>
      </c>
      <c r="B1" t="s">
        <v>28</v>
      </c>
      <c r="C1" t="s">
        <v>35</v>
      </c>
      <c r="D1" t="s">
        <v>37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162</v>
      </c>
      <c r="S1" s="2" t="s">
        <v>164</v>
      </c>
      <c r="T1" s="2" t="s">
        <v>163</v>
      </c>
      <c r="U1" s="3" t="s">
        <v>165</v>
      </c>
    </row>
    <row r="2" spans="1:21" s="4" customFormat="1" x14ac:dyDescent="0.2">
      <c r="A2" s="4">
        <v>9.7355066569377001E-3</v>
      </c>
      <c r="B2" s="4" t="s">
        <v>52</v>
      </c>
      <c r="C2" s="4">
        <v>4</v>
      </c>
      <c r="D2" s="4">
        <v>0.01</v>
      </c>
      <c r="E2" s="4" t="s">
        <v>62</v>
      </c>
      <c r="F2" s="4" t="s">
        <v>63</v>
      </c>
      <c r="G2" s="4">
        <v>-1.7422347883957499E-4</v>
      </c>
      <c r="H2" s="4">
        <v>7.92872811117817E-7</v>
      </c>
      <c r="I2" s="4">
        <v>5.3237520175206901E-4</v>
      </c>
      <c r="J2" s="4">
        <v>-2.8517908387802101E-3</v>
      </c>
      <c r="K2" s="4">
        <v>4.0000833815175802</v>
      </c>
      <c r="L2" s="4">
        <v>9.9999971575775002E-15</v>
      </c>
      <c r="M2" s="4">
        <v>7.6919883914221201E-4</v>
      </c>
      <c r="N2" s="4">
        <v>3.85857721064419</v>
      </c>
      <c r="O2" s="4">
        <v>1.42135745604002E-2</v>
      </c>
      <c r="P2" s="4">
        <v>0.28341979741727102</v>
      </c>
      <c r="Q2" s="4">
        <v>6.6990285447589795E-2</v>
      </c>
      <c r="R2" s="4">
        <f>+C2</f>
        <v>4</v>
      </c>
      <c r="S2" s="4">
        <f>+A2/(R2^2)</f>
        <v>6.0846916605860626E-4</v>
      </c>
      <c r="T2" s="4">
        <f>+J2/I2</f>
        <v>-5.3567311726670352</v>
      </c>
      <c r="U2" s="4">
        <f>-(1+6*S2)*R2^2/(3*(1+S2))</f>
        <v>-5.3495493108392536</v>
      </c>
    </row>
    <row r="3" spans="1:21" s="4" customFormat="1" x14ac:dyDescent="0.2">
      <c r="A3" s="4">
        <v>9.7355066569377001E-3</v>
      </c>
      <c r="B3" s="4" t="s">
        <v>52</v>
      </c>
      <c r="C3" s="4">
        <v>4</v>
      </c>
      <c r="D3" s="4">
        <v>0.01</v>
      </c>
      <c r="E3" s="4" t="s">
        <v>64</v>
      </c>
      <c r="F3" s="4" t="s">
        <v>65</v>
      </c>
      <c r="G3" s="4">
        <v>-1.7422633941451701E-4</v>
      </c>
      <c r="H3" s="4">
        <v>7.9383416561035805E-7</v>
      </c>
      <c r="I3" s="4">
        <v>5.3237347671623403E-4</v>
      </c>
      <c r="J3" s="4">
        <v>-2.8516179329472601E-3</v>
      </c>
      <c r="K3" s="4">
        <v>3.9990138716704302</v>
      </c>
      <c r="L3" s="4">
        <v>9.9999969530688604E-15</v>
      </c>
      <c r="M3" s="4">
        <v>7.72130759062107E-4</v>
      </c>
      <c r="N3" s="4">
        <v>3.8586237746578398</v>
      </c>
      <c r="O3" s="4">
        <v>1.4186826456563601E-2</v>
      </c>
      <c r="P3" s="4">
        <v>0.28310582136768703</v>
      </c>
      <c r="Q3" s="4">
        <v>6.7075860698127501E-2</v>
      </c>
      <c r="R3" s="4">
        <f>+C3</f>
        <v>4</v>
      </c>
      <c r="S3" s="4">
        <f t="shared" ref="S3:S66" si="0">+A3/(R3^2)</f>
        <v>6.0846916605860626E-4</v>
      </c>
      <c r="T3" s="4">
        <f>+J3/I3</f>
        <v>-5.3564237469839826</v>
      </c>
      <c r="U3" s="4">
        <f t="shared" ref="U3:U66" si="1">-(1+6*S3)*R3^2/(3*(1+S3))</f>
        <v>-5.3495493108392536</v>
      </c>
    </row>
    <row r="4" spans="1:21" s="4" customFormat="1" x14ac:dyDescent="0.2">
      <c r="A4" s="4">
        <v>9.7355066569377001E-3</v>
      </c>
      <c r="B4" s="4" t="s">
        <v>52</v>
      </c>
      <c r="C4" s="4">
        <v>4</v>
      </c>
      <c r="D4" s="4">
        <v>0.01</v>
      </c>
      <c r="E4" s="4" t="s">
        <v>62</v>
      </c>
      <c r="F4" s="4" t="s">
        <v>64</v>
      </c>
      <c r="G4" s="4">
        <v>-1.74229587992944E-4</v>
      </c>
      <c r="H4" s="4">
        <v>7.70073128566852E-7</v>
      </c>
      <c r="I4" s="4">
        <v>5.3237520175207097E-4</v>
      </c>
      <c r="J4" s="4">
        <v>-2.85179083878026E-3</v>
      </c>
      <c r="K4" s="4">
        <v>4.0000833815172596</v>
      </c>
      <c r="L4" s="4">
        <v>9.9999970004082597E-15</v>
      </c>
      <c r="M4" s="4">
        <v>7.4904810515789898E-4</v>
      </c>
      <c r="N4" s="4">
        <v>3.8588530641516599</v>
      </c>
      <c r="O4" s="4">
        <v>1.3774212103141399E-2</v>
      </c>
      <c r="P4" s="4">
        <v>0.28290408643533799</v>
      </c>
      <c r="Q4" s="4">
        <v>6.5076588823348297E-2</v>
      </c>
      <c r="R4" s="4">
        <f>+C4</f>
        <v>4</v>
      </c>
      <c r="S4" s="4">
        <f t="shared" si="0"/>
        <v>6.0846916605860626E-4</v>
      </c>
      <c r="T4" s="4">
        <f>+J4/I4</f>
        <v>-5.356731172667109</v>
      </c>
      <c r="U4" s="4">
        <f t="shared" si="1"/>
        <v>-5.3495493108392536</v>
      </c>
    </row>
    <row r="5" spans="1:21" s="4" customFormat="1" x14ac:dyDescent="0.2">
      <c r="A5" s="4">
        <v>9.7355066569377001E-3</v>
      </c>
      <c r="B5" s="4" t="s">
        <v>52</v>
      </c>
      <c r="C5" s="4">
        <v>4</v>
      </c>
      <c r="D5" s="4">
        <v>0.01</v>
      </c>
      <c r="E5" s="4" t="s">
        <v>63</v>
      </c>
      <c r="F5" s="4" t="s">
        <v>65</v>
      </c>
      <c r="G5" s="4">
        <v>-1.7423534400962099E-4</v>
      </c>
      <c r="H5" s="4">
        <v>8.0248351241904303E-7</v>
      </c>
      <c r="I5" s="4">
        <v>5.3237347671623305E-4</v>
      </c>
      <c r="J5" s="4">
        <v>-2.8516179329472501E-3</v>
      </c>
      <c r="K5" s="4">
        <v>3.99901387167075</v>
      </c>
      <c r="L5" s="4">
        <v>9.9999967247717098E-15</v>
      </c>
      <c r="M5" s="4">
        <v>7.8185127959972702E-4</v>
      </c>
      <c r="N5" s="4">
        <v>3.8590272689385299</v>
      </c>
      <c r="O5" s="4">
        <v>1.43019864799527E-2</v>
      </c>
      <c r="P5" s="4">
        <v>0.28235267671337</v>
      </c>
      <c r="Q5" s="4">
        <v>6.7819413646082502E-2</v>
      </c>
      <c r="R5" s="4">
        <f>+C5</f>
        <v>4</v>
      </c>
      <c r="S5" s="4">
        <f t="shared" si="0"/>
        <v>6.0846916605860626E-4</v>
      </c>
      <c r="T5" s="4">
        <f>+J5/I5</f>
        <v>-5.3564237469839737</v>
      </c>
      <c r="U5" s="4">
        <f t="shared" si="1"/>
        <v>-5.3495493108392536</v>
      </c>
    </row>
    <row r="6" spans="1:21" s="4" customFormat="1" x14ac:dyDescent="0.2">
      <c r="A6" s="4">
        <v>9.7355066569377001E-3</v>
      </c>
      <c r="B6" s="4" t="s">
        <v>52</v>
      </c>
      <c r="C6" s="4">
        <v>4</v>
      </c>
      <c r="D6" s="4">
        <v>0.01</v>
      </c>
      <c r="E6" s="4" t="s">
        <v>62</v>
      </c>
      <c r="F6" s="4" t="s">
        <v>65</v>
      </c>
      <c r="G6" s="4">
        <v>-3.5020196146976699E-4</v>
      </c>
      <c r="H6" s="4">
        <v>1.07429957993811E-6</v>
      </c>
      <c r="I6" s="4">
        <v>1.0647486784682999E-3</v>
      </c>
      <c r="J6" s="4">
        <v>-5.70340877172738E-3</v>
      </c>
      <c r="K6" s="4">
        <v>3.9995485713071499</v>
      </c>
      <c r="L6" s="4">
        <v>9.9999996139152004E-15</v>
      </c>
      <c r="M6" s="4">
        <v>5.5875111417926903E-4</v>
      </c>
      <c r="N6" s="4">
        <v>3.8978823190306802</v>
      </c>
      <c r="O6" s="4">
        <v>8.89407331911235E-3</v>
      </c>
      <c r="P6" s="4">
        <v>0.20987876116116899</v>
      </c>
      <c r="Q6" s="4">
        <v>4.6314219530968002E-2</v>
      </c>
      <c r="R6" s="4">
        <f>+C6</f>
        <v>4</v>
      </c>
      <c r="S6" s="4">
        <f t="shared" si="0"/>
        <v>6.0846916605860626E-4</v>
      </c>
      <c r="T6" s="4">
        <f>+J6/I6</f>
        <v>-5.3565774600744751</v>
      </c>
      <c r="U6" s="4">
        <f t="shared" si="1"/>
        <v>-5.3495493108392536</v>
      </c>
    </row>
    <row r="7" spans="1:21" s="4" customFormat="1" x14ac:dyDescent="0.2">
      <c r="A7" s="4">
        <v>9.7355066569367196E-2</v>
      </c>
      <c r="B7" s="4" t="s">
        <v>52</v>
      </c>
      <c r="C7" s="4">
        <v>4</v>
      </c>
      <c r="D7" s="4">
        <v>0.1</v>
      </c>
      <c r="E7" s="4" t="s">
        <v>75</v>
      </c>
      <c r="F7" s="4" t="s">
        <v>77</v>
      </c>
      <c r="G7" s="4">
        <v>-1.71331654284455E-4</v>
      </c>
      <c r="H7" s="4">
        <v>1.43315727611011E-6</v>
      </c>
      <c r="I7" s="4">
        <v>5.3509992733584096E-4</v>
      </c>
      <c r="J7" s="4">
        <v>-2.9802316859475499E-3</v>
      </c>
      <c r="K7" s="4">
        <v>4.0052976911480904</v>
      </c>
      <c r="L7" s="4">
        <v>9.9999992382200601E-15</v>
      </c>
      <c r="M7" s="4">
        <v>1.02473919972765E-3</v>
      </c>
      <c r="N7" s="4">
        <v>3.7747434535632198</v>
      </c>
      <c r="O7" s="4">
        <v>3.1880966432063597E-2</v>
      </c>
      <c r="P7" s="4">
        <v>0.598568999345373</v>
      </c>
      <c r="Q7" s="4">
        <v>0.114117087051797</v>
      </c>
      <c r="R7" s="4">
        <f>+C7</f>
        <v>4</v>
      </c>
      <c r="S7" s="4">
        <f t="shared" si="0"/>
        <v>6.0846916605854498E-3</v>
      </c>
      <c r="T7" s="4">
        <f>+J7/I7</f>
        <v>-5.5694862467755266</v>
      </c>
      <c r="U7" s="4">
        <f t="shared" si="1"/>
        <v>-5.4946104560519622</v>
      </c>
    </row>
    <row r="8" spans="1:21" s="4" customFormat="1" x14ac:dyDescent="0.2">
      <c r="A8" s="4">
        <v>9.7355066569367196E-2</v>
      </c>
      <c r="B8" s="4" t="s">
        <v>52</v>
      </c>
      <c r="C8" s="4">
        <v>4</v>
      </c>
      <c r="D8" s="4">
        <v>0.1</v>
      </c>
      <c r="E8" s="4" t="s">
        <v>76</v>
      </c>
      <c r="F8" s="4" t="s">
        <v>77</v>
      </c>
      <c r="G8" s="4">
        <v>-1.7133368921768501E-4</v>
      </c>
      <c r="H8" s="4">
        <v>1.4067184737077699E-6</v>
      </c>
      <c r="I8" s="4">
        <v>5.35099927335844E-4</v>
      </c>
      <c r="J8" s="4">
        <v>-2.98023168594767E-3</v>
      </c>
      <c r="K8" s="4">
        <v>4.0052976911512301</v>
      </c>
      <c r="L8" s="4">
        <v>9.9999992296798094E-15</v>
      </c>
      <c r="M8" s="4">
        <v>1.00633608569206E-3</v>
      </c>
      <c r="N8" s="4">
        <v>3.7748391723195902</v>
      </c>
      <c r="O8" s="4">
        <v>3.1287649538501397E-2</v>
      </c>
      <c r="P8" s="4">
        <v>0.59838698567083104</v>
      </c>
      <c r="Q8" s="4">
        <v>0.112025691364379</v>
      </c>
      <c r="R8" s="4">
        <f>+C8</f>
        <v>4</v>
      </c>
      <c r="S8" s="4">
        <f t="shared" si="0"/>
        <v>6.0846916605854498E-3</v>
      </c>
      <c r="T8" s="4">
        <f>+J8/I8</f>
        <v>-5.5694862467757194</v>
      </c>
      <c r="U8" s="4">
        <f t="shared" si="1"/>
        <v>-5.4946104560519622</v>
      </c>
    </row>
    <row r="9" spans="1:21" s="4" customFormat="1" x14ac:dyDescent="0.2">
      <c r="A9" s="4">
        <v>9.7355066569367196E-2</v>
      </c>
      <c r="B9" s="4" t="s">
        <v>52</v>
      </c>
      <c r="C9" s="4">
        <v>4</v>
      </c>
      <c r="D9" s="4">
        <v>0.1</v>
      </c>
      <c r="E9" s="4" t="s">
        <v>74</v>
      </c>
      <c r="F9" s="4" t="s">
        <v>75</v>
      </c>
      <c r="G9" s="4">
        <v>-1.71351859667845E-4</v>
      </c>
      <c r="H9" s="4">
        <v>1.36912793003091E-6</v>
      </c>
      <c r="I9" s="4">
        <v>5.3510780450953597E-4</v>
      </c>
      <c r="J9" s="4">
        <v>-2.98053318601857E-3</v>
      </c>
      <c r="K9" s="4">
        <v>4.0064137008289098</v>
      </c>
      <c r="L9" s="4">
        <v>9.9999992057014797E-15</v>
      </c>
      <c r="M9" s="4">
        <v>9.7765292735106798E-4</v>
      </c>
      <c r="N9" s="4">
        <v>3.7756546628504899</v>
      </c>
      <c r="O9" s="4">
        <v>3.0529677405984199E-2</v>
      </c>
      <c r="P9" s="4">
        <v>0.59722157714546098</v>
      </c>
      <c r="Q9" s="4">
        <v>0.109062709803011</v>
      </c>
      <c r="R9" s="4">
        <f>+C9</f>
        <v>4</v>
      </c>
      <c r="S9" s="4">
        <f t="shared" si="0"/>
        <v>6.0846916605854498E-3</v>
      </c>
      <c r="T9" s="4">
        <f>+J9/I9</f>
        <v>-5.5699676979117108</v>
      </c>
      <c r="U9" s="4">
        <f t="shared" si="1"/>
        <v>-5.4946104560519622</v>
      </c>
    </row>
    <row r="10" spans="1:21" s="4" customFormat="1" x14ac:dyDescent="0.2">
      <c r="A10" s="4">
        <v>9.7355066569367196E-2</v>
      </c>
      <c r="B10" s="4" t="s">
        <v>52</v>
      </c>
      <c r="C10" s="4">
        <v>4</v>
      </c>
      <c r="D10" s="4">
        <v>0.1</v>
      </c>
      <c r="E10" s="4" t="s">
        <v>74</v>
      </c>
      <c r="F10" s="4" t="s">
        <v>76</v>
      </c>
      <c r="G10" s="4">
        <v>-1.71355664549981E-4</v>
      </c>
      <c r="H10" s="4">
        <v>1.42741487668578E-6</v>
      </c>
      <c r="I10" s="4">
        <v>5.35107804509535E-4</v>
      </c>
      <c r="J10" s="4">
        <v>-2.98053318601856E-3</v>
      </c>
      <c r="K10" s="4">
        <v>4.0064137008320602</v>
      </c>
      <c r="L10" s="4">
        <v>9.9999991962551607E-15</v>
      </c>
      <c r="M10" s="4">
        <v>1.0210778929179E-3</v>
      </c>
      <c r="N10" s="4">
        <v>3.7758111279643001</v>
      </c>
      <c r="O10" s="4">
        <v>3.1768693033404703E-2</v>
      </c>
      <c r="P10" s="4">
        <v>0.59692806162447298</v>
      </c>
      <c r="Q10" s="4">
        <v>0.113731835075261</v>
      </c>
      <c r="R10" s="4">
        <f>+C10</f>
        <v>4</v>
      </c>
      <c r="S10" s="4">
        <f t="shared" si="0"/>
        <v>6.0846916605854498E-3</v>
      </c>
      <c r="T10" s="4">
        <f>+J10/I10</f>
        <v>-5.5699676979117028</v>
      </c>
      <c r="U10" s="4">
        <f t="shared" si="1"/>
        <v>-5.4946104560519622</v>
      </c>
    </row>
    <row r="11" spans="1:21" s="4" customFormat="1" x14ac:dyDescent="0.2">
      <c r="A11" s="4">
        <v>9.7355066569367196E-2</v>
      </c>
      <c r="B11" s="4" t="s">
        <v>52</v>
      </c>
      <c r="C11" s="4">
        <v>4</v>
      </c>
      <c r="D11" s="4">
        <v>0.1</v>
      </c>
      <c r="E11" s="4" t="s">
        <v>74</v>
      </c>
      <c r="F11" s="4" t="s">
        <v>77</v>
      </c>
      <c r="G11" s="4">
        <v>-3.4862323026636598E-4</v>
      </c>
      <c r="H11" s="4">
        <v>5.4383495694338596E-7</v>
      </c>
      <c r="I11" s="4">
        <v>1.07020773184538E-3</v>
      </c>
      <c r="J11" s="4">
        <v>-5.9607648719662903E-3</v>
      </c>
      <c r="K11" s="4">
        <v>4.0058556464827904</v>
      </c>
      <c r="L11" s="4">
        <v>-1.01958197041487E-15</v>
      </c>
      <c r="M11" s="4">
        <v>2.4392344652589401E-4</v>
      </c>
      <c r="N11" s="4">
        <v>3.8997444898670102</v>
      </c>
      <c r="O11" s="4">
        <v>5.4102206670809897E-3</v>
      </c>
      <c r="P11" s="4">
        <v>0.363115338336087</v>
      </c>
      <c r="Q11" s="4">
        <v>2.3313535018976698E-2</v>
      </c>
      <c r="R11" s="4">
        <f>+C11</f>
        <v>4</v>
      </c>
      <c r="S11" s="4">
        <f t="shared" si="0"/>
        <v>6.0846916605854498E-3</v>
      </c>
      <c r="T11" s="4">
        <f>+J11/I11</f>
        <v>-5.5697269741156026</v>
      </c>
      <c r="U11" s="4">
        <f t="shared" si="1"/>
        <v>-5.4946104560519622</v>
      </c>
    </row>
    <row r="12" spans="1:21" s="4" customFormat="1" x14ac:dyDescent="0.2">
      <c r="A12" s="4">
        <v>0.19471013313871999</v>
      </c>
      <c r="B12" s="4" t="s">
        <v>52</v>
      </c>
      <c r="C12" s="4">
        <v>4</v>
      </c>
      <c r="D12" s="4">
        <v>0.2</v>
      </c>
      <c r="E12" s="4" t="s">
        <v>88</v>
      </c>
      <c r="F12" s="4" t="s">
        <v>89</v>
      </c>
      <c r="G12" s="4">
        <v>-1.6881407514615499E-4</v>
      </c>
      <c r="H12" s="4">
        <v>1.2176949832571699E-6</v>
      </c>
      <c r="I12" s="4">
        <v>5.3812004888770704E-4</v>
      </c>
      <c r="J12" s="4">
        <v>-3.12248552868816E-3</v>
      </c>
      <c r="K12" s="4">
        <v>4.0122622388606803</v>
      </c>
      <c r="L12" s="4">
        <v>2.33707692859825E-15</v>
      </c>
      <c r="M12" s="4">
        <v>6.4524805797898095E-4</v>
      </c>
      <c r="N12" s="4">
        <v>3.71921065227873</v>
      </c>
      <c r="O12" s="4">
        <v>3.0056430957113599E-2</v>
      </c>
      <c r="P12" s="4">
        <v>0.88384623003029295</v>
      </c>
      <c r="Q12" s="4">
        <v>9.1924995954771702E-2</v>
      </c>
      <c r="R12" s="4">
        <f>+C12</f>
        <v>4</v>
      </c>
      <c r="S12" s="4">
        <f t="shared" si="0"/>
        <v>1.2169383321169999E-2</v>
      </c>
      <c r="T12" s="4">
        <f>+J12/I12</f>
        <v>-5.8025816639657464</v>
      </c>
      <c r="U12" s="4">
        <f t="shared" si="1"/>
        <v>-5.6539485326389238</v>
      </c>
    </row>
    <row r="13" spans="1:21" s="4" customFormat="1" x14ac:dyDescent="0.2">
      <c r="A13" s="4">
        <v>0.19471013313871999</v>
      </c>
      <c r="B13" s="4" t="s">
        <v>52</v>
      </c>
      <c r="C13" s="4">
        <v>4</v>
      </c>
      <c r="D13" s="4">
        <v>0.2</v>
      </c>
      <c r="E13" s="4" t="s">
        <v>87</v>
      </c>
      <c r="F13" s="4" t="s">
        <v>89</v>
      </c>
      <c r="G13" s="4">
        <v>-1.68814075653912E-4</v>
      </c>
      <c r="H13" s="4">
        <v>1.2137652818308699E-6</v>
      </c>
      <c r="I13" s="4">
        <v>5.3812004888770595E-4</v>
      </c>
      <c r="J13" s="4">
        <v>-3.1224855286880499E-3</v>
      </c>
      <c r="K13" s="4">
        <v>4.0122622388654001</v>
      </c>
      <c r="L13" s="4">
        <v>2.3235439274994501E-15</v>
      </c>
      <c r="M13" s="4">
        <v>6.4156246529510597E-4</v>
      </c>
      <c r="N13" s="4">
        <v>3.7192106721089302</v>
      </c>
      <c r="O13" s="4">
        <v>2.99919146944744E-2</v>
      </c>
      <c r="P13" s="4">
        <v>0.88384619333851999</v>
      </c>
      <c r="Q13" s="4">
        <v>9.1616390444129198E-2</v>
      </c>
      <c r="R13" s="4">
        <f>+C13</f>
        <v>4</v>
      </c>
      <c r="S13" s="4">
        <f t="shared" si="0"/>
        <v>1.2169383321169999E-2</v>
      </c>
      <c r="T13" s="4">
        <f>+J13/I13</f>
        <v>-5.8025816639655536</v>
      </c>
      <c r="U13" s="4">
        <f t="shared" si="1"/>
        <v>-5.6539485326389238</v>
      </c>
    </row>
    <row r="14" spans="1:21" s="4" customFormat="1" x14ac:dyDescent="0.2">
      <c r="A14" s="4">
        <v>0.19471013313871999</v>
      </c>
      <c r="B14" s="4" t="s">
        <v>52</v>
      </c>
      <c r="C14" s="4">
        <v>4</v>
      </c>
      <c r="D14" s="4">
        <v>0.2</v>
      </c>
      <c r="E14" s="4" t="s">
        <v>86</v>
      </c>
      <c r="F14" s="4" t="s">
        <v>88</v>
      </c>
      <c r="G14" s="4">
        <v>-1.6881833115644899E-4</v>
      </c>
      <c r="H14" s="4">
        <v>1.2046747443300701E-6</v>
      </c>
      <c r="I14" s="4">
        <v>5.3813476915774401E-4</v>
      </c>
      <c r="J14" s="4">
        <v>-3.1229348341127402E-3</v>
      </c>
      <c r="K14" s="4">
        <v>4.0134295065491097</v>
      </c>
      <c r="L14" s="4">
        <v>2.3320870782378099E-15</v>
      </c>
      <c r="M14" s="4">
        <v>6.3910325107298805E-4</v>
      </c>
      <c r="N14" s="4">
        <v>3.7194188518322102</v>
      </c>
      <c r="O14" s="4">
        <v>2.9701801257558801E-2</v>
      </c>
      <c r="P14" s="4">
        <v>0.88398185586447497</v>
      </c>
      <c r="Q14" s="4">
        <v>9.0961097213852204E-2</v>
      </c>
      <c r="R14" s="4">
        <f>+C14</f>
        <v>4</v>
      </c>
      <c r="S14" s="4">
        <f t="shared" si="0"/>
        <v>1.2169383321169999E-2</v>
      </c>
      <c r="T14" s="4">
        <f>+J14/I14</f>
        <v>-5.8032578697722297</v>
      </c>
      <c r="U14" s="4">
        <f t="shared" si="1"/>
        <v>-5.6539485326389238</v>
      </c>
    </row>
    <row r="15" spans="1:21" s="4" customFormat="1" x14ac:dyDescent="0.2">
      <c r="A15" s="4">
        <v>0.19471013313871999</v>
      </c>
      <c r="B15" s="4" t="s">
        <v>52</v>
      </c>
      <c r="C15" s="4">
        <v>4</v>
      </c>
      <c r="D15" s="4">
        <v>0.2</v>
      </c>
      <c r="E15" s="4" t="s">
        <v>86</v>
      </c>
      <c r="F15" s="4" t="s">
        <v>87</v>
      </c>
      <c r="G15" s="4">
        <v>-1.6881833209396999E-4</v>
      </c>
      <c r="H15" s="4">
        <v>1.20780780977847E-6</v>
      </c>
      <c r="I15" s="4">
        <v>5.3813476915774705E-4</v>
      </c>
      <c r="J15" s="4">
        <v>-3.12293483411283E-3</v>
      </c>
      <c r="K15" s="4">
        <v>4.0134295065538197</v>
      </c>
      <c r="L15" s="4">
        <v>2.3260382246939099E-15</v>
      </c>
      <c r="M15" s="4">
        <v>6.3405019726786203E-4</v>
      </c>
      <c r="N15" s="4">
        <v>3.7194188869604901</v>
      </c>
      <c r="O15" s="4">
        <v>2.99375550859735E-2</v>
      </c>
      <c r="P15" s="4">
        <v>0.88398178802076</v>
      </c>
      <c r="Q15" s="4">
        <v>9.1132364597769702E-2</v>
      </c>
      <c r="R15" s="4">
        <f>+C15</f>
        <v>4</v>
      </c>
      <c r="S15" s="4">
        <f t="shared" si="0"/>
        <v>1.2169383321169999E-2</v>
      </c>
      <c r="T15" s="4">
        <f>+J15/I15</f>
        <v>-5.8032578697723638</v>
      </c>
      <c r="U15" s="4">
        <f t="shared" si="1"/>
        <v>-5.6539485326389238</v>
      </c>
    </row>
    <row r="16" spans="1:21" s="4" customFormat="1" x14ac:dyDescent="0.2">
      <c r="A16" s="4">
        <v>0.19471013313871999</v>
      </c>
      <c r="B16" s="4" t="s">
        <v>52</v>
      </c>
      <c r="C16" s="4">
        <v>4</v>
      </c>
      <c r="D16" s="4">
        <v>0.2</v>
      </c>
      <c r="E16" s="4" t="s">
        <v>86</v>
      </c>
      <c r="F16" s="4" t="s">
        <v>89</v>
      </c>
      <c r="G16" s="4">
        <v>-3.4917786074231103E-4</v>
      </c>
      <c r="H16" s="4">
        <v>1.00391977581638E-7</v>
      </c>
      <c r="I16" s="4">
        <v>1.07625481804545E-3</v>
      </c>
      <c r="J16" s="4">
        <v>-6.2454203628010399E-3</v>
      </c>
      <c r="K16" s="4">
        <v>4.0128458298051504</v>
      </c>
      <c r="L16" s="4">
        <v>9.9999988837743793E-15</v>
      </c>
      <c r="M16" s="4">
        <v>4.2832348301586899E-5</v>
      </c>
      <c r="N16" s="4">
        <v>3.9505659554279098</v>
      </c>
      <c r="O16" s="4">
        <v>1.02176660017759E-3</v>
      </c>
      <c r="P16" s="4">
        <v>0.43970402686409099</v>
      </c>
      <c r="Q16" s="4">
        <v>4.3874902115578398E-3</v>
      </c>
      <c r="R16" s="4">
        <f>+C16</f>
        <v>4</v>
      </c>
      <c r="S16" s="4">
        <f t="shared" si="0"/>
        <v>1.2169383321169999E-2</v>
      </c>
      <c r="T16" s="4">
        <f>+J16/I16</f>
        <v>-5.8029197714934622</v>
      </c>
      <c r="U16" s="4">
        <f t="shared" si="1"/>
        <v>-5.6539485326389238</v>
      </c>
    </row>
    <row r="17" spans="1:21" s="4" customFormat="1" x14ac:dyDescent="0.2">
      <c r="A17" s="4">
        <v>0.29206519970808698</v>
      </c>
      <c r="B17" s="4" t="s">
        <v>52</v>
      </c>
      <c r="C17" s="4">
        <v>4</v>
      </c>
      <c r="D17" s="4">
        <v>0.3</v>
      </c>
      <c r="E17" s="4" t="s">
        <v>100</v>
      </c>
      <c r="F17" s="4" t="s">
        <v>101</v>
      </c>
      <c r="G17" s="4">
        <v>-1.69072906029173E-4</v>
      </c>
      <c r="H17" s="4">
        <v>7.5768110835885201E-7</v>
      </c>
      <c r="I17" s="4">
        <v>5.4113049305897398E-4</v>
      </c>
      <c r="J17" s="4">
        <v>-3.2640622262331701E-3</v>
      </c>
      <c r="K17" s="4">
        <v>4.0192084645768196</v>
      </c>
      <c r="L17" s="4">
        <v>2.5593452604015201E-15</v>
      </c>
      <c r="M17" s="4">
        <v>3.8297365063483198E-4</v>
      </c>
      <c r="N17" s="4">
        <v>3.76840556282239</v>
      </c>
      <c r="O17" s="4">
        <v>1.8966870647700699E-2</v>
      </c>
      <c r="P17" s="4">
        <v>0.97097060023414605</v>
      </c>
      <c r="Q17" s="4">
        <v>5.8237225063813403E-2</v>
      </c>
      <c r="R17" s="4">
        <f>+C17</f>
        <v>4</v>
      </c>
      <c r="S17" s="4">
        <f t="shared" si="0"/>
        <v>1.8254074981755436E-2</v>
      </c>
      <c r="T17" s="4">
        <f>+J17/I17</f>
        <v>-6.0319317948276163</v>
      </c>
      <c r="U17" s="4">
        <f t="shared" si="1"/>
        <v>-5.8113823240584956</v>
      </c>
    </row>
    <row r="18" spans="1:21" s="4" customFormat="1" x14ac:dyDescent="0.2">
      <c r="A18" s="4">
        <v>0.29206519970808698</v>
      </c>
      <c r="B18" s="4" t="s">
        <v>52</v>
      </c>
      <c r="C18" s="4">
        <v>4</v>
      </c>
      <c r="D18" s="4">
        <v>0.3</v>
      </c>
      <c r="E18" s="4" t="s">
        <v>99</v>
      </c>
      <c r="F18" s="4" t="s">
        <v>101</v>
      </c>
      <c r="G18" s="4">
        <v>-1.6907290725403599E-4</v>
      </c>
      <c r="H18" s="4">
        <v>7.55734331660631E-7</v>
      </c>
      <c r="I18" s="4">
        <v>5.4113049305897301E-4</v>
      </c>
      <c r="J18" s="4">
        <v>-3.26406222623322E-3</v>
      </c>
      <c r="K18" s="4">
        <v>4.0192084645757697</v>
      </c>
      <c r="L18" s="4">
        <v>2.5637473590853899E-15</v>
      </c>
      <c r="M18" s="4">
        <v>3.7887866693608598E-4</v>
      </c>
      <c r="N18" s="4">
        <v>3.7684056079340098</v>
      </c>
      <c r="O18" s="4">
        <v>1.8986183228108799E-2</v>
      </c>
      <c r="P18" s="4">
        <v>0.97097051228183595</v>
      </c>
      <c r="Q18" s="4">
        <v>5.8060789020936802E-2</v>
      </c>
      <c r="R18" s="4">
        <f>+C18</f>
        <v>4</v>
      </c>
      <c r="S18" s="4">
        <f t="shared" si="0"/>
        <v>1.8254074981755436E-2</v>
      </c>
      <c r="T18" s="4">
        <f>+J18/I18</f>
        <v>-6.0319317948277194</v>
      </c>
      <c r="U18" s="4">
        <f t="shared" si="1"/>
        <v>-5.8113823240584956</v>
      </c>
    </row>
    <row r="19" spans="1:21" s="4" customFormat="1" x14ac:dyDescent="0.2">
      <c r="A19" s="4">
        <v>0.29206519970808698</v>
      </c>
      <c r="B19" s="4" t="s">
        <v>52</v>
      </c>
      <c r="C19" s="4">
        <v>4</v>
      </c>
      <c r="D19" s="4">
        <v>0.3</v>
      </c>
      <c r="E19" s="4" t="s">
        <v>98</v>
      </c>
      <c r="F19" s="4" t="s">
        <v>99</v>
      </c>
      <c r="G19" s="4">
        <v>-1.69078738914124E-4</v>
      </c>
      <c r="H19" s="4">
        <v>7.5555258989345298E-7</v>
      </c>
      <c r="I19" s="4">
        <v>5.41152063344551E-4</v>
      </c>
      <c r="J19" s="4">
        <v>-3.2646643965712498E-3</v>
      </c>
      <c r="K19" s="4">
        <v>4.0204265658769804</v>
      </c>
      <c r="L19" s="4">
        <v>2.5333632897327998E-15</v>
      </c>
      <c r="M19" s="4">
        <v>3.8002819355862499E-4</v>
      </c>
      <c r="N19" s="4">
        <v>3.76865150877099</v>
      </c>
      <c r="O19" s="4">
        <v>1.8953136854942199E-2</v>
      </c>
      <c r="P19" s="4">
        <v>0.97118615590614399</v>
      </c>
      <c r="Q19" s="4">
        <v>5.8064680218131701E-2</v>
      </c>
      <c r="R19" s="4">
        <f>+C19</f>
        <v>4</v>
      </c>
      <c r="S19" s="4">
        <f t="shared" si="0"/>
        <v>1.8254074981755436E-2</v>
      </c>
      <c r="T19" s="4">
        <f>+J19/I19</f>
        <v>-6.032804118669028</v>
      </c>
      <c r="U19" s="4">
        <f t="shared" si="1"/>
        <v>-5.8113823240584956</v>
      </c>
    </row>
    <row r="20" spans="1:21" s="4" customFormat="1" x14ac:dyDescent="0.2">
      <c r="A20" s="4">
        <v>0.29206519970808698</v>
      </c>
      <c r="B20" s="4" t="s">
        <v>52</v>
      </c>
      <c r="C20" s="4">
        <v>4</v>
      </c>
      <c r="D20" s="4">
        <v>0.3</v>
      </c>
      <c r="E20" s="4" t="s">
        <v>98</v>
      </c>
      <c r="F20" s="4" t="s">
        <v>100</v>
      </c>
      <c r="G20" s="4">
        <v>-1.69078740232963E-4</v>
      </c>
      <c r="H20" s="4">
        <v>7.88459218359531E-7</v>
      </c>
      <c r="I20" s="4">
        <v>5.4115206334454297E-4</v>
      </c>
      <c r="J20" s="4">
        <v>-3.2646643965710599E-3</v>
      </c>
      <c r="K20" s="4">
        <v>4.02042656587804</v>
      </c>
      <c r="L20" s="4">
        <v>2.54761907955007E-15</v>
      </c>
      <c r="M20" s="4">
        <v>3.9748375578489502E-4</v>
      </c>
      <c r="N20" s="4">
        <v>3.7686515558976299</v>
      </c>
      <c r="O20" s="4">
        <v>1.9741992789017102E-2</v>
      </c>
      <c r="P20" s="4">
        <v>0.97118606293267196</v>
      </c>
      <c r="Q20" s="4">
        <v>6.06077611242474E-2</v>
      </c>
      <c r="R20" s="4">
        <f>+C20</f>
        <v>4</v>
      </c>
      <c r="S20" s="4">
        <f t="shared" si="0"/>
        <v>1.8254074981755436E-2</v>
      </c>
      <c r="T20" s="4">
        <f>+J20/I20</f>
        <v>-6.032804118668766</v>
      </c>
      <c r="U20" s="4">
        <f t="shared" si="1"/>
        <v>-5.8113823240584956</v>
      </c>
    </row>
    <row r="21" spans="1:21" s="4" customFormat="1" x14ac:dyDescent="0.2">
      <c r="A21" s="4">
        <v>0.29206519970808698</v>
      </c>
      <c r="B21" s="4" t="s">
        <v>52</v>
      </c>
      <c r="C21" s="4">
        <v>4</v>
      </c>
      <c r="D21" s="4">
        <v>0.3</v>
      </c>
      <c r="E21" s="4" t="s">
        <v>98</v>
      </c>
      <c r="F21" s="4" t="s">
        <v>101</v>
      </c>
      <c r="G21" s="4">
        <v>-3.3815163009309198E-4</v>
      </c>
      <c r="H21" s="4">
        <v>1.48928709388252E-6</v>
      </c>
      <c r="I21" s="4">
        <v>1.08228255640352E-3</v>
      </c>
      <c r="J21" s="4">
        <v>-6.5287266228044299E-3</v>
      </c>
      <c r="K21" s="4">
        <v>4.0198174791351402</v>
      </c>
      <c r="L21" s="4">
        <v>2.54482046539929E-15</v>
      </c>
      <c r="M21" s="4">
        <v>3.7497063347641002E-4</v>
      </c>
      <c r="N21" s="4">
        <v>3.7685282667496098</v>
      </c>
      <c r="O21" s="4">
        <v>1.8673594208092701E-2</v>
      </c>
      <c r="P21" s="4">
        <v>0.97107891060060403</v>
      </c>
      <c r="Q21" s="4">
        <v>5.7227028406302699E-2</v>
      </c>
      <c r="R21" s="4">
        <f>+C21</f>
        <v>4</v>
      </c>
      <c r="S21" s="4">
        <f t="shared" si="0"/>
        <v>1.8254074981755436E-2</v>
      </c>
      <c r="T21" s="4">
        <f>+J21/I21</f>
        <v>-6.0323679654412254</v>
      </c>
      <c r="U21" s="4">
        <f t="shared" si="1"/>
        <v>-5.8113823240584956</v>
      </c>
    </row>
    <row r="22" spans="1:21" s="4" customFormat="1" x14ac:dyDescent="0.2">
      <c r="A22" s="4">
        <v>0.38942026627743997</v>
      </c>
      <c r="B22" s="4" t="s">
        <v>52</v>
      </c>
      <c r="C22" s="4">
        <v>4</v>
      </c>
      <c r="D22" s="4">
        <v>0.4</v>
      </c>
      <c r="E22" s="4" t="s">
        <v>112</v>
      </c>
      <c r="F22" s="4" t="s">
        <v>113</v>
      </c>
      <c r="G22" s="4">
        <v>-1.6940822722942499E-4</v>
      </c>
      <c r="H22" s="4">
        <v>2.7674131985671702E-7</v>
      </c>
      <c r="I22" s="4">
        <v>5.4413134003885395E-4</v>
      </c>
      <c r="J22" s="4">
        <v>-3.4049693501833202E-3</v>
      </c>
      <c r="K22" s="4">
        <v>4.0261364419366803</v>
      </c>
      <c r="L22" s="4">
        <v>3.6853109524433899E-15</v>
      </c>
      <c r="M22" s="4">
        <v>1.32819196765613E-4</v>
      </c>
      <c r="N22" s="4">
        <v>3.8179208350734899</v>
      </c>
      <c r="O22" s="4">
        <v>7.0362683536576102E-3</v>
      </c>
      <c r="P22" s="4">
        <v>1.0544902810960499</v>
      </c>
      <c r="Q22" s="4">
        <v>2.1651674466998901E-2</v>
      </c>
      <c r="R22" s="4">
        <f>+C22</f>
        <v>4</v>
      </c>
      <c r="S22" s="4">
        <f t="shared" si="0"/>
        <v>2.4338766642339998E-2</v>
      </c>
      <c r="T22" s="4">
        <f>+J22/I22</f>
        <v>-6.2576240323525321</v>
      </c>
      <c r="U22" s="4">
        <f t="shared" si="1"/>
        <v>-5.9669457653381484</v>
      </c>
    </row>
    <row r="23" spans="1:21" s="4" customFormat="1" x14ac:dyDescent="0.2">
      <c r="A23" s="4">
        <v>0.38942026627743997</v>
      </c>
      <c r="B23" s="4" t="s">
        <v>52</v>
      </c>
      <c r="C23" s="4">
        <v>4</v>
      </c>
      <c r="D23" s="4">
        <v>0.4</v>
      </c>
      <c r="E23" s="4" t="s">
        <v>111</v>
      </c>
      <c r="F23" s="4" t="s">
        <v>113</v>
      </c>
      <c r="G23" s="4">
        <v>-1.6940822725751301E-4</v>
      </c>
      <c r="H23" s="4">
        <v>2.7686277993833E-7</v>
      </c>
      <c r="I23" s="4">
        <v>5.4413134003885504E-4</v>
      </c>
      <c r="J23" s="4">
        <v>-3.4049693501834E-3</v>
      </c>
      <c r="K23" s="4">
        <v>4.0261364419179699</v>
      </c>
      <c r="L23" s="4">
        <v>3.5087730686962199E-15</v>
      </c>
      <c r="M23" s="4">
        <v>1.3217751991445801E-4</v>
      </c>
      <c r="N23" s="4">
        <v>3.8179208362992698</v>
      </c>
      <c r="O23" s="4">
        <v>7.0574647183075804E-3</v>
      </c>
      <c r="P23" s="4">
        <v>1.05449027898687</v>
      </c>
      <c r="Q23" s="4">
        <v>2.1653471358682799E-2</v>
      </c>
      <c r="R23" s="4">
        <f>+C23</f>
        <v>4</v>
      </c>
      <c r="S23" s="4">
        <f t="shared" si="0"/>
        <v>2.4338766642339998E-2</v>
      </c>
      <c r="T23" s="4">
        <f>+J23/I23</f>
        <v>-6.2576240323526662</v>
      </c>
      <c r="U23" s="4">
        <f t="shared" si="1"/>
        <v>-5.9669457653381484</v>
      </c>
    </row>
    <row r="24" spans="1:21" s="4" customFormat="1" x14ac:dyDescent="0.2">
      <c r="A24" s="4">
        <v>0.38942026627743997</v>
      </c>
      <c r="B24" s="4" t="s">
        <v>52</v>
      </c>
      <c r="C24" s="4">
        <v>4</v>
      </c>
      <c r="D24" s="4">
        <v>0.4</v>
      </c>
      <c r="E24" s="4" t="s">
        <v>110</v>
      </c>
      <c r="F24" s="4" t="s">
        <v>111</v>
      </c>
      <c r="G24" s="4">
        <v>-1.6941573839609101E-4</v>
      </c>
      <c r="H24" s="4">
        <v>2.82677805832907E-7</v>
      </c>
      <c r="I24" s="4">
        <v>5.4415976639302305E-4</v>
      </c>
      <c r="J24" s="4">
        <v>-3.4057293207639902E-3</v>
      </c>
      <c r="K24" s="4">
        <v>4.0274049581602798</v>
      </c>
      <c r="L24" s="4">
        <v>3.62418875640075E-15</v>
      </c>
      <c r="M24" s="4">
        <v>1.3584634498583199E-4</v>
      </c>
      <c r="N24" s="4">
        <v>3.8182069028524799</v>
      </c>
      <c r="O24" s="4">
        <v>7.1825132917086301E-3</v>
      </c>
      <c r="P24" s="4">
        <v>1.0547820818601299</v>
      </c>
      <c r="Q24" s="4">
        <v>2.21203781537181E-2</v>
      </c>
      <c r="R24" s="4">
        <f>+C24</f>
        <v>4</v>
      </c>
      <c r="S24" s="4">
        <f t="shared" si="0"/>
        <v>2.4338766642339998E-2</v>
      </c>
      <c r="T24" s="4">
        <f>+J24/I24</f>
        <v>-6.2586937350016782</v>
      </c>
      <c r="U24" s="4">
        <f t="shared" si="1"/>
        <v>-5.9669457653381484</v>
      </c>
    </row>
    <row r="25" spans="1:21" s="4" customFormat="1" x14ac:dyDescent="0.2">
      <c r="A25" s="4">
        <v>0.38942026627743997</v>
      </c>
      <c r="B25" s="4" t="s">
        <v>52</v>
      </c>
      <c r="C25" s="4">
        <v>4</v>
      </c>
      <c r="D25" s="4">
        <v>0.4</v>
      </c>
      <c r="E25" s="4" t="s">
        <v>110</v>
      </c>
      <c r="F25" s="4" t="s">
        <v>112</v>
      </c>
      <c r="G25" s="4">
        <v>-1.6941573857744301E-4</v>
      </c>
      <c r="H25" s="4">
        <v>2.8226052488951401E-7</v>
      </c>
      <c r="I25" s="4">
        <v>5.4415976639302598E-4</v>
      </c>
      <c r="J25" s="4">
        <v>-3.40572932076406E-3</v>
      </c>
      <c r="K25" s="4">
        <v>4.0274049581789901</v>
      </c>
      <c r="L25" s="4">
        <v>3.6939222449919799E-15</v>
      </c>
      <c r="M25" s="4">
        <v>1.3507420929447601E-4</v>
      </c>
      <c r="N25" s="4">
        <v>3.81820691004001</v>
      </c>
      <c r="O25" s="4">
        <v>7.1886843199709602E-3</v>
      </c>
      <c r="P25" s="4">
        <v>1.05478206749301</v>
      </c>
      <c r="Q25" s="4">
        <v>2.2079348412533201E-2</v>
      </c>
      <c r="R25" s="4">
        <f>+C25</f>
        <v>4</v>
      </c>
      <c r="S25" s="4">
        <f t="shared" si="0"/>
        <v>2.4338766642339998E-2</v>
      </c>
      <c r="T25" s="4">
        <f>+J25/I25</f>
        <v>-6.2586937350017733</v>
      </c>
      <c r="U25" s="4">
        <f t="shared" si="1"/>
        <v>-5.9669457653381484</v>
      </c>
    </row>
    <row r="26" spans="1:21" s="4" customFormat="1" x14ac:dyDescent="0.2">
      <c r="A26" s="4">
        <v>0.38942026627743997</v>
      </c>
      <c r="B26" s="4" t="s">
        <v>52</v>
      </c>
      <c r="C26" s="4">
        <v>4</v>
      </c>
      <c r="D26" s="4">
        <v>0.4</v>
      </c>
      <c r="E26" s="4" t="s">
        <v>110</v>
      </c>
      <c r="F26" s="4" t="s">
        <v>113</v>
      </c>
      <c r="G26" s="4">
        <v>-3.3882395214522001E-4</v>
      </c>
      <c r="H26" s="4">
        <v>5.6383523217396301E-7</v>
      </c>
      <c r="I26" s="4">
        <v>1.0882911064318799E-3</v>
      </c>
      <c r="J26" s="4">
        <v>-6.8106986709475801E-3</v>
      </c>
      <c r="K26" s="4">
        <v>4.0267706709164397</v>
      </c>
      <c r="L26" s="4">
        <v>3.6737853701694198E-15</v>
      </c>
      <c r="M26" s="4">
        <v>1.3496680571640701E-4</v>
      </c>
      <c r="N26" s="4">
        <v>3.81806362997236</v>
      </c>
      <c r="O26" s="4">
        <v>7.17074011288247E-3</v>
      </c>
      <c r="P26" s="4">
        <v>1.0546366713977999</v>
      </c>
      <c r="Q26" s="4">
        <v>2.2058864815941499E-2</v>
      </c>
      <c r="R26" s="4">
        <f>+C26</f>
        <v>4</v>
      </c>
      <c r="S26" s="4">
        <f t="shared" si="0"/>
        <v>2.4338766642339998E-2</v>
      </c>
      <c r="T26" s="4">
        <f>+J26/I26</f>
        <v>-6.2581588976477462</v>
      </c>
      <c r="U26" s="4">
        <f t="shared" si="1"/>
        <v>-5.9669457653381484</v>
      </c>
    </row>
    <row r="27" spans="1:21" s="4" customFormat="1" x14ac:dyDescent="0.2">
      <c r="A27" s="4">
        <v>0.48677533284681102</v>
      </c>
      <c r="B27" s="4" t="s">
        <v>52</v>
      </c>
      <c r="C27" s="4">
        <v>4</v>
      </c>
      <c r="D27" s="4">
        <v>0.5</v>
      </c>
      <c r="E27" s="4" t="s">
        <v>128</v>
      </c>
      <c r="F27" s="4" t="s">
        <v>129</v>
      </c>
      <c r="G27" s="4">
        <v>-1.6942931368070399E-4</v>
      </c>
      <c r="H27" s="4">
        <v>3.9567018131456598E-7</v>
      </c>
      <c r="I27" s="4">
        <v>5.4712266905312099E-4</v>
      </c>
      <c r="J27" s="4">
        <v>-3.5452143771828501E-3</v>
      </c>
      <c r="K27" s="4">
        <v>4.0330462441555701</v>
      </c>
      <c r="L27" s="4">
        <v>9.8275828314360192E-15</v>
      </c>
      <c r="M27" s="4">
        <v>1.76874461515035E-4</v>
      </c>
      <c r="N27" s="4">
        <v>3.8536474169742401</v>
      </c>
      <c r="O27" s="4">
        <v>1.01952024717852E-2</v>
      </c>
      <c r="P27" s="4">
        <v>1.1630365138390699</v>
      </c>
      <c r="Q27" s="4">
        <v>3.1242580052559098E-2</v>
      </c>
      <c r="R27" s="4">
        <f>+C27</f>
        <v>4</v>
      </c>
      <c r="S27" s="4">
        <f t="shared" si="0"/>
        <v>3.0423458302925688E-2</v>
      </c>
      <c r="T27" s="4">
        <f>+J27/I27</f>
        <v>-6.4797431685994349</v>
      </c>
      <c r="U27" s="4">
        <f t="shared" si="1"/>
        <v>-6.1206719899546842</v>
      </c>
    </row>
    <row r="28" spans="1:21" s="4" customFormat="1" x14ac:dyDescent="0.2">
      <c r="A28" s="4">
        <v>0.48677533284681102</v>
      </c>
      <c r="B28" s="4" t="s">
        <v>52</v>
      </c>
      <c r="C28" s="4">
        <v>4</v>
      </c>
      <c r="D28" s="4">
        <v>0.5</v>
      </c>
      <c r="E28" s="4" t="s">
        <v>127</v>
      </c>
      <c r="F28" s="4" t="s">
        <v>129</v>
      </c>
      <c r="G28" s="4">
        <v>-1.6942931475478701E-4</v>
      </c>
      <c r="H28" s="4">
        <v>3.97573836158373E-7</v>
      </c>
      <c r="I28" s="4">
        <v>5.4712266905312099E-4</v>
      </c>
      <c r="J28" s="4">
        <v>-3.5452143771828601E-3</v>
      </c>
      <c r="K28" s="4">
        <v>4.0330462442184398</v>
      </c>
      <c r="L28" s="4">
        <v>9.8280245040914396E-15</v>
      </c>
      <c r="M28" s="4">
        <v>1.7773747269567299E-4</v>
      </c>
      <c r="N28" s="4">
        <v>3.8536474561525398</v>
      </c>
      <c r="O28" s="4">
        <v>1.02408987070618E-2</v>
      </c>
      <c r="P28" s="4">
        <v>1.1630364339835999</v>
      </c>
      <c r="Q28" s="4">
        <v>3.1395141512016098E-2</v>
      </c>
      <c r="R28" s="4">
        <f>+C28</f>
        <v>4</v>
      </c>
      <c r="S28" s="4">
        <f t="shared" si="0"/>
        <v>3.0423458302925688E-2</v>
      </c>
      <c r="T28" s="4">
        <f>+J28/I28</f>
        <v>-6.4797431685994527</v>
      </c>
      <c r="U28" s="4">
        <f t="shared" si="1"/>
        <v>-6.1206719899546842</v>
      </c>
    </row>
    <row r="29" spans="1:21" s="4" customFormat="1" x14ac:dyDescent="0.2">
      <c r="A29" s="4">
        <v>0.48677533284681102</v>
      </c>
      <c r="B29" s="4" t="s">
        <v>52</v>
      </c>
      <c r="C29" s="4">
        <v>4</v>
      </c>
      <c r="D29" s="4">
        <v>0.5</v>
      </c>
      <c r="E29" s="4" t="s">
        <v>126</v>
      </c>
      <c r="F29" s="4" t="s">
        <v>128</v>
      </c>
      <c r="G29" s="4">
        <v>-1.6944214248676E-4</v>
      </c>
      <c r="H29" s="4">
        <v>3.8616063102903298E-7</v>
      </c>
      <c r="I29" s="4">
        <v>5.4715795668343001E-4</v>
      </c>
      <c r="J29" s="4">
        <v>-3.54613696151416E-3</v>
      </c>
      <c r="K29" s="4">
        <v>4.0343647622106902</v>
      </c>
      <c r="L29" s="4">
        <v>9.8290776063004108E-15</v>
      </c>
      <c r="M29" s="4">
        <v>1.7225005173967099E-4</v>
      </c>
      <c r="N29" s="4">
        <v>3.8541055074658601</v>
      </c>
      <c r="O29" s="4">
        <v>9.9602473526449707E-3</v>
      </c>
      <c r="P29" s="4">
        <v>1.1631393990518299</v>
      </c>
      <c r="Q29" s="4">
        <v>3.0491149285282501E-2</v>
      </c>
      <c r="R29" s="4">
        <f>+C29</f>
        <v>4</v>
      </c>
      <c r="S29" s="4">
        <f t="shared" si="0"/>
        <v>3.0423458302925688E-2</v>
      </c>
      <c r="T29" s="4">
        <f>+J29/I29</f>
        <v>-6.4810114121503197</v>
      </c>
      <c r="U29" s="4">
        <f t="shared" si="1"/>
        <v>-6.1206719899546842</v>
      </c>
    </row>
    <row r="30" spans="1:21" s="4" customFormat="1" x14ac:dyDescent="0.2">
      <c r="A30" s="4">
        <v>0.48677533284681102</v>
      </c>
      <c r="B30" s="4" t="s">
        <v>52</v>
      </c>
      <c r="C30" s="4">
        <v>4</v>
      </c>
      <c r="D30" s="4">
        <v>0.5</v>
      </c>
      <c r="E30" s="4" t="s">
        <v>126</v>
      </c>
      <c r="F30" s="4" t="s">
        <v>127</v>
      </c>
      <c r="G30" s="4">
        <v>-1.69442145204446E-4</v>
      </c>
      <c r="H30" s="4">
        <v>3.8134279517085202E-7</v>
      </c>
      <c r="I30" s="4">
        <v>5.4715795668342903E-4</v>
      </c>
      <c r="J30" s="4">
        <v>-3.54613696151418E-3</v>
      </c>
      <c r="K30" s="4">
        <v>4.0343647622735501</v>
      </c>
      <c r="L30" s="4">
        <v>9.8291863669873896E-15</v>
      </c>
      <c r="M30" s="4">
        <v>1.7017514429468501E-4</v>
      </c>
      <c r="N30" s="4">
        <v>3.85410560410156</v>
      </c>
      <c r="O30" s="4">
        <v>9.8322681865228908E-3</v>
      </c>
      <c r="P30" s="4">
        <v>1.1631391995515501</v>
      </c>
      <c r="Q30" s="4">
        <v>3.0112210105444601E-2</v>
      </c>
      <c r="R30" s="4">
        <f>+C30</f>
        <v>4</v>
      </c>
      <c r="S30" s="4">
        <f t="shared" si="0"/>
        <v>3.0423458302925688E-2</v>
      </c>
      <c r="T30" s="4">
        <f>+J30/I30</f>
        <v>-6.4810114121503677</v>
      </c>
      <c r="U30" s="4">
        <f t="shared" si="1"/>
        <v>-6.1206719899546842</v>
      </c>
    </row>
    <row r="31" spans="1:21" s="4" customFormat="1" x14ac:dyDescent="0.2">
      <c r="A31" s="4">
        <v>0.48677533284681102</v>
      </c>
      <c r="B31" s="4" t="s">
        <v>52</v>
      </c>
      <c r="C31" s="4">
        <v>4</v>
      </c>
      <c r="D31" s="4">
        <v>0.5</v>
      </c>
      <c r="E31" s="4" t="s">
        <v>126</v>
      </c>
      <c r="F31" s="4" t="s">
        <v>129</v>
      </c>
      <c r="G31" s="4">
        <v>-3.3743749434517097E-4</v>
      </c>
      <c r="H31" s="4">
        <v>4.61574270282465E-7</v>
      </c>
      <c r="I31" s="4">
        <v>1.09428062573655E-3</v>
      </c>
      <c r="J31" s="4">
        <v>-7.0913513386971199E-3</v>
      </c>
      <c r="K31" s="4">
        <v>4.0337054812289903</v>
      </c>
      <c r="L31" s="4">
        <v>9.8634181368664804E-15</v>
      </c>
      <c r="M31" s="4">
        <v>9.7107189326102705E-5</v>
      </c>
      <c r="N31" s="4">
        <v>3.8282060140065801</v>
      </c>
      <c r="O31" s="4">
        <v>5.9732417714212201E-3</v>
      </c>
      <c r="P31" s="4">
        <v>1.21543583098966</v>
      </c>
      <c r="Q31" s="4">
        <v>1.7914812053410101E-2</v>
      </c>
      <c r="R31" s="4">
        <f>+C31</f>
        <v>4</v>
      </c>
      <c r="S31" s="4">
        <f t="shared" si="0"/>
        <v>3.0423458302925688E-2</v>
      </c>
      <c r="T31" s="4">
        <f>+J31/I31</f>
        <v>-6.4803773108237186</v>
      </c>
      <c r="U31" s="4">
        <f t="shared" si="1"/>
        <v>-6.1206719899546842</v>
      </c>
    </row>
    <row r="32" spans="1:21" s="4" customFormat="1" x14ac:dyDescent="0.2">
      <c r="A32" s="4">
        <v>0.68148546598552695</v>
      </c>
      <c r="B32" s="4" t="s">
        <v>52</v>
      </c>
      <c r="C32" s="4">
        <v>4</v>
      </c>
      <c r="D32" s="4">
        <v>0.7</v>
      </c>
      <c r="E32" s="4" t="s">
        <v>144</v>
      </c>
      <c r="F32" s="4" t="s">
        <v>145</v>
      </c>
      <c r="G32" s="4">
        <v>-1.6835456251855599E-4</v>
      </c>
      <c r="H32" s="4">
        <v>2.3642789289060599E-6</v>
      </c>
      <c r="I32" s="4">
        <v>5.5307708534360601E-4</v>
      </c>
      <c r="J32" s="4">
        <v>-3.8237475791702401E-3</v>
      </c>
      <c r="K32" s="4">
        <v>4.0468116145624498</v>
      </c>
      <c r="L32" s="4">
        <v>9.9847835651478703E-15</v>
      </c>
      <c r="M32" s="4">
        <v>8.0774570545600396E-4</v>
      </c>
      <c r="N32" s="4">
        <v>3.8807827207790901</v>
      </c>
      <c r="O32" s="4">
        <v>6.3104653478180395E-2</v>
      </c>
      <c r="P32" s="4">
        <v>1.4686058789873799</v>
      </c>
      <c r="Q32" s="4">
        <v>0.18435757691976401</v>
      </c>
      <c r="R32" s="4">
        <f>+C32</f>
        <v>4</v>
      </c>
      <c r="S32" s="4">
        <f t="shared" si="0"/>
        <v>4.2592841624095434E-2</v>
      </c>
      <c r="T32" s="4">
        <f>+J32/I32</f>
        <v>-6.9135888658173021</v>
      </c>
      <c r="U32" s="4">
        <f t="shared" si="1"/>
        <v>-6.4227414556896836</v>
      </c>
    </row>
    <row r="33" spans="1:21" s="4" customFormat="1" x14ac:dyDescent="0.2">
      <c r="A33" s="4">
        <v>0.68148546598552695</v>
      </c>
      <c r="B33" s="4" t="s">
        <v>52</v>
      </c>
      <c r="C33" s="4">
        <v>4</v>
      </c>
      <c r="D33" s="4">
        <v>0.7</v>
      </c>
      <c r="E33" s="4" t="s">
        <v>143</v>
      </c>
      <c r="F33" s="4" t="s">
        <v>145</v>
      </c>
      <c r="G33" s="4">
        <v>-1.6835457150844E-4</v>
      </c>
      <c r="H33" s="4">
        <v>2.38113422500431E-6</v>
      </c>
      <c r="I33" s="4">
        <v>5.5307708534360503E-4</v>
      </c>
      <c r="J33" s="4">
        <v>-3.8237475791701898E-3</v>
      </c>
      <c r="K33" s="4">
        <v>4.0468116145300099</v>
      </c>
      <c r="L33" s="4">
        <v>9.9844316563698208E-15</v>
      </c>
      <c r="M33" s="4">
        <v>8.1554246174047999E-4</v>
      </c>
      <c r="N33" s="4">
        <v>3.88078302939341</v>
      </c>
      <c r="O33" s="4">
        <v>6.3507267614112795E-2</v>
      </c>
      <c r="P33" s="4">
        <v>1.4686052219763699</v>
      </c>
      <c r="Q33" s="4">
        <v>0.18570219898575899</v>
      </c>
      <c r="R33" s="4">
        <f>+C33</f>
        <v>4</v>
      </c>
      <c r="S33" s="4">
        <f t="shared" si="0"/>
        <v>4.2592841624095434E-2</v>
      </c>
      <c r="T33" s="4">
        <f>+J33/I33</f>
        <v>-6.9135888658172231</v>
      </c>
      <c r="U33" s="4">
        <f t="shared" si="1"/>
        <v>-6.4227414556896836</v>
      </c>
    </row>
    <row r="34" spans="1:21" s="4" customFormat="1" x14ac:dyDescent="0.2">
      <c r="A34" s="4">
        <v>0.68148546598552695</v>
      </c>
      <c r="B34" s="4" t="s">
        <v>52</v>
      </c>
      <c r="C34" s="4">
        <v>4</v>
      </c>
      <c r="D34" s="4">
        <v>0.7</v>
      </c>
      <c r="E34" s="4" t="s">
        <v>142</v>
      </c>
      <c r="F34" s="4" t="s">
        <v>144</v>
      </c>
      <c r="G34" s="4">
        <v>-1.6836938256480899E-4</v>
      </c>
      <c r="H34" s="4">
        <v>2.4428076888224898E-6</v>
      </c>
      <c r="I34" s="4">
        <v>5.5312610786821602E-4</v>
      </c>
      <c r="J34" s="4">
        <v>-3.8250093560612299E-3</v>
      </c>
      <c r="K34" s="4">
        <v>4.0482289188237699</v>
      </c>
      <c r="L34" s="4">
        <v>9.9851072839956901E-15</v>
      </c>
      <c r="M34" s="4">
        <v>8.3575921984817205E-4</v>
      </c>
      <c r="N34" s="4">
        <v>3.8812635011774002</v>
      </c>
      <c r="O34" s="4">
        <v>6.5170818879092401E-2</v>
      </c>
      <c r="P34" s="4">
        <v>1.4689984674754499</v>
      </c>
      <c r="Q34" s="4">
        <v>0.19052665925968701</v>
      </c>
      <c r="R34" s="4">
        <f>+C34</f>
        <v>4</v>
      </c>
      <c r="S34" s="4">
        <f t="shared" si="0"/>
        <v>4.2592841624095434E-2</v>
      </c>
      <c r="T34" s="4">
        <f>+J34/I34</f>
        <v>-6.9152573014552949</v>
      </c>
      <c r="U34" s="4">
        <f t="shared" si="1"/>
        <v>-6.4227414556896836</v>
      </c>
    </row>
    <row r="35" spans="1:21" s="4" customFormat="1" x14ac:dyDescent="0.2">
      <c r="A35" s="4">
        <v>0.68148546598552695</v>
      </c>
      <c r="B35" s="4" t="s">
        <v>52</v>
      </c>
      <c r="C35" s="4">
        <v>4</v>
      </c>
      <c r="D35" s="4">
        <v>0.7</v>
      </c>
      <c r="E35" s="4" t="s">
        <v>142</v>
      </c>
      <c r="F35" s="4" t="s">
        <v>143</v>
      </c>
      <c r="G35" s="4">
        <v>-1.6836938832320901E-4</v>
      </c>
      <c r="H35" s="4">
        <v>2.34615882344108E-6</v>
      </c>
      <c r="I35" s="4">
        <v>5.5312610786821504E-4</v>
      </c>
      <c r="J35" s="4">
        <v>-3.8250093560612199E-3</v>
      </c>
      <c r="K35" s="4">
        <v>4.0482289187913301</v>
      </c>
      <c r="L35" s="4">
        <v>9.9851417916466202E-15</v>
      </c>
      <c r="M35" s="4">
        <v>8.0373998008016496E-4</v>
      </c>
      <c r="N35" s="4">
        <v>3.88126369830551</v>
      </c>
      <c r="O35" s="4">
        <v>6.2575193733742193E-2</v>
      </c>
      <c r="P35" s="4">
        <v>1.4689980474650901</v>
      </c>
      <c r="Q35" s="4">
        <v>0.182997741503172</v>
      </c>
      <c r="R35" s="4">
        <f>+C35</f>
        <v>4</v>
      </c>
      <c r="S35" s="4">
        <f t="shared" si="0"/>
        <v>4.2592841624095434E-2</v>
      </c>
      <c r="T35" s="4">
        <f>+J35/I35</f>
        <v>-6.9152573014552887</v>
      </c>
      <c r="U35" s="4">
        <f t="shared" si="1"/>
        <v>-6.4227414556896836</v>
      </c>
    </row>
    <row r="36" spans="1:21" s="4" customFormat="1" x14ac:dyDescent="0.2">
      <c r="A36" s="4">
        <v>0.68148546598552695</v>
      </c>
      <c r="B36" s="4" t="s">
        <v>52</v>
      </c>
      <c r="C36" s="4">
        <v>4</v>
      </c>
      <c r="D36" s="4">
        <v>0.7</v>
      </c>
      <c r="E36" s="4" t="s">
        <v>142</v>
      </c>
      <c r="F36" s="4" t="s">
        <v>145</v>
      </c>
      <c r="G36" s="4">
        <v>-3.3672397940557702E-4</v>
      </c>
      <c r="H36" s="4">
        <v>4.6115339334248997E-6</v>
      </c>
      <c r="I36" s="4">
        <v>1.1062031932118101E-3</v>
      </c>
      <c r="J36" s="4">
        <v>-7.6487569352311404E-3</v>
      </c>
      <c r="K36" s="4">
        <v>4.0475202594877997</v>
      </c>
      <c r="L36" s="4">
        <v>9.9852064515910996E-15</v>
      </c>
      <c r="M36" s="4">
        <v>7.8944998540038402E-4</v>
      </c>
      <c r="N36" s="4">
        <v>3.8810237162755001</v>
      </c>
      <c r="O36" s="4">
        <v>6.1509082587979401E-2</v>
      </c>
      <c r="P36" s="4">
        <v>1.46880092830731</v>
      </c>
      <c r="Q36" s="4">
        <v>0.179828257774378</v>
      </c>
      <c r="R36" s="4">
        <f>+C36</f>
        <v>4</v>
      </c>
      <c r="S36" s="4">
        <f t="shared" si="0"/>
        <v>4.2592841624095434E-2</v>
      </c>
      <c r="T36" s="4">
        <f>+J36/I36</f>
        <v>-6.9144231206052895</v>
      </c>
      <c r="U36" s="4">
        <f t="shared" si="1"/>
        <v>-6.4227414556896836</v>
      </c>
    </row>
    <row r="37" spans="1:21" s="4" customFormat="1" x14ac:dyDescent="0.2">
      <c r="A37" s="4">
        <v>0.77884053255487995</v>
      </c>
      <c r="B37" s="4" t="s">
        <v>52</v>
      </c>
      <c r="C37" s="4">
        <v>4</v>
      </c>
      <c r="D37" s="4">
        <v>0.8</v>
      </c>
      <c r="E37" s="4" t="s">
        <v>152</v>
      </c>
      <c r="F37" s="4" t="s">
        <v>153</v>
      </c>
      <c r="G37" s="4">
        <v>-1.7963958035119499E-4</v>
      </c>
      <c r="H37" s="4">
        <v>3.7375158680257E-6</v>
      </c>
      <c r="I37" s="4">
        <v>5.5604032636308201E-4</v>
      </c>
      <c r="J37" s="4">
        <v>-3.9620502431944402E-3</v>
      </c>
      <c r="K37" s="4">
        <v>4.0536673272744697</v>
      </c>
      <c r="L37" s="4">
        <v>9.35291715841449E-15</v>
      </c>
      <c r="M37" s="4">
        <v>2.9395636059527802E-3</v>
      </c>
      <c r="N37" s="4">
        <v>4.3503303529343897</v>
      </c>
      <c r="O37" s="4">
        <v>8.37077833067216E-2</v>
      </c>
      <c r="P37" s="4">
        <v>0.62766627325750102</v>
      </c>
      <c r="Q37" s="4">
        <v>0.38265032225930101</v>
      </c>
      <c r="R37" s="4">
        <f>+C37</f>
        <v>4</v>
      </c>
      <c r="S37" s="4">
        <f t="shared" si="0"/>
        <v>4.8677533284679997E-2</v>
      </c>
      <c r="T37" s="4">
        <f>+J37/I37</f>
        <v>-7.125472839549607</v>
      </c>
      <c r="U37" s="4">
        <f t="shared" si="1"/>
        <v>-6.5711471636652465</v>
      </c>
    </row>
    <row r="38" spans="1:21" s="4" customFormat="1" x14ac:dyDescent="0.2">
      <c r="A38" s="4">
        <v>0.77884053255487995</v>
      </c>
      <c r="B38" s="4" t="s">
        <v>52</v>
      </c>
      <c r="C38" s="4">
        <v>4</v>
      </c>
      <c r="D38" s="4">
        <v>0.8</v>
      </c>
      <c r="E38" s="4" t="s">
        <v>151</v>
      </c>
      <c r="F38" s="4" t="s">
        <v>153</v>
      </c>
      <c r="G38" s="4">
        <v>-1.7963958039246E-4</v>
      </c>
      <c r="H38" s="4">
        <v>3.75640349312515E-6</v>
      </c>
      <c r="I38" s="4">
        <v>5.5604032636307702E-4</v>
      </c>
      <c r="J38" s="4">
        <v>-3.9620502431943396E-3</v>
      </c>
      <c r="K38" s="4">
        <v>4.0536673273369503</v>
      </c>
      <c r="L38" s="4">
        <v>9.35292432819398E-15</v>
      </c>
      <c r="M38" s="4">
        <v>2.9545517970590699E-3</v>
      </c>
      <c r="N38" s="4">
        <v>4.3503303542213496</v>
      </c>
      <c r="O38" s="4">
        <v>8.4123680301218307E-2</v>
      </c>
      <c r="P38" s="4">
        <v>0.62766626949797399</v>
      </c>
      <c r="Q38" s="4">
        <v>0.38456739217125302</v>
      </c>
      <c r="R38" s="4">
        <f>+C38</f>
        <v>4</v>
      </c>
      <c r="S38" s="4">
        <f t="shared" si="0"/>
        <v>4.8677533284679997E-2</v>
      </c>
      <c r="T38" s="4">
        <f>+J38/I38</f>
        <v>-7.1254728395494897</v>
      </c>
      <c r="U38" s="4">
        <f t="shared" si="1"/>
        <v>-6.5711471636652465</v>
      </c>
    </row>
    <row r="39" spans="1:21" s="4" customFormat="1" x14ac:dyDescent="0.2">
      <c r="A39" s="4">
        <v>0.77884053255487995</v>
      </c>
      <c r="B39" s="4" t="s">
        <v>52</v>
      </c>
      <c r="C39" s="4">
        <v>4</v>
      </c>
      <c r="D39" s="4">
        <v>0.8</v>
      </c>
      <c r="E39" s="4" t="s">
        <v>150</v>
      </c>
      <c r="F39" s="4" t="s">
        <v>152</v>
      </c>
      <c r="G39" s="4">
        <v>-1.79657064369678E-4</v>
      </c>
      <c r="H39" s="4">
        <v>3.7518877285810701E-6</v>
      </c>
      <c r="I39" s="4">
        <v>5.5609622091489202E-4</v>
      </c>
      <c r="J39" s="4">
        <v>-3.9634883669357503E-3</v>
      </c>
      <c r="K39" s="4">
        <v>4.0551334265925796</v>
      </c>
      <c r="L39" s="4">
        <v>9.3530065173587903E-15</v>
      </c>
      <c r="M39" s="4">
        <v>2.9540347898510799E-3</v>
      </c>
      <c r="N39" s="4">
        <v>4.35088470795771</v>
      </c>
      <c r="O39" s="4">
        <v>8.4001607065264702E-2</v>
      </c>
      <c r="P39" s="4">
        <v>0.627904291464774</v>
      </c>
      <c r="Q39" s="4">
        <v>0.38415139564328898</v>
      </c>
      <c r="R39" s="4">
        <f>+C39</f>
        <v>4</v>
      </c>
      <c r="S39" s="4">
        <f t="shared" si="0"/>
        <v>4.8677533284679997E-2</v>
      </c>
      <c r="T39" s="4">
        <f>+J39/I39</f>
        <v>-7.1273427472947057</v>
      </c>
      <c r="U39" s="4">
        <f t="shared" si="1"/>
        <v>-6.5711471636652465</v>
      </c>
    </row>
    <row r="40" spans="1:21" s="4" customFormat="1" x14ac:dyDescent="0.2">
      <c r="A40" s="4">
        <v>0.77884053255487995</v>
      </c>
      <c r="B40" s="4" t="s">
        <v>52</v>
      </c>
      <c r="C40" s="4">
        <v>4</v>
      </c>
      <c r="D40" s="4">
        <v>0.8</v>
      </c>
      <c r="E40" s="4" t="s">
        <v>150</v>
      </c>
      <c r="F40" s="4" t="s">
        <v>151</v>
      </c>
      <c r="G40" s="4">
        <v>-1.79657064479113E-4</v>
      </c>
      <c r="H40" s="4">
        <v>3.8237632355178601E-6</v>
      </c>
      <c r="I40" s="4">
        <v>5.5609622091489397E-4</v>
      </c>
      <c r="J40" s="4">
        <v>-3.9634883669357798E-3</v>
      </c>
      <c r="K40" s="4">
        <v>4.0551334266550603</v>
      </c>
      <c r="L40" s="4">
        <v>9.3536434708342295E-15</v>
      </c>
      <c r="M40" s="4">
        <v>3.0116511935871599E-3</v>
      </c>
      <c r="N40" s="4">
        <v>4.3508847135679396</v>
      </c>
      <c r="O40" s="4">
        <v>8.5512265769178294E-2</v>
      </c>
      <c r="P40" s="4">
        <v>0.62790427901937496</v>
      </c>
      <c r="Q40" s="4">
        <v>0.39155385801006098</v>
      </c>
      <c r="R40" s="4">
        <f>+C40</f>
        <v>4</v>
      </c>
      <c r="S40" s="4">
        <f t="shared" si="0"/>
        <v>4.8677533284679997E-2</v>
      </c>
      <c r="T40" s="4">
        <f>+J40/I40</f>
        <v>-7.1273427472947342</v>
      </c>
      <c r="U40" s="4">
        <f t="shared" si="1"/>
        <v>-6.5711471636652465</v>
      </c>
    </row>
    <row r="41" spans="1:21" s="4" customFormat="1" x14ac:dyDescent="0.2">
      <c r="A41" s="4">
        <v>0.77884053255487995</v>
      </c>
      <c r="B41" s="4" t="s">
        <v>52</v>
      </c>
      <c r="C41" s="4">
        <v>4</v>
      </c>
      <c r="D41" s="4">
        <v>0.8</v>
      </c>
      <c r="E41" s="4" t="s">
        <v>150</v>
      </c>
      <c r="F41" s="4" t="s">
        <v>153</v>
      </c>
      <c r="G41" s="4">
        <v>-3.3007813326817902E-4</v>
      </c>
      <c r="H41" s="4">
        <v>8.3473594983260901E-6</v>
      </c>
      <c r="I41" s="4">
        <v>1.11213654727797E-3</v>
      </c>
      <c r="J41" s="4">
        <v>-7.9255386101301107E-3</v>
      </c>
      <c r="K41" s="4">
        <v>4.0544003774868402</v>
      </c>
      <c r="L41" s="4">
        <v>9.9998632485744299E-15</v>
      </c>
      <c r="M41" s="4">
        <v>9.5157296591689598E-4</v>
      </c>
      <c r="N41" s="4">
        <v>3.8025509674849598</v>
      </c>
      <c r="O41" s="4">
        <v>0.111502322876822</v>
      </c>
      <c r="P41" s="4">
        <v>1.82220442498033</v>
      </c>
      <c r="Q41" s="4">
        <v>0.30486980061757002</v>
      </c>
      <c r="R41" s="4">
        <f>+C41</f>
        <v>4</v>
      </c>
      <c r="S41" s="4">
        <f t="shared" si="0"/>
        <v>4.8677533284679997E-2</v>
      </c>
      <c r="T41" s="4">
        <f>+J41/I41</f>
        <v>-7.1264078404116891</v>
      </c>
      <c r="U41" s="4">
        <f t="shared" si="1"/>
        <v>-6.5711471636652465</v>
      </c>
    </row>
    <row r="42" spans="1:21" s="4" customFormat="1" x14ac:dyDescent="0.2">
      <c r="A42" s="4">
        <v>0.97355066569361104</v>
      </c>
      <c r="B42" s="4" t="s">
        <v>52</v>
      </c>
      <c r="C42" s="4">
        <v>4</v>
      </c>
      <c r="D42" s="4">
        <v>1</v>
      </c>
      <c r="E42" s="4" t="s">
        <v>159</v>
      </c>
      <c r="F42" s="4" t="s">
        <v>161</v>
      </c>
      <c r="G42" s="4">
        <v>-1.8141011877331401E-4</v>
      </c>
      <c r="H42" s="4">
        <v>5.3406225118795897E-6</v>
      </c>
      <c r="I42" s="4">
        <v>5.6193925162413701E-4</v>
      </c>
      <c r="J42" s="4">
        <v>-4.2367632407225497E-3</v>
      </c>
      <c r="K42" s="4">
        <v>4.0673251662037897</v>
      </c>
      <c r="L42" s="4">
        <v>9.4894905084090894E-15</v>
      </c>
      <c r="M42" s="4">
        <v>4.1282621285600703E-3</v>
      </c>
      <c r="N42" s="4">
        <v>4.4710749767275102</v>
      </c>
      <c r="O42" s="4">
        <v>0.12191908941506401</v>
      </c>
      <c r="P42" s="4">
        <v>0.68293008320585302</v>
      </c>
      <c r="Q42" s="4">
        <v>0.57125035240780397</v>
      </c>
      <c r="R42" s="4">
        <f>+C42</f>
        <v>4</v>
      </c>
      <c r="S42" s="4">
        <f t="shared" si="0"/>
        <v>6.084691660585069E-2</v>
      </c>
      <c r="T42" s="4">
        <f>+J42/I42</f>
        <v>-7.5395396005481095</v>
      </c>
      <c r="U42" s="4">
        <f t="shared" si="1"/>
        <v>-6.8628513226150449</v>
      </c>
    </row>
    <row r="43" spans="1:21" s="4" customFormat="1" x14ac:dyDescent="0.2">
      <c r="A43" s="4">
        <v>0.97355066569361104</v>
      </c>
      <c r="B43" s="4" t="s">
        <v>52</v>
      </c>
      <c r="C43" s="4">
        <v>4</v>
      </c>
      <c r="D43" s="4">
        <v>1</v>
      </c>
      <c r="E43" s="4" t="s">
        <v>160</v>
      </c>
      <c r="F43" s="4" t="s">
        <v>161</v>
      </c>
      <c r="G43" s="4">
        <v>-1.81410119158706E-4</v>
      </c>
      <c r="H43" s="4">
        <v>5.2539903575635103E-6</v>
      </c>
      <c r="I43" s="4">
        <v>5.6193925162414699E-4</v>
      </c>
      <c r="J43" s="4">
        <v>-4.2367632407229096E-3</v>
      </c>
      <c r="K43" s="4">
        <v>4.0673251663299199</v>
      </c>
      <c r="L43" s="4">
        <v>9.4889191280320095E-15</v>
      </c>
      <c r="M43" s="4">
        <v>4.0680414233701702E-3</v>
      </c>
      <c r="N43" s="4">
        <v>4.4710749929879103</v>
      </c>
      <c r="O43" s="4">
        <v>0.119767374621031</v>
      </c>
      <c r="P43" s="4">
        <v>0.68293004565889504</v>
      </c>
      <c r="Q43" s="4">
        <v>0.56202296403730001</v>
      </c>
      <c r="R43" s="4">
        <f>+C43</f>
        <v>4</v>
      </c>
      <c r="S43" s="4">
        <f t="shared" si="0"/>
        <v>6.084691660585069E-2</v>
      </c>
      <c r="T43" s="4">
        <f>+J43/I43</f>
        <v>-7.5395396005486166</v>
      </c>
      <c r="U43" s="4">
        <f t="shared" si="1"/>
        <v>-6.8628513226150449</v>
      </c>
    </row>
    <row r="44" spans="1:21" s="4" customFormat="1" x14ac:dyDescent="0.2">
      <c r="A44" s="4">
        <v>0.97355066569361104</v>
      </c>
      <c r="B44" s="4" t="s">
        <v>52</v>
      </c>
      <c r="C44" s="4">
        <v>4</v>
      </c>
      <c r="D44" s="4">
        <v>1</v>
      </c>
      <c r="E44" s="4" t="s">
        <v>158</v>
      </c>
      <c r="F44" s="4" t="s">
        <v>160</v>
      </c>
      <c r="G44" s="4">
        <v>-1.8143196692121699E-4</v>
      </c>
      <c r="H44" s="4">
        <v>5.3529039837540903E-6</v>
      </c>
      <c r="I44" s="4">
        <v>5.6200889555699696E-4</v>
      </c>
      <c r="J44" s="4">
        <v>-4.2385669963030601E-3</v>
      </c>
      <c r="K44" s="4">
        <v>4.0688876864219301</v>
      </c>
      <c r="L44" s="4">
        <v>9.4903839716114893E-15</v>
      </c>
      <c r="M44" s="4">
        <v>4.1424867322579998E-3</v>
      </c>
      <c r="N44" s="4">
        <v>4.4717324300829597</v>
      </c>
      <c r="O44" s="4">
        <v>0.122068230155137</v>
      </c>
      <c r="P44" s="4">
        <v>0.68322579671905703</v>
      </c>
      <c r="Q44" s="4">
        <v>0.57268174332232702</v>
      </c>
      <c r="R44" s="4">
        <f>+C44</f>
        <v>4</v>
      </c>
      <c r="S44" s="4">
        <f t="shared" si="0"/>
        <v>6.084691660585069E-2</v>
      </c>
      <c r="T44" s="4">
        <f>+J44/I44</f>
        <v>-7.5418147823128177</v>
      </c>
      <c r="U44" s="4">
        <f t="shared" si="1"/>
        <v>-6.8628513226150449</v>
      </c>
    </row>
    <row r="45" spans="1:21" s="4" customFormat="1" x14ac:dyDescent="0.2">
      <c r="A45" s="4">
        <v>0.97355066569361104</v>
      </c>
      <c r="B45" s="4" t="s">
        <v>52</v>
      </c>
      <c r="C45" s="4">
        <v>4</v>
      </c>
      <c r="D45" s="4">
        <v>1</v>
      </c>
      <c r="E45" s="4" t="s">
        <v>158</v>
      </c>
      <c r="F45" s="4" t="s">
        <v>159</v>
      </c>
      <c r="G45" s="4">
        <v>-1.8143196957150399E-4</v>
      </c>
      <c r="H45" s="4">
        <v>5.2568031856763501E-6</v>
      </c>
      <c r="I45" s="4">
        <v>5.6200889555699902E-4</v>
      </c>
      <c r="J45" s="4">
        <v>-4.2385669963031503E-3</v>
      </c>
      <c r="K45" s="4">
        <v>4.0688876862957999</v>
      </c>
      <c r="L45" s="4">
        <v>9.4904388093188698E-15</v>
      </c>
      <c r="M45" s="4">
        <v>4.0626546830757797E-3</v>
      </c>
      <c r="N45" s="4">
        <v>4.4717325517737203</v>
      </c>
      <c r="O45" s="4">
        <v>0.120040616747134</v>
      </c>
      <c r="P45" s="4">
        <v>0.68322552875197495</v>
      </c>
      <c r="Q45" s="4">
        <v>0.56239354161966804</v>
      </c>
      <c r="R45" s="4">
        <f>+C45</f>
        <v>4</v>
      </c>
      <c r="S45" s="4">
        <f t="shared" si="0"/>
        <v>6.084691660585069E-2</v>
      </c>
      <c r="T45" s="4">
        <f>+J45/I45</f>
        <v>-7.5418147823129509</v>
      </c>
      <c r="U45" s="4">
        <f t="shared" si="1"/>
        <v>-6.8628513226150449</v>
      </c>
    </row>
    <row r="46" spans="1:21" s="4" customFormat="1" x14ac:dyDescent="0.2">
      <c r="A46" s="4">
        <v>0.97355066569361104</v>
      </c>
      <c r="B46" s="4" t="s">
        <v>52</v>
      </c>
      <c r="C46" s="4">
        <v>4</v>
      </c>
      <c r="D46" s="4">
        <v>1</v>
      </c>
      <c r="E46" s="4" t="s">
        <v>158</v>
      </c>
      <c r="F46" s="4" t="s">
        <v>161</v>
      </c>
      <c r="G46" s="4">
        <v>-3.3187432244583199E-4</v>
      </c>
      <c r="H46" s="4">
        <v>1.8304838965399702E-5</v>
      </c>
      <c r="I46" s="4">
        <v>1.1239481471811399E-3</v>
      </c>
      <c r="J46" s="4">
        <v>-8.4753302370261501E-3</v>
      </c>
      <c r="K46" s="4">
        <v>4.06810644255693</v>
      </c>
      <c r="L46" s="4">
        <v>9.9999930228699593E-15</v>
      </c>
      <c r="M46" s="4">
        <v>1.8746173965595199E-3</v>
      </c>
      <c r="N46" s="4">
        <v>3.8889787887412299</v>
      </c>
      <c r="O46" s="4">
        <v>0.248165669389978</v>
      </c>
      <c r="P46" s="4">
        <v>1.9999974510369201</v>
      </c>
      <c r="Q46" s="4">
        <v>0.68923100501892598</v>
      </c>
      <c r="R46" s="4">
        <f>+C46</f>
        <v>4</v>
      </c>
      <c r="S46" s="4">
        <f t="shared" si="0"/>
        <v>6.084691660585069E-2</v>
      </c>
      <c r="T46" s="4">
        <f>+J46/I46</f>
        <v>-7.5406772619201909</v>
      </c>
      <c r="U46" s="4">
        <f t="shared" si="1"/>
        <v>-6.8628513226150449</v>
      </c>
    </row>
    <row r="47" spans="1:21" s="4" customFormat="1" x14ac:dyDescent="0.2">
      <c r="A47" s="4">
        <v>9.7355066569360001E-3</v>
      </c>
      <c r="B47" s="4" t="s">
        <v>52</v>
      </c>
      <c r="C47" s="4">
        <v>2</v>
      </c>
      <c r="D47" s="4">
        <v>0.01</v>
      </c>
      <c r="E47" s="4" t="s">
        <v>60</v>
      </c>
      <c r="F47" s="4" t="s">
        <v>61</v>
      </c>
      <c r="G47" s="4">
        <v>-4.4461663481082703E-5</v>
      </c>
      <c r="H47" s="4">
        <v>4.1307582813435002E-9</v>
      </c>
      <c r="I47" s="4">
        <v>1.3346464938724899E-4</v>
      </c>
      <c r="J47" s="4">
        <v>-1.81985087096057E-4</v>
      </c>
      <c r="K47" s="4">
        <v>2.0019618136616799</v>
      </c>
      <c r="L47" s="4">
        <v>2.7877561863114402E-16</v>
      </c>
      <c r="M47" s="4">
        <v>6.7419636904638897E-6</v>
      </c>
      <c r="N47" s="4">
        <v>2.0196386782677598</v>
      </c>
      <c r="O47" s="4">
        <v>4.2415007773955799E-4</v>
      </c>
      <c r="P47" s="4">
        <v>2.4440010513257799E-3</v>
      </c>
      <c r="Q47" s="4">
        <v>3.7880888351885298E-4</v>
      </c>
      <c r="R47" s="4">
        <f>+C47</f>
        <v>2</v>
      </c>
      <c r="S47" s="4">
        <f t="shared" si="0"/>
        <v>2.433876664234E-3</v>
      </c>
      <c r="T47" s="4">
        <f>+J47/I47</f>
        <v>-1.3635452378706325</v>
      </c>
      <c r="U47" s="4">
        <f t="shared" si="1"/>
        <v>-1.3495197819420146</v>
      </c>
    </row>
    <row r="48" spans="1:21" s="4" customFormat="1" x14ac:dyDescent="0.2">
      <c r="A48" s="4">
        <v>9.7355066569360001E-3</v>
      </c>
      <c r="B48" s="4" t="s">
        <v>52</v>
      </c>
      <c r="C48" s="4">
        <v>2</v>
      </c>
      <c r="D48" s="4">
        <v>0.01</v>
      </c>
      <c r="E48" s="4" t="s">
        <v>59</v>
      </c>
      <c r="F48" s="4" t="s">
        <v>61</v>
      </c>
      <c r="G48" s="4">
        <v>-4.44616635192763E-5</v>
      </c>
      <c r="H48" s="4">
        <v>4.1229364083466299E-9</v>
      </c>
      <c r="I48" s="4">
        <v>1.3346464938724899E-4</v>
      </c>
      <c r="J48" s="4">
        <v>-1.8198508709608101E-4</v>
      </c>
      <c r="K48" s="4">
        <v>2.0019618136611501</v>
      </c>
      <c r="L48" s="4">
        <v>2.9316835870189599E-16</v>
      </c>
      <c r="M48" s="4">
        <v>6.9527127300912498E-6</v>
      </c>
      <c r="N48" s="4">
        <v>2.0196386823107799</v>
      </c>
      <c r="O48" s="4">
        <v>4.2370780885973402E-4</v>
      </c>
      <c r="P48" s="4">
        <v>2.4439976266303299E-3</v>
      </c>
      <c r="Q48" s="4">
        <v>3.78088478479603E-4</v>
      </c>
      <c r="R48" s="4">
        <f>+C48</f>
        <v>2</v>
      </c>
      <c r="S48" s="4">
        <f t="shared" si="0"/>
        <v>2.433876664234E-3</v>
      </c>
      <c r="T48" s="4">
        <f>+J48/I48</f>
        <v>-1.3635452378708124</v>
      </c>
      <c r="U48" s="4">
        <f t="shared" si="1"/>
        <v>-1.3495197819420146</v>
      </c>
    </row>
    <row r="49" spans="1:21" s="4" customFormat="1" x14ac:dyDescent="0.2">
      <c r="A49" s="4">
        <v>9.7355066569360001E-3</v>
      </c>
      <c r="B49" s="4" t="s">
        <v>52</v>
      </c>
      <c r="C49" s="4">
        <v>2</v>
      </c>
      <c r="D49" s="4">
        <v>0.01</v>
      </c>
      <c r="E49" s="4" t="s">
        <v>58</v>
      </c>
      <c r="F49" s="4" t="s">
        <v>59</v>
      </c>
      <c r="G49" s="4">
        <v>-4.4461814984844598E-5</v>
      </c>
      <c r="H49" s="4">
        <v>4.1454468377244902E-9</v>
      </c>
      <c r="I49" s="4">
        <v>1.3346483770637299E-4</v>
      </c>
      <c r="J49" s="4">
        <v>-1.8198669406077999E-4</v>
      </c>
      <c r="K49" s="4">
        <v>2.0020981646809801</v>
      </c>
      <c r="L49" s="4">
        <v>2.9727627002191801E-16</v>
      </c>
      <c r="M49" s="4">
        <v>6.8406033270292202E-6</v>
      </c>
      <c r="N49" s="4">
        <v>2.0196558439232901</v>
      </c>
      <c r="O49" s="4">
        <v>4.2334885972838298E-4</v>
      </c>
      <c r="P49" s="4">
        <v>2.4358486859507198E-3</v>
      </c>
      <c r="Q49" s="4">
        <v>3.80156648056652E-4</v>
      </c>
      <c r="R49" s="4">
        <f>+C49</f>
        <v>2</v>
      </c>
      <c r="S49" s="4">
        <f t="shared" si="0"/>
        <v>2.433876664234E-3</v>
      </c>
      <c r="T49" s="4">
        <f>+J49/I49</f>
        <v>-1.3635553542660928</v>
      </c>
      <c r="U49" s="4">
        <f t="shared" si="1"/>
        <v>-1.3495197819420146</v>
      </c>
    </row>
    <row r="50" spans="1:21" s="4" customFormat="1" x14ac:dyDescent="0.2">
      <c r="A50" s="4">
        <v>9.7355066569360001E-3</v>
      </c>
      <c r="B50" s="4" t="s">
        <v>52</v>
      </c>
      <c r="C50" s="4">
        <v>2</v>
      </c>
      <c r="D50" s="4">
        <v>0.01</v>
      </c>
      <c r="E50" s="4" t="s">
        <v>58</v>
      </c>
      <c r="F50" s="4" t="s">
        <v>60</v>
      </c>
      <c r="G50" s="4">
        <v>-4.44618150130115E-5</v>
      </c>
      <c r="H50" s="4">
        <v>4.0970391129322197E-9</v>
      </c>
      <c r="I50" s="4">
        <v>1.33464837706369E-4</v>
      </c>
      <c r="J50" s="4">
        <v>-1.8198669406059199E-4</v>
      </c>
      <c r="K50" s="4">
        <v>2.0020981646815099</v>
      </c>
      <c r="L50" s="4">
        <v>3.0257131682031598E-16</v>
      </c>
      <c r="M50" s="4">
        <v>6.9003575420826903E-6</v>
      </c>
      <c r="N50" s="4">
        <v>2.0196558469060699</v>
      </c>
      <c r="O50" s="4">
        <v>4.2205895948420601E-4</v>
      </c>
      <c r="P50" s="4">
        <v>2.4358461389443302E-3</v>
      </c>
      <c r="Q50" s="4">
        <v>3.7571662999961601E-4</v>
      </c>
      <c r="R50" s="4">
        <f>+C50</f>
        <v>2</v>
      </c>
      <c r="S50" s="4">
        <f t="shared" si="0"/>
        <v>2.433876664234E-3</v>
      </c>
      <c r="T50" s="4">
        <f>+J50/I50</f>
        <v>-1.3635553542647247</v>
      </c>
      <c r="U50" s="4">
        <f t="shared" si="1"/>
        <v>-1.3495197819420146</v>
      </c>
    </row>
    <row r="51" spans="1:21" s="4" customFormat="1" x14ac:dyDescent="0.2">
      <c r="A51" s="4">
        <v>9.7355066569360001E-3</v>
      </c>
      <c r="B51" s="4" t="s">
        <v>52</v>
      </c>
      <c r="C51" s="4">
        <v>2</v>
      </c>
      <c r="D51" s="4">
        <v>0.01</v>
      </c>
      <c r="E51" s="4" t="s">
        <v>58</v>
      </c>
      <c r="F51" s="4" t="s">
        <v>61</v>
      </c>
      <c r="G51" s="4">
        <v>-8.8923478670599606E-5</v>
      </c>
      <c r="H51" s="4">
        <v>8.2765400401669501E-9</v>
      </c>
      <c r="I51" s="4">
        <v>2.6692948709362201E-4</v>
      </c>
      <c r="J51" s="4">
        <v>-3.6397178115689897E-4</v>
      </c>
      <c r="K51" s="4">
        <v>2.0020299871499101</v>
      </c>
      <c r="L51" s="4">
        <v>2.8313993541818198E-16</v>
      </c>
      <c r="M51" s="4">
        <v>6.87171478300357E-6</v>
      </c>
      <c r="N51" s="4">
        <v>2.0196472720317602</v>
      </c>
      <c r="O51" s="4">
        <v>4.2360578927641898E-4</v>
      </c>
      <c r="P51" s="4">
        <v>2.4399156224989898E-3</v>
      </c>
      <c r="Q51" s="4">
        <v>3.7950522500825701E-4</v>
      </c>
      <c r="R51" s="4">
        <f>+C51</f>
        <v>2</v>
      </c>
      <c r="S51" s="4">
        <f t="shared" si="0"/>
        <v>2.433876664234E-3</v>
      </c>
      <c r="T51" s="4">
        <f>+J51/I51</f>
        <v>-1.3635502960721633</v>
      </c>
      <c r="U51" s="4">
        <f t="shared" si="1"/>
        <v>-1.3495197819420146</v>
      </c>
    </row>
    <row r="52" spans="1:21" s="4" customFormat="1" x14ac:dyDescent="0.2">
      <c r="A52" s="4">
        <v>9.7355066569360105E-2</v>
      </c>
      <c r="B52" s="4" t="s">
        <v>52</v>
      </c>
      <c r="C52" s="4">
        <v>2</v>
      </c>
      <c r="D52" s="4">
        <v>0.1</v>
      </c>
      <c r="E52" s="4" t="s">
        <v>68</v>
      </c>
      <c r="F52" s="4" t="s">
        <v>69</v>
      </c>
      <c r="G52" s="4">
        <v>-4.5373901658172002E-5</v>
      </c>
      <c r="H52" s="4">
        <v>3.62439988107521E-8</v>
      </c>
      <c r="I52" s="4">
        <v>1.3636281641223299E-4</v>
      </c>
      <c r="J52" s="4">
        <v>-2.1944488935737901E-4</v>
      </c>
      <c r="K52" s="4">
        <v>2.0213932919513899</v>
      </c>
      <c r="L52" s="4">
        <v>8.5511291974395101E-16</v>
      </c>
      <c r="M52" s="4">
        <v>8.1697590734276898E-5</v>
      </c>
      <c r="N52" s="4">
        <v>2.1880190144377001</v>
      </c>
      <c r="O52" s="4">
        <v>3.68709650978267E-3</v>
      </c>
      <c r="P52" s="4">
        <v>8.5230996174043405E-3</v>
      </c>
      <c r="Q52" s="4">
        <v>3.8116182634180601E-3</v>
      </c>
      <c r="R52" s="4">
        <f>+C52</f>
        <v>2</v>
      </c>
      <c r="S52" s="4">
        <f t="shared" si="0"/>
        <v>2.4338766642340026E-2</v>
      </c>
      <c r="T52" s="4">
        <f>+J52/I52</f>
        <v>-1.6092721984707614</v>
      </c>
      <c r="U52" s="4">
        <f t="shared" si="1"/>
        <v>-1.4917364413345375</v>
      </c>
    </row>
    <row r="53" spans="1:21" s="4" customFormat="1" x14ac:dyDescent="0.2">
      <c r="A53" s="4">
        <v>9.7355066569360105E-2</v>
      </c>
      <c r="B53" s="4" t="s">
        <v>52</v>
      </c>
      <c r="C53" s="4">
        <v>2</v>
      </c>
      <c r="D53" s="4">
        <v>0.1</v>
      </c>
      <c r="E53" s="4" t="s">
        <v>67</v>
      </c>
      <c r="F53" s="4" t="s">
        <v>69</v>
      </c>
      <c r="G53" s="4">
        <v>-4.5373901700551303E-5</v>
      </c>
      <c r="H53" s="4">
        <v>3.6466081974895502E-8</v>
      </c>
      <c r="I53" s="4">
        <v>1.3636281641223901E-4</v>
      </c>
      <c r="J53" s="4">
        <v>-2.1944488935746599E-4</v>
      </c>
      <c r="K53" s="4">
        <v>2.0213932919509299</v>
      </c>
      <c r="L53" s="4">
        <v>8.6463671362013701E-16</v>
      </c>
      <c r="M53" s="4">
        <v>8.0736295899647904E-5</v>
      </c>
      <c r="N53" s="4">
        <v>2.1880190193442202</v>
      </c>
      <c r="O53" s="4">
        <v>3.69537684284883E-3</v>
      </c>
      <c r="P53" s="4">
        <v>8.5230951266221603E-3</v>
      </c>
      <c r="Q53" s="4">
        <v>3.8349584347315202E-3</v>
      </c>
      <c r="R53" s="4">
        <f>+C53</f>
        <v>2</v>
      </c>
      <c r="S53" s="4">
        <f t="shared" si="0"/>
        <v>2.4338766642340026E-2</v>
      </c>
      <c r="T53" s="4">
        <f>+J53/I53</f>
        <v>-1.6092721984713283</v>
      </c>
      <c r="U53" s="4">
        <f t="shared" si="1"/>
        <v>-1.4917364413345375</v>
      </c>
    </row>
    <row r="54" spans="1:21" s="4" customFormat="1" x14ac:dyDescent="0.2">
      <c r="A54" s="4">
        <v>9.7355066569360105E-2</v>
      </c>
      <c r="B54" s="4" t="s">
        <v>52</v>
      </c>
      <c r="C54" s="4">
        <v>2</v>
      </c>
      <c r="D54" s="4">
        <v>0.1</v>
      </c>
      <c r="E54" s="4" t="s">
        <v>66</v>
      </c>
      <c r="F54" s="4" t="s">
        <v>68</v>
      </c>
      <c r="G54" s="4">
        <v>-4.5374517736020603E-5</v>
      </c>
      <c r="H54" s="4">
        <v>3.6832988229308302E-8</v>
      </c>
      <c r="I54" s="4">
        <v>1.3636457311751599E-4</v>
      </c>
      <c r="J54" s="4">
        <v>-2.1945580449754101E-4</v>
      </c>
      <c r="K54" s="4">
        <v>2.0215561312496102</v>
      </c>
      <c r="L54" s="4">
        <v>8.6783252083921496E-16</v>
      </c>
      <c r="M54" s="4">
        <v>8.2424642354562102E-5</v>
      </c>
      <c r="N54" s="4">
        <v>2.1880629707194301</v>
      </c>
      <c r="O54" s="4">
        <v>3.7016516152336E-3</v>
      </c>
      <c r="P54" s="4">
        <v>8.5200671467139805E-3</v>
      </c>
      <c r="Q54" s="4">
        <v>3.8740238405332301E-3</v>
      </c>
      <c r="R54" s="4">
        <f>+C54</f>
        <v>2</v>
      </c>
      <c r="S54" s="4">
        <f t="shared" si="0"/>
        <v>2.4338766642340026E-2</v>
      </c>
      <c r="T54" s="4">
        <f>+J54/I54</f>
        <v>-1.6093315109666997</v>
      </c>
      <c r="U54" s="4">
        <f t="shared" si="1"/>
        <v>-1.4917364413345375</v>
      </c>
    </row>
    <row r="55" spans="1:21" s="4" customFormat="1" x14ac:dyDescent="0.2">
      <c r="A55" s="4">
        <v>9.7355066569360105E-2</v>
      </c>
      <c r="B55" s="4" t="s">
        <v>52</v>
      </c>
      <c r="C55" s="4">
        <v>2</v>
      </c>
      <c r="D55" s="4">
        <v>0.1</v>
      </c>
      <c r="E55" s="4" t="s">
        <v>66</v>
      </c>
      <c r="F55" s="4" t="s">
        <v>67</v>
      </c>
      <c r="G55" s="4">
        <v>-4.5374517848367597E-5</v>
      </c>
      <c r="H55" s="4">
        <v>3.6572591918231603E-8</v>
      </c>
      <c r="I55" s="4">
        <v>1.36364573117508E-4</v>
      </c>
      <c r="J55" s="4">
        <v>-2.1945580449732799E-4</v>
      </c>
      <c r="K55" s="4">
        <v>2.0215561312491501</v>
      </c>
      <c r="L55" s="4">
        <v>8.6062894836802096E-16</v>
      </c>
      <c r="M55" s="4">
        <v>8.1040616382133495E-5</v>
      </c>
      <c r="N55" s="4">
        <v>2.1880629832160001</v>
      </c>
      <c r="O55" s="4">
        <v>3.6970824567609099E-3</v>
      </c>
      <c r="P55" s="4">
        <v>8.52005548058332E-3</v>
      </c>
      <c r="Q55" s="4">
        <v>3.8463860884418999E-3</v>
      </c>
      <c r="R55" s="4">
        <f>+C55</f>
        <v>2</v>
      </c>
      <c r="S55" s="4">
        <f t="shared" si="0"/>
        <v>2.4338766642340026E-2</v>
      </c>
      <c r="T55" s="4">
        <f>+J55/I55</f>
        <v>-1.609331510965232</v>
      </c>
      <c r="U55" s="4">
        <f t="shared" si="1"/>
        <v>-1.4917364413345375</v>
      </c>
    </row>
    <row r="56" spans="1:21" s="4" customFormat="1" x14ac:dyDescent="0.2">
      <c r="A56" s="4">
        <v>9.7355066569360105E-2</v>
      </c>
      <c r="B56" s="4" t="s">
        <v>52</v>
      </c>
      <c r="C56" s="4">
        <v>2</v>
      </c>
      <c r="D56" s="4">
        <v>0.1</v>
      </c>
      <c r="E56" s="4" t="s">
        <v>66</v>
      </c>
      <c r="F56" s="4" t="s">
        <v>69</v>
      </c>
      <c r="G56" s="4">
        <v>-9.0748419134262202E-5</v>
      </c>
      <c r="H56" s="4">
        <v>7.3825813356441905E-8</v>
      </c>
      <c r="I56" s="4">
        <v>2.7272738952975302E-4</v>
      </c>
      <c r="J56" s="4">
        <v>-4.3890069385505001E-4</v>
      </c>
      <c r="K56" s="4">
        <v>2.0214747103489099</v>
      </c>
      <c r="L56" s="4">
        <v>8.7414039780812697E-16</v>
      </c>
      <c r="M56" s="4">
        <v>8.21869768672329E-5</v>
      </c>
      <c r="N56" s="4">
        <v>2.1880409775366001</v>
      </c>
      <c r="O56" s="4">
        <v>3.7055875687002802E-3</v>
      </c>
      <c r="P56" s="4">
        <v>8.5215974160418994E-3</v>
      </c>
      <c r="Q56" s="4">
        <v>3.8822270711607802E-3</v>
      </c>
      <c r="R56" s="4">
        <f>+C56</f>
        <v>2</v>
      </c>
      <c r="S56" s="4">
        <f t="shared" si="0"/>
        <v>2.4338766642340026E-2</v>
      </c>
      <c r="T56" s="4">
        <f>+J56/I56</f>
        <v>-1.6093018549102067</v>
      </c>
      <c r="U56" s="4">
        <f t="shared" si="1"/>
        <v>-1.4917364413345375</v>
      </c>
    </row>
    <row r="57" spans="1:21" s="4" customFormat="1" x14ac:dyDescent="0.2">
      <c r="A57" s="4">
        <v>0.19471013313871999</v>
      </c>
      <c r="B57" s="4" t="s">
        <v>52</v>
      </c>
      <c r="C57" s="4">
        <v>2</v>
      </c>
      <c r="D57" s="4">
        <v>0.2</v>
      </c>
      <c r="E57" s="4" t="s">
        <v>83</v>
      </c>
      <c r="F57" s="4" t="s">
        <v>85</v>
      </c>
      <c r="G57" s="4">
        <v>-4.6401972552707102E-5</v>
      </c>
      <c r="H57" s="4">
        <v>6.5607897105236205E-8</v>
      </c>
      <c r="I57" s="4">
        <v>1.3958008289929199E-4</v>
      </c>
      <c r="J57" s="4">
        <v>-2.6153842421952102E-4</v>
      </c>
      <c r="K57" s="4">
        <v>2.0427239299242799</v>
      </c>
      <c r="L57" s="4">
        <v>1.25499324503052E-15</v>
      </c>
      <c r="M57" s="4">
        <v>1.81826740579803E-4</v>
      </c>
      <c r="N57" s="4">
        <v>2.3560429588577598</v>
      </c>
      <c r="O57" s="4">
        <v>6.4049117567061796E-3</v>
      </c>
      <c r="P57" s="4">
        <v>1.49751569365812E-2</v>
      </c>
      <c r="Q57" s="4">
        <v>7.8141219592008197E-3</v>
      </c>
      <c r="R57" s="4">
        <f>+C57</f>
        <v>2</v>
      </c>
      <c r="S57" s="4">
        <f t="shared" si="0"/>
        <v>4.8677533284679997E-2</v>
      </c>
      <c r="T57" s="4">
        <f>+J57/I57</f>
        <v>-1.873751747290642</v>
      </c>
      <c r="U57" s="4">
        <f t="shared" si="1"/>
        <v>-1.6427867909163116</v>
      </c>
    </row>
    <row r="58" spans="1:21" s="4" customFormat="1" x14ac:dyDescent="0.2">
      <c r="A58" s="4">
        <v>0.19471013313871999</v>
      </c>
      <c r="B58" s="4" t="s">
        <v>52</v>
      </c>
      <c r="C58" s="4">
        <v>2</v>
      </c>
      <c r="D58" s="4">
        <v>0.2</v>
      </c>
      <c r="E58" s="4" t="s">
        <v>84</v>
      </c>
      <c r="F58" s="4" t="s">
        <v>85</v>
      </c>
      <c r="G58" s="4">
        <v>-4.6401972570796303E-5</v>
      </c>
      <c r="H58" s="4">
        <v>6.5984955523991403E-8</v>
      </c>
      <c r="I58" s="4">
        <v>1.39580082899294E-4</v>
      </c>
      <c r="J58" s="4">
        <v>-2.6153842421947901E-4</v>
      </c>
      <c r="K58" s="4">
        <v>2.0427239299040498</v>
      </c>
      <c r="L58" s="4">
        <v>1.2578566634014699E-15</v>
      </c>
      <c r="M58" s="4">
        <v>1.8363956731119499E-4</v>
      </c>
      <c r="N58" s="4">
        <v>2.3560429608601399</v>
      </c>
      <c r="O58" s="4">
        <v>6.4108412624867004E-3</v>
      </c>
      <c r="P58" s="4">
        <v>1.49751548557086E-2</v>
      </c>
      <c r="Q58" s="4">
        <v>7.8597089361388504E-3</v>
      </c>
      <c r="R58" s="4">
        <f>+C58</f>
        <v>2</v>
      </c>
      <c r="S58" s="4">
        <f t="shared" si="0"/>
        <v>4.8677533284679997E-2</v>
      </c>
      <c r="T58" s="4">
        <f>+J58/I58</f>
        <v>-1.873751747290314</v>
      </c>
      <c r="U58" s="4">
        <f t="shared" si="1"/>
        <v>-1.6427867909163116</v>
      </c>
    </row>
    <row r="59" spans="1:21" s="4" customFormat="1" x14ac:dyDescent="0.2">
      <c r="A59" s="4">
        <v>0.19471013313871999</v>
      </c>
      <c r="B59" s="4" t="s">
        <v>52</v>
      </c>
      <c r="C59" s="4">
        <v>2</v>
      </c>
      <c r="D59" s="4">
        <v>0.2</v>
      </c>
      <c r="E59" s="4" t="s">
        <v>82</v>
      </c>
      <c r="F59" s="4" t="s">
        <v>84</v>
      </c>
      <c r="G59" s="4">
        <v>-4.64031091956169E-5</v>
      </c>
      <c r="H59" s="4">
        <v>6.7432727325965404E-8</v>
      </c>
      <c r="I59" s="4">
        <v>1.3958361632282899E-4</v>
      </c>
      <c r="J59" s="4">
        <v>-2.6156175376127399E-4</v>
      </c>
      <c r="K59" s="4">
        <v>2.04291598064288</v>
      </c>
      <c r="L59" s="4">
        <v>1.2556999344607001E-15</v>
      </c>
      <c r="M59" s="4">
        <v>1.8383197967571601E-4</v>
      </c>
      <c r="N59" s="4">
        <v>2.3561137684545801</v>
      </c>
      <c r="O59" s="4">
        <v>6.4586574976689404E-3</v>
      </c>
      <c r="P59" s="4">
        <v>1.4980635489485999E-2</v>
      </c>
      <c r="Q59" s="4">
        <v>8.0325697205086595E-3</v>
      </c>
      <c r="R59" s="4">
        <f>+C59</f>
        <v>2</v>
      </c>
      <c r="S59" s="4">
        <f t="shared" si="0"/>
        <v>4.8677533284679997E-2</v>
      </c>
      <c r="T59" s="4">
        <f>+J59/I59</f>
        <v>-1.8738714517636079</v>
      </c>
      <c r="U59" s="4">
        <f t="shared" si="1"/>
        <v>-1.6427867909163116</v>
      </c>
    </row>
    <row r="60" spans="1:21" s="4" customFormat="1" x14ac:dyDescent="0.2">
      <c r="A60" s="4">
        <v>0.19471013313871999</v>
      </c>
      <c r="B60" s="4" t="s">
        <v>52</v>
      </c>
      <c r="C60" s="4">
        <v>2</v>
      </c>
      <c r="D60" s="4">
        <v>0.2</v>
      </c>
      <c r="E60" s="4" t="s">
        <v>82</v>
      </c>
      <c r="F60" s="4" t="s">
        <v>83</v>
      </c>
      <c r="G60" s="4">
        <v>-4.6403109201300803E-5</v>
      </c>
      <c r="H60" s="4">
        <v>6.65265535368565E-8</v>
      </c>
      <c r="I60" s="4">
        <v>1.39583616322834E-4</v>
      </c>
      <c r="J60" s="4">
        <v>-2.6156175376139E-4</v>
      </c>
      <c r="K60" s="4">
        <v>2.0429159806631101</v>
      </c>
      <c r="L60" s="4">
        <v>1.25713131720267E-15</v>
      </c>
      <c r="M60" s="4">
        <v>1.84780050221244E-4</v>
      </c>
      <c r="N60" s="4">
        <v>2.3561137692045899</v>
      </c>
      <c r="O60" s="4">
        <v>6.4239608684575102E-3</v>
      </c>
      <c r="P60" s="4">
        <v>1.4980634790517E-2</v>
      </c>
      <c r="Q60" s="4">
        <v>7.9244465962044607E-3</v>
      </c>
      <c r="R60" s="4">
        <f>+C60</f>
        <v>2</v>
      </c>
      <c r="S60" s="4">
        <f t="shared" si="0"/>
        <v>4.8677533284679997E-2</v>
      </c>
      <c r="T60" s="4">
        <f>+J60/I60</f>
        <v>-1.8738714517643718</v>
      </c>
      <c r="U60" s="4">
        <f t="shared" si="1"/>
        <v>-1.6427867909163116</v>
      </c>
    </row>
    <row r="61" spans="1:21" s="4" customFormat="1" x14ac:dyDescent="0.2">
      <c r="A61" s="4">
        <v>0.19471013313871999</v>
      </c>
      <c r="B61" s="4" t="s">
        <v>52</v>
      </c>
      <c r="C61" s="4">
        <v>2</v>
      </c>
      <c r="D61" s="4">
        <v>0.2</v>
      </c>
      <c r="E61" s="4" t="s">
        <v>82</v>
      </c>
      <c r="F61" s="4" t="s">
        <v>85</v>
      </c>
      <c r="G61" s="4">
        <v>-9.2805081632593199E-5</v>
      </c>
      <c r="H61" s="4">
        <v>1.3366085406172299E-7</v>
      </c>
      <c r="I61" s="4">
        <v>2.7916369922212798E-4</v>
      </c>
      <c r="J61" s="4">
        <v>-5.23100177981019E-4</v>
      </c>
      <c r="K61" s="4">
        <v>2.0428199550478099</v>
      </c>
      <c r="L61" s="4">
        <v>1.25823542113285E-15</v>
      </c>
      <c r="M61" s="4">
        <v>1.80168201031297E-4</v>
      </c>
      <c r="N61" s="4">
        <v>2.3560783574605901</v>
      </c>
      <c r="O61" s="4">
        <v>6.4505209925373999E-3</v>
      </c>
      <c r="P61" s="4">
        <v>1.49779031229217E-2</v>
      </c>
      <c r="Q61" s="4">
        <v>7.9600168653125008E-3</v>
      </c>
      <c r="R61" s="4">
        <f>+C61</f>
        <v>2</v>
      </c>
      <c r="S61" s="4">
        <f t="shared" si="0"/>
        <v>4.8677533284679997E-2</v>
      </c>
      <c r="T61" s="4">
        <f>+J61/I61</f>
        <v>-1.8738116002854406</v>
      </c>
      <c r="U61" s="4">
        <f t="shared" si="1"/>
        <v>-1.6427867909163116</v>
      </c>
    </row>
    <row r="62" spans="1:21" s="4" customFormat="1" x14ac:dyDescent="0.2">
      <c r="A62" s="4">
        <v>0.29206519970808298</v>
      </c>
      <c r="B62" s="4" t="s">
        <v>52</v>
      </c>
      <c r="C62" s="4">
        <v>2</v>
      </c>
      <c r="D62" s="4">
        <v>0.3</v>
      </c>
      <c r="E62" s="4" t="s">
        <v>95</v>
      </c>
      <c r="F62" s="4" t="s">
        <v>97</v>
      </c>
      <c r="G62" s="4">
        <v>-4.71748927199435E-5</v>
      </c>
      <c r="H62" s="4">
        <v>1.1350672103318901E-7</v>
      </c>
      <c r="I62" s="4">
        <v>1.4279425803070801E-4</v>
      </c>
      <c r="J62" s="4">
        <v>-3.0412365287881102E-4</v>
      </c>
      <c r="K62" s="4">
        <v>2.0637893350072098</v>
      </c>
      <c r="L62" s="4">
        <v>3.75907743797891E-15</v>
      </c>
      <c r="M62" s="4">
        <v>3.5129618195617898E-4</v>
      </c>
      <c r="N62" s="4">
        <v>2.4762854498413698</v>
      </c>
      <c r="O62" s="4">
        <v>9.3074722335632198E-3</v>
      </c>
      <c r="P62" s="4">
        <v>5.5551703936401499E-2</v>
      </c>
      <c r="Q62" s="4">
        <v>1.45521941165902E-2</v>
      </c>
      <c r="R62" s="4">
        <f>+C62</f>
        <v>2</v>
      </c>
      <c r="S62" s="4">
        <f t="shared" si="0"/>
        <v>7.3016299927020745E-2</v>
      </c>
      <c r="T62" s="4">
        <f>+J62/I62</f>
        <v>-2.1298030962380086</v>
      </c>
      <c r="U62" s="4">
        <f t="shared" si="1"/>
        <v>-1.7869847204370635</v>
      </c>
    </row>
    <row r="63" spans="1:21" s="4" customFormat="1" x14ac:dyDescent="0.2">
      <c r="A63" s="4">
        <v>0.29206519970808298</v>
      </c>
      <c r="B63" s="4" t="s">
        <v>52</v>
      </c>
      <c r="C63" s="4">
        <v>2</v>
      </c>
      <c r="D63" s="4">
        <v>0.3</v>
      </c>
      <c r="E63" s="4" t="s">
        <v>96</v>
      </c>
      <c r="F63" s="4" t="s">
        <v>97</v>
      </c>
      <c r="G63" s="4">
        <v>-4.7174894296166898E-5</v>
      </c>
      <c r="H63" s="4">
        <v>1.14786885601364E-7</v>
      </c>
      <c r="I63" s="4">
        <v>1.42794258030704E-4</v>
      </c>
      <c r="J63" s="4">
        <v>-3.0412365287875502E-4</v>
      </c>
      <c r="K63" s="4">
        <v>2.06378933496205</v>
      </c>
      <c r="L63" s="4">
        <v>3.8650881013734899E-15</v>
      </c>
      <c r="M63" s="4">
        <v>3.5932469203982101E-4</v>
      </c>
      <c r="N63" s="4">
        <v>2.4762856377167299</v>
      </c>
      <c r="O63" s="4">
        <v>9.32206531682973E-3</v>
      </c>
      <c r="P63" s="4">
        <v>5.5551501110896601E-2</v>
      </c>
      <c r="Q63" s="4">
        <v>1.4720096189137701E-2</v>
      </c>
      <c r="R63" s="4">
        <f>+C63</f>
        <v>2</v>
      </c>
      <c r="S63" s="4">
        <f t="shared" si="0"/>
        <v>7.3016299927020745E-2</v>
      </c>
      <c r="T63" s="4">
        <f>+J63/I63</f>
        <v>-2.1298030962376759</v>
      </c>
      <c r="U63" s="4">
        <f t="shared" si="1"/>
        <v>-1.7869847204370635</v>
      </c>
    </row>
    <row r="64" spans="1:21" s="4" customFormat="1" x14ac:dyDescent="0.2">
      <c r="A64" s="4">
        <v>0.29206519970808298</v>
      </c>
      <c r="B64" s="4" t="s">
        <v>52</v>
      </c>
      <c r="C64" s="4">
        <v>2</v>
      </c>
      <c r="D64" s="4">
        <v>0.3</v>
      </c>
      <c r="E64" s="4" t="s">
        <v>94</v>
      </c>
      <c r="F64" s="4" t="s">
        <v>96</v>
      </c>
      <c r="G64" s="4">
        <v>-4.7176611875353597E-5</v>
      </c>
      <c r="H64" s="4">
        <v>1.11084335878747E-7</v>
      </c>
      <c r="I64" s="4">
        <v>1.4279960365960899E-4</v>
      </c>
      <c r="J64" s="4">
        <v>-3.0416156446036701E-4</v>
      </c>
      <c r="K64" s="4">
        <v>2.06401037957143</v>
      </c>
      <c r="L64" s="4">
        <v>3.6974205116063598E-15</v>
      </c>
      <c r="M64" s="4">
        <v>3.5243522693399802E-4</v>
      </c>
      <c r="N64" s="4">
        <v>2.4763883312230401</v>
      </c>
      <c r="O64" s="4">
        <v>9.1852185814424499E-3</v>
      </c>
      <c r="P64" s="4">
        <v>5.5562340905292301E-2</v>
      </c>
      <c r="Q64" s="4">
        <v>1.42431868247875E-2</v>
      </c>
      <c r="R64" s="4">
        <f>+C64</f>
        <v>2</v>
      </c>
      <c r="S64" s="4">
        <f t="shared" si="0"/>
        <v>7.3016299927020745E-2</v>
      </c>
      <c r="T64" s="4">
        <f>+J64/I64</f>
        <v>-2.1299888561693496</v>
      </c>
      <c r="U64" s="4">
        <f t="shared" si="1"/>
        <v>-1.7869847204370635</v>
      </c>
    </row>
    <row r="65" spans="1:21" s="4" customFormat="1" x14ac:dyDescent="0.2">
      <c r="A65" s="4">
        <v>0.29206519970808298</v>
      </c>
      <c r="B65" s="4" t="s">
        <v>52</v>
      </c>
      <c r="C65" s="4">
        <v>2</v>
      </c>
      <c r="D65" s="4">
        <v>0.3</v>
      </c>
      <c r="E65" s="4" t="s">
        <v>94</v>
      </c>
      <c r="F65" s="4" t="s">
        <v>95</v>
      </c>
      <c r="G65" s="4">
        <v>-4.71766127369029E-5</v>
      </c>
      <c r="H65" s="4">
        <v>1.1527199183284699E-7</v>
      </c>
      <c r="I65" s="4">
        <v>1.4279960365960501E-4</v>
      </c>
      <c r="J65" s="4">
        <v>-3.0416156446016801E-4</v>
      </c>
      <c r="K65" s="4">
        <v>2.0640103796165898</v>
      </c>
      <c r="L65" s="4">
        <v>3.7366148978763499E-15</v>
      </c>
      <c r="M65" s="4">
        <v>3.6037962586099202E-4</v>
      </c>
      <c r="N65" s="4">
        <v>2.4763884348131602</v>
      </c>
      <c r="O65" s="4">
        <v>9.33674658592374E-3</v>
      </c>
      <c r="P65" s="4">
        <v>5.5562229032369799E-2</v>
      </c>
      <c r="Q65" s="4">
        <v>1.47838110948336E-2</v>
      </c>
      <c r="R65" s="4">
        <f>+C65</f>
        <v>2</v>
      </c>
      <c r="S65" s="4">
        <f t="shared" si="0"/>
        <v>7.3016299927020745E-2</v>
      </c>
      <c r="T65" s="4">
        <f>+J65/I65</f>
        <v>-2.1299888561680151</v>
      </c>
      <c r="U65" s="4">
        <f t="shared" si="1"/>
        <v>-1.7869847204370635</v>
      </c>
    </row>
    <row r="66" spans="1:21" s="4" customFormat="1" x14ac:dyDescent="0.2">
      <c r="A66" s="4">
        <v>0.29206519970808298</v>
      </c>
      <c r="B66" s="4" t="s">
        <v>52</v>
      </c>
      <c r="C66" s="4">
        <v>2</v>
      </c>
      <c r="D66" s="4">
        <v>0.3</v>
      </c>
      <c r="E66" s="4" t="s">
        <v>94</v>
      </c>
      <c r="F66" s="4" t="s">
        <v>97</v>
      </c>
      <c r="G66" s="4">
        <v>-9.4351504646603306E-5</v>
      </c>
      <c r="H66" s="4">
        <v>2.2853105832549001E-7</v>
      </c>
      <c r="I66" s="4">
        <v>2.8559386169031399E-4</v>
      </c>
      <c r="J66" s="4">
        <v>-6.08285217338931E-4</v>
      </c>
      <c r="K66" s="4">
        <v>2.0638998582618</v>
      </c>
      <c r="L66" s="4">
        <v>3.8478106043769099E-15</v>
      </c>
      <c r="M66" s="4">
        <v>3.5600529094198199E-4</v>
      </c>
      <c r="N66" s="4">
        <v>2.4763368959682999</v>
      </c>
      <c r="O66" s="4">
        <v>9.3161386590776309E-3</v>
      </c>
      <c r="P66" s="4">
        <v>5.5557017661235199E-2</v>
      </c>
      <c r="Q66" s="4">
        <v>1.46522233723601E-2</v>
      </c>
      <c r="R66" s="4">
        <f>+C66</f>
        <v>2</v>
      </c>
      <c r="S66" s="4">
        <f t="shared" si="0"/>
        <v>7.3016299927020745E-2</v>
      </c>
      <c r="T66" s="4">
        <f>+J66/I66</f>
        <v>-2.1298959779413256</v>
      </c>
      <c r="U66" s="4">
        <f t="shared" si="1"/>
        <v>-1.7869847204370635</v>
      </c>
    </row>
    <row r="67" spans="1:21" s="4" customFormat="1" x14ac:dyDescent="0.2">
      <c r="A67" s="4">
        <v>0.38942026627744297</v>
      </c>
      <c r="B67" s="4" t="s">
        <v>52</v>
      </c>
      <c r="C67" s="4">
        <v>2</v>
      </c>
      <c r="D67" s="4">
        <v>0.4</v>
      </c>
      <c r="E67" s="4" t="s">
        <v>115</v>
      </c>
      <c r="F67" s="4" t="s">
        <v>117</v>
      </c>
      <c r="G67" s="4">
        <v>-4.8135006686827903E-5</v>
      </c>
      <c r="H67" s="4">
        <v>1.52820078982945E-7</v>
      </c>
      <c r="I67" s="4">
        <v>1.4600532278070201E-4</v>
      </c>
      <c r="J67" s="4">
        <v>-3.47195793974112E-4</v>
      </c>
      <c r="K67" s="4">
        <v>2.0845976928268799</v>
      </c>
      <c r="L67" s="4">
        <v>3.6691216279366803E-15</v>
      </c>
      <c r="M67" s="4">
        <v>4.9307284076034795E-4</v>
      </c>
      <c r="N67" s="4">
        <v>2.6049926012462201</v>
      </c>
      <c r="O67" s="4">
        <v>1.13585817000497E-2</v>
      </c>
      <c r="P67" s="4">
        <v>7.5751084956426504E-2</v>
      </c>
      <c r="Q67" s="4">
        <v>2.1249242186021401E-2</v>
      </c>
      <c r="R67" s="4">
        <f>+C67</f>
        <v>2</v>
      </c>
      <c r="S67" s="4">
        <f t="shared" ref="S67:S130" si="2">+A67/(R67^2)</f>
        <v>9.7355066569360743E-2</v>
      </c>
      <c r="T67" s="4">
        <f>+J67/I67</f>
        <v>-2.3779666888966462</v>
      </c>
      <c r="U67" s="4">
        <f t="shared" ref="U67:U130" si="3">-(1+6*S67)*R67^2/(3*(1+S67))</f>
        <v>-1.9247861792732832</v>
      </c>
    </row>
    <row r="68" spans="1:21" s="4" customFormat="1" x14ac:dyDescent="0.2">
      <c r="A68" s="4">
        <v>0.38942026627744297</v>
      </c>
      <c r="B68" s="4" t="s">
        <v>52</v>
      </c>
      <c r="C68" s="4">
        <v>2</v>
      </c>
      <c r="D68" s="4">
        <v>0.4</v>
      </c>
      <c r="E68" s="4" t="s">
        <v>116</v>
      </c>
      <c r="F68" s="4" t="s">
        <v>117</v>
      </c>
      <c r="G68" s="4">
        <v>-4.81350070664588E-5</v>
      </c>
      <c r="H68" s="4">
        <v>1.47651018828448E-7</v>
      </c>
      <c r="I68" s="4">
        <v>1.4600532278070201E-4</v>
      </c>
      <c r="J68" s="4">
        <v>-3.4719579397404099E-4</v>
      </c>
      <c r="K68" s="4">
        <v>2.0845976927791598</v>
      </c>
      <c r="L68" s="4">
        <v>3.6141539875965103E-15</v>
      </c>
      <c r="M68" s="4">
        <v>4.78002375871108E-4</v>
      </c>
      <c r="N68" s="4">
        <v>2.60499264718359</v>
      </c>
      <c r="O68" s="4">
        <v>1.11774794440004E-2</v>
      </c>
      <c r="P68" s="4">
        <v>7.5751032318431596E-2</v>
      </c>
      <c r="Q68" s="4">
        <v>2.0526855492651701E-2</v>
      </c>
      <c r="R68" s="4">
        <f>+C68</f>
        <v>2</v>
      </c>
      <c r="S68" s="4">
        <f t="shared" si="2"/>
        <v>9.7355066569360743E-2</v>
      </c>
      <c r="T68" s="4">
        <f>+J68/I68</f>
        <v>-2.3779666888961595</v>
      </c>
      <c r="U68" s="4">
        <f t="shared" si="3"/>
        <v>-1.9247861792732832</v>
      </c>
    </row>
    <row r="69" spans="1:21" s="4" customFormat="1" x14ac:dyDescent="0.2">
      <c r="A69" s="4">
        <v>0.38942026627744297</v>
      </c>
      <c r="B69" s="4" t="s">
        <v>52</v>
      </c>
      <c r="C69" s="4">
        <v>2</v>
      </c>
      <c r="D69" s="4">
        <v>0.4</v>
      </c>
      <c r="E69" s="4" t="s">
        <v>114</v>
      </c>
      <c r="F69" s="4" t="s">
        <v>116</v>
      </c>
      <c r="G69" s="4">
        <v>-4.8137287920995798E-5</v>
      </c>
      <c r="H69" s="4">
        <v>1.4494844783860401E-7</v>
      </c>
      <c r="I69" s="4">
        <v>1.4601251571917599E-4</v>
      </c>
      <c r="J69" s="4">
        <v>-3.4725044142834902E-4</v>
      </c>
      <c r="K69" s="4">
        <v>2.0848475268384101</v>
      </c>
      <c r="L69" s="4">
        <v>3.6461885938808198E-15</v>
      </c>
      <c r="M69" s="4">
        <v>4.6836265830499699E-4</v>
      </c>
      <c r="N69" s="4">
        <v>2.6051232817007701</v>
      </c>
      <c r="O69" s="4">
        <v>1.10963584503561E-2</v>
      </c>
      <c r="P69" s="4">
        <v>7.5771462298414596E-2</v>
      </c>
      <c r="Q69" s="4">
        <v>2.0147730468033701E-2</v>
      </c>
      <c r="R69" s="4">
        <f>+C69</f>
        <v>2</v>
      </c>
      <c r="S69" s="4">
        <f t="shared" si="2"/>
        <v>9.7355066569360743E-2</v>
      </c>
      <c r="T69" s="4">
        <f>+J69/I69</f>
        <v>-2.3782238099110034</v>
      </c>
      <c r="U69" s="4">
        <f t="shared" si="3"/>
        <v>-1.9247861792732832</v>
      </c>
    </row>
    <row r="70" spans="1:21" s="4" customFormat="1" x14ac:dyDescent="0.2">
      <c r="A70" s="4">
        <v>0.38942026627744297</v>
      </c>
      <c r="B70" s="4" t="s">
        <v>52</v>
      </c>
      <c r="C70" s="4">
        <v>2</v>
      </c>
      <c r="D70" s="4">
        <v>0.4</v>
      </c>
      <c r="E70" s="4" t="s">
        <v>114</v>
      </c>
      <c r="F70" s="4" t="s">
        <v>115</v>
      </c>
      <c r="G70" s="4">
        <v>-4.8137288151121999E-5</v>
      </c>
      <c r="H70" s="4">
        <v>1.5298417010519799E-7</v>
      </c>
      <c r="I70" s="4">
        <v>1.46012515719177E-4</v>
      </c>
      <c r="J70" s="4">
        <v>-3.4725044142840198E-4</v>
      </c>
      <c r="K70" s="4">
        <v>2.0848475268861302</v>
      </c>
      <c r="L70" s="4">
        <v>3.6359709393740101E-15</v>
      </c>
      <c r="M70" s="4">
        <v>4.8724498669682902E-4</v>
      </c>
      <c r="N70" s="4">
        <v>2.6051233087982202</v>
      </c>
      <c r="O70" s="4">
        <v>1.14127099790872E-2</v>
      </c>
      <c r="P70" s="4">
        <v>7.5771430678813506E-2</v>
      </c>
      <c r="Q70" s="4">
        <v>2.1268585222770101E-2</v>
      </c>
      <c r="R70" s="4">
        <f>+C70</f>
        <v>2</v>
      </c>
      <c r="S70" s="4">
        <f t="shared" si="2"/>
        <v>9.7355066569360743E-2</v>
      </c>
      <c r="T70" s="4">
        <f>+J70/I70</f>
        <v>-2.3782238099113497</v>
      </c>
      <c r="U70" s="4">
        <f t="shared" si="3"/>
        <v>-1.9247861792732832</v>
      </c>
    </row>
    <row r="71" spans="1:21" s="4" customFormat="1" x14ac:dyDescent="0.2">
      <c r="A71" s="4">
        <v>0.38942026627744297</v>
      </c>
      <c r="B71" s="4" t="s">
        <v>52</v>
      </c>
      <c r="C71" s="4">
        <v>2</v>
      </c>
      <c r="D71" s="4">
        <v>0.4</v>
      </c>
      <c r="E71" s="4" t="s">
        <v>114</v>
      </c>
      <c r="F71" s="4" t="s">
        <v>117</v>
      </c>
      <c r="G71" s="4">
        <v>-9.6272295285822394E-5</v>
      </c>
      <c r="H71" s="4">
        <v>2.9504225510815001E-7</v>
      </c>
      <c r="I71" s="4">
        <v>2.9201783849988101E-4</v>
      </c>
      <c r="J71" s="4">
        <v>-6.9444623540254895E-4</v>
      </c>
      <c r="K71" s="4">
        <v>2.0847226121231199</v>
      </c>
      <c r="L71" s="4">
        <v>3.6153985091822903E-15</v>
      </c>
      <c r="M71" s="4">
        <v>4.7866467057482902E-4</v>
      </c>
      <c r="N71" s="4">
        <v>2.60505798598756</v>
      </c>
      <c r="O71" s="4">
        <v>1.11597550848169E-2</v>
      </c>
      <c r="P71" s="4">
        <v>7.5761225688619205E-2</v>
      </c>
      <c r="Q71" s="4">
        <v>2.0509641836448701E-2</v>
      </c>
      <c r="R71" s="4">
        <f>+C71</f>
        <v>2</v>
      </c>
      <c r="S71" s="4">
        <f t="shared" si="2"/>
        <v>9.7355066569360743E-2</v>
      </c>
      <c r="T71" s="4">
        <f>+J71/I71</f>
        <v>-2.3780952525707839</v>
      </c>
      <c r="U71" s="4">
        <f t="shared" si="3"/>
        <v>-1.9247861792732832</v>
      </c>
    </row>
    <row r="72" spans="1:21" s="4" customFormat="1" x14ac:dyDescent="0.2">
      <c r="A72" s="4">
        <v>0.48307886441849202</v>
      </c>
      <c r="B72" s="4" t="s">
        <v>52</v>
      </c>
      <c r="C72" s="4">
        <v>2</v>
      </c>
      <c r="D72" s="4">
        <v>0.5</v>
      </c>
      <c r="E72" s="4" t="s">
        <v>124</v>
      </c>
      <c r="F72" s="4" t="s">
        <v>125</v>
      </c>
      <c r="G72" s="4">
        <v>-4.9116758143059103E-5</v>
      </c>
      <c r="H72" s="4">
        <v>1.9490477340015301E-7</v>
      </c>
      <c r="I72" s="4">
        <v>1.4935993178464801E-4</v>
      </c>
      <c r="J72" s="4">
        <v>-3.9093314954569602E-4</v>
      </c>
      <c r="K72" s="4">
        <v>2.1062216089276502</v>
      </c>
      <c r="L72" s="4">
        <v>3.43729722656367E-15</v>
      </c>
      <c r="M72" s="4">
        <v>6.2617775548052298E-4</v>
      </c>
      <c r="N72" s="4">
        <v>2.7185061973789399</v>
      </c>
      <c r="O72" s="4">
        <v>1.36403379830035E-2</v>
      </c>
      <c r="P72" s="4">
        <v>0.101470900855735</v>
      </c>
      <c r="Q72" s="4">
        <v>2.8889535087452001E-2</v>
      </c>
      <c r="R72" s="4">
        <f>+C72</f>
        <v>2</v>
      </c>
      <c r="S72" s="4">
        <f t="shared" si="2"/>
        <v>0.120769716104623</v>
      </c>
      <c r="T72" s="4">
        <f>+J72/I72</f>
        <v>-2.6173897167371241</v>
      </c>
      <c r="U72" s="4">
        <f t="shared" si="3"/>
        <v>-2.0517069913010224</v>
      </c>
    </row>
    <row r="73" spans="1:21" s="4" customFormat="1" x14ac:dyDescent="0.2">
      <c r="A73" s="4">
        <v>0.48307886441849202</v>
      </c>
      <c r="B73" s="4" t="s">
        <v>52</v>
      </c>
      <c r="C73" s="4">
        <v>2</v>
      </c>
      <c r="D73" s="4">
        <v>0.5</v>
      </c>
      <c r="E73" s="4" t="s">
        <v>123</v>
      </c>
      <c r="F73" s="4" t="s">
        <v>125</v>
      </c>
      <c r="G73" s="4">
        <v>-4.9116758389736802E-5</v>
      </c>
      <c r="H73" s="4">
        <v>1.93073414535018E-7</v>
      </c>
      <c r="I73" s="4">
        <v>1.49359931784645E-4</v>
      </c>
      <c r="J73" s="4">
        <v>-3.90933149545538E-4</v>
      </c>
      <c r="K73" s="4">
        <v>2.1062216089066599</v>
      </c>
      <c r="L73" s="4">
        <v>3.4431973308568699E-15</v>
      </c>
      <c r="M73" s="4">
        <v>6.1825291411134902E-4</v>
      </c>
      <c r="N73" s="4">
        <v>2.71850622664518</v>
      </c>
      <c r="O73" s="4">
        <v>1.35996088134584E-2</v>
      </c>
      <c r="P73" s="4">
        <v>0.101470865637077</v>
      </c>
      <c r="Q73" s="4">
        <v>2.86131620173216E-2</v>
      </c>
      <c r="R73" s="4">
        <f>+C73</f>
        <v>2</v>
      </c>
      <c r="S73" s="4">
        <f t="shared" si="2"/>
        <v>0.120769716104623</v>
      </c>
      <c r="T73" s="4">
        <f>+J73/I73</f>
        <v>-2.6173897167361186</v>
      </c>
      <c r="U73" s="4">
        <f t="shared" si="3"/>
        <v>-2.0517069913010224</v>
      </c>
    </row>
    <row r="74" spans="1:21" s="4" customFormat="1" x14ac:dyDescent="0.2">
      <c r="A74" s="4">
        <v>0.48307886441849202</v>
      </c>
      <c r="B74" s="4" t="s">
        <v>52</v>
      </c>
      <c r="C74" s="4">
        <v>2</v>
      </c>
      <c r="D74" s="4">
        <v>0.5</v>
      </c>
      <c r="E74" s="4" t="s">
        <v>122</v>
      </c>
      <c r="F74" s="4" t="s">
        <v>123</v>
      </c>
      <c r="G74" s="4">
        <v>-4.9119543636426798E-5</v>
      </c>
      <c r="H74" s="4">
        <v>1.92037097971987E-7</v>
      </c>
      <c r="I74" s="4">
        <v>1.4936899378065199E-4</v>
      </c>
      <c r="J74" s="4">
        <v>-3.9100665302939098E-4</v>
      </c>
      <c r="K74" s="4">
        <v>2.1065000297815799</v>
      </c>
      <c r="L74" s="4">
        <v>3.4492820053789699E-15</v>
      </c>
      <c r="M74" s="4">
        <v>6.2469350774806999E-4</v>
      </c>
      <c r="N74" s="4">
        <v>2.71865672786085</v>
      </c>
      <c r="O74" s="4">
        <v>1.34638418694915E-2</v>
      </c>
      <c r="P74" s="4">
        <v>0.101512032903052</v>
      </c>
      <c r="Q74" s="4">
        <v>2.8470178189019701E-2</v>
      </c>
      <c r="R74" s="4">
        <f>+C74</f>
        <v>2</v>
      </c>
      <c r="S74" s="4">
        <f t="shared" si="2"/>
        <v>0.120769716104623</v>
      </c>
      <c r="T74" s="4">
        <f>+J74/I74</f>
        <v>-2.6177230168905288</v>
      </c>
      <c r="U74" s="4">
        <f t="shared" si="3"/>
        <v>-2.0517069913010224</v>
      </c>
    </row>
    <row r="75" spans="1:21" s="4" customFormat="1" x14ac:dyDescent="0.2">
      <c r="A75" s="4">
        <v>0.48307886441849202</v>
      </c>
      <c r="B75" s="4" t="s">
        <v>52</v>
      </c>
      <c r="C75" s="4">
        <v>2</v>
      </c>
      <c r="D75" s="4">
        <v>0.5</v>
      </c>
      <c r="E75" s="4" t="s">
        <v>122</v>
      </c>
      <c r="F75" s="4" t="s">
        <v>124</v>
      </c>
      <c r="G75" s="4">
        <v>-4.9119543860967602E-5</v>
      </c>
      <c r="H75" s="4">
        <v>1.9367346798581201E-7</v>
      </c>
      <c r="I75" s="4">
        <v>1.4936899378065099E-4</v>
      </c>
      <c r="J75" s="4">
        <v>-3.9100665302938198E-4</v>
      </c>
      <c r="K75" s="4">
        <v>2.10650002980256</v>
      </c>
      <c r="L75" s="4">
        <v>3.4394615122971001E-15</v>
      </c>
      <c r="M75" s="4">
        <v>6.23614573921269E-4</v>
      </c>
      <c r="N75" s="4">
        <v>2.7186567550954899</v>
      </c>
      <c r="O75" s="4">
        <v>1.3581053356266999E-2</v>
      </c>
      <c r="P75" s="4">
        <v>0.101511999980287</v>
      </c>
      <c r="Q75" s="4">
        <v>2.8711344876331799E-2</v>
      </c>
      <c r="R75" s="4">
        <f>+C75</f>
        <v>2</v>
      </c>
      <c r="S75" s="4">
        <f t="shared" si="2"/>
        <v>0.120769716104623</v>
      </c>
      <c r="T75" s="4">
        <f>+J75/I75</f>
        <v>-2.6177230168904861</v>
      </c>
      <c r="U75" s="4">
        <f t="shared" si="3"/>
        <v>-2.0517069913010224</v>
      </c>
    </row>
    <row r="76" spans="1:21" s="4" customFormat="1" x14ac:dyDescent="0.2">
      <c r="A76" s="4">
        <v>0.48307886441849202</v>
      </c>
      <c r="B76" s="4" t="s">
        <v>52</v>
      </c>
      <c r="C76" s="4">
        <v>2</v>
      </c>
      <c r="D76" s="4">
        <v>0.5</v>
      </c>
      <c r="E76" s="4" t="s">
        <v>122</v>
      </c>
      <c r="F76" s="4" t="s">
        <v>125</v>
      </c>
      <c r="G76" s="4">
        <v>-9.8236302867167095E-5</v>
      </c>
      <c r="H76" s="4">
        <v>3.9163675617372298E-7</v>
      </c>
      <c r="I76" s="4">
        <v>2.9872892556529899E-4</v>
      </c>
      <c r="J76" s="4">
        <v>-7.8193980257489505E-4</v>
      </c>
      <c r="K76" s="4">
        <v>2.1063608232795699</v>
      </c>
      <c r="L76" s="4">
        <v>3.4350591888607298E-15</v>
      </c>
      <c r="M76" s="4">
        <v>6.3166162239865296E-4</v>
      </c>
      <c r="N76" s="4">
        <v>2.71858153326317</v>
      </c>
      <c r="O76" s="4">
        <v>1.36436453632312E-2</v>
      </c>
      <c r="P76" s="4">
        <v>0.10149138641543599</v>
      </c>
      <c r="Q76" s="4">
        <v>2.9029812095914698E-2</v>
      </c>
      <c r="R76" s="4">
        <f>+C76</f>
        <v>2</v>
      </c>
      <c r="S76" s="4">
        <f t="shared" si="2"/>
        <v>0.120769716104623</v>
      </c>
      <c r="T76" s="4">
        <f>+J76/I76</f>
        <v>-2.6175563718685528</v>
      </c>
      <c r="U76" s="4">
        <f t="shared" si="3"/>
        <v>-2.0517069913010224</v>
      </c>
    </row>
    <row r="77" spans="1:21" s="4" customFormat="1" x14ac:dyDescent="0.2">
      <c r="A77" s="4">
        <v>0.65191967266997697</v>
      </c>
      <c r="B77" s="4" t="s">
        <v>52</v>
      </c>
      <c r="C77" s="4">
        <v>2</v>
      </c>
      <c r="D77" s="4">
        <v>0.7</v>
      </c>
      <c r="E77" s="4" t="s">
        <v>139</v>
      </c>
      <c r="F77" s="4" t="s">
        <v>141</v>
      </c>
      <c r="G77" s="4">
        <v>-5.0830690874174201E-5</v>
      </c>
      <c r="H77" s="4">
        <v>3.6868841982679001E-7</v>
      </c>
      <c r="I77" s="4">
        <v>1.56709122991601E-4</v>
      </c>
      <c r="J77" s="4">
        <v>-4.8116855324145398E-4</v>
      </c>
      <c r="K77" s="4">
        <v>2.1532777469081399</v>
      </c>
      <c r="L77" s="4">
        <v>3.9237027094829298E-15</v>
      </c>
      <c r="M77" s="4">
        <v>1.00523184434135E-3</v>
      </c>
      <c r="N77" s="4">
        <v>2.8617502215472999</v>
      </c>
      <c r="O77" s="4">
        <v>2.3495427103862099E-2</v>
      </c>
      <c r="P77" s="4">
        <v>0.22952104526773201</v>
      </c>
      <c r="Q77" s="4">
        <v>5.7615346475040401E-2</v>
      </c>
      <c r="R77" s="4">
        <f>+C77</f>
        <v>2</v>
      </c>
      <c r="S77" s="4">
        <f t="shared" si="2"/>
        <v>0.16297991816749424</v>
      </c>
      <c r="T77" s="4">
        <f>+J77/I77</f>
        <v>-3.0704565506836685</v>
      </c>
      <c r="U77" s="4">
        <f t="shared" si="3"/>
        <v>-2.2675994980452252</v>
      </c>
    </row>
    <row r="78" spans="1:21" s="4" customFormat="1" x14ac:dyDescent="0.2">
      <c r="A78" s="4">
        <v>0.65191967266997697</v>
      </c>
      <c r="B78" s="4" t="s">
        <v>52</v>
      </c>
      <c r="C78" s="4">
        <v>2</v>
      </c>
      <c r="D78" s="4">
        <v>0.7</v>
      </c>
      <c r="E78" s="4" t="s">
        <v>140</v>
      </c>
      <c r="F78" s="4" t="s">
        <v>141</v>
      </c>
      <c r="G78" s="4">
        <v>-5.0830693127122097E-5</v>
      </c>
      <c r="H78" s="4">
        <v>3.6634407931571799E-7</v>
      </c>
      <c r="I78" s="4">
        <v>1.567091229916E-4</v>
      </c>
      <c r="J78" s="4">
        <v>-4.8116855324140399E-4</v>
      </c>
      <c r="K78" s="4">
        <v>2.15327774683275</v>
      </c>
      <c r="L78" s="4">
        <v>3.94009135365465E-15</v>
      </c>
      <c r="M78" s="4">
        <v>9.9430232431945808E-4</v>
      </c>
      <c r="N78" s="4">
        <v>2.8617504776583398</v>
      </c>
      <c r="O78" s="4">
        <v>2.34772802870396E-2</v>
      </c>
      <c r="P78" s="4">
        <v>0.22952070609172701</v>
      </c>
      <c r="Q78" s="4">
        <v>5.7228004424722499E-2</v>
      </c>
      <c r="R78" s="4">
        <f>+C78</f>
        <v>2</v>
      </c>
      <c r="S78" s="4">
        <f t="shared" si="2"/>
        <v>0.16297991816749424</v>
      </c>
      <c r="T78" s="4">
        <f>+J78/I78</f>
        <v>-3.0704565506833692</v>
      </c>
      <c r="U78" s="4">
        <f t="shared" si="3"/>
        <v>-2.2675994980452252</v>
      </c>
    </row>
    <row r="79" spans="1:21" s="4" customFormat="1" x14ac:dyDescent="0.2">
      <c r="A79" s="4">
        <v>0.65191967266997697</v>
      </c>
      <c r="B79" s="4" t="s">
        <v>52</v>
      </c>
      <c r="C79" s="4">
        <v>2</v>
      </c>
      <c r="D79" s="4">
        <v>0.7</v>
      </c>
      <c r="E79" s="4" t="s">
        <v>138</v>
      </c>
      <c r="F79" s="4" t="s">
        <v>140</v>
      </c>
      <c r="G79" s="4">
        <v>-5.08348259715957E-5</v>
      </c>
      <c r="H79" s="4">
        <v>3.67450882304794E-7</v>
      </c>
      <c r="I79" s="4">
        <v>1.5672198781545001E-4</v>
      </c>
      <c r="J79" s="4">
        <v>-4.8128614701916999E-4</v>
      </c>
      <c r="K79" s="4">
        <v>2.1536129495996299</v>
      </c>
      <c r="L79" s="4">
        <v>3.9339025926396396E-15</v>
      </c>
      <c r="M79" s="4">
        <v>1.00551446630045E-3</v>
      </c>
      <c r="N79" s="4">
        <v>2.86198218633707</v>
      </c>
      <c r="O79" s="4">
        <v>2.3396381283761598E-2</v>
      </c>
      <c r="P79" s="4">
        <v>0.229561765655137</v>
      </c>
      <c r="Q79" s="4">
        <v>5.7427285620551403E-2</v>
      </c>
      <c r="R79" s="4">
        <f>+C79</f>
        <v>2</v>
      </c>
      <c r="S79" s="4">
        <f t="shared" si="2"/>
        <v>0.16297991816749424</v>
      </c>
      <c r="T79" s="4">
        <f>+J79/I79</f>
        <v>-3.0709548400184579</v>
      </c>
      <c r="U79" s="4">
        <f t="shared" si="3"/>
        <v>-2.2675994980452252</v>
      </c>
    </row>
    <row r="80" spans="1:21" s="4" customFormat="1" x14ac:dyDescent="0.2">
      <c r="A80" s="4">
        <v>0.65191967266997697</v>
      </c>
      <c r="B80" s="4" t="s">
        <v>52</v>
      </c>
      <c r="C80" s="4">
        <v>2</v>
      </c>
      <c r="D80" s="4">
        <v>0.7</v>
      </c>
      <c r="E80" s="4" t="s">
        <v>138</v>
      </c>
      <c r="F80" s="4" t="s">
        <v>139</v>
      </c>
      <c r="G80" s="4">
        <v>-5.0834826367845397E-5</v>
      </c>
      <c r="H80" s="4">
        <v>3.7515157621286898E-7</v>
      </c>
      <c r="I80" s="4">
        <v>1.56721987815447E-4</v>
      </c>
      <c r="J80" s="4">
        <v>-4.81286147019013E-4</v>
      </c>
      <c r="K80" s="4">
        <v>2.1536129496750198</v>
      </c>
      <c r="L80" s="4">
        <v>3.9360385857295498E-15</v>
      </c>
      <c r="M80" s="4">
        <v>1.01883070044991E-3</v>
      </c>
      <c r="N80" s="4">
        <v>2.86198223687482</v>
      </c>
      <c r="O80" s="4">
        <v>2.3873611114873201E-2</v>
      </c>
      <c r="P80" s="4">
        <v>0.229561699507002</v>
      </c>
      <c r="Q80" s="4">
        <v>5.8624078882090799E-2</v>
      </c>
      <c r="R80" s="4">
        <f>+C80</f>
        <v>2</v>
      </c>
      <c r="S80" s="4">
        <f t="shared" si="2"/>
        <v>0.16297991816749424</v>
      </c>
      <c r="T80" s="4">
        <f>+J80/I80</f>
        <v>-3.0709548400175151</v>
      </c>
      <c r="U80" s="4">
        <f t="shared" si="3"/>
        <v>-2.2675994980452252</v>
      </c>
    </row>
    <row r="81" spans="1:21" s="4" customFormat="1" x14ac:dyDescent="0.2">
      <c r="A81" s="4">
        <v>0.65191967266997697</v>
      </c>
      <c r="B81" s="4" t="s">
        <v>52</v>
      </c>
      <c r="C81" s="4">
        <v>2</v>
      </c>
      <c r="D81" s="4">
        <v>0.7</v>
      </c>
      <c r="E81" s="4" t="s">
        <v>138</v>
      </c>
      <c r="F81" s="4" t="s">
        <v>141</v>
      </c>
      <c r="G81" s="4">
        <v>-1.0161816908174299E-4</v>
      </c>
      <c r="H81" s="4">
        <v>7.0742519753866904E-7</v>
      </c>
      <c r="I81" s="4">
        <v>3.1343111080704797E-4</v>
      </c>
      <c r="J81" s="4">
        <v>-9.6245470026024005E-4</v>
      </c>
      <c r="K81" s="4">
        <v>2.1534453557185702</v>
      </c>
      <c r="L81" s="4">
        <v>4.2554967637119302E-15</v>
      </c>
      <c r="M81" s="4">
        <v>9.5607033482645904E-4</v>
      </c>
      <c r="N81" s="4">
        <v>2.8600388375432302</v>
      </c>
      <c r="O81" s="4">
        <v>2.2477159873630401E-2</v>
      </c>
      <c r="P81" s="4">
        <v>0.23185826742200299</v>
      </c>
      <c r="Q81" s="4">
        <v>5.5207001914292599E-2</v>
      </c>
      <c r="R81" s="4">
        <f>+C81</f>
        <v>2</v>
      </c>
      <c r="S81" s="4">
        <f t="shared" si="2"/>
        <v>0.16297991816749424</v>
      </c>
      <c r="T81" s="4">
        <f>+J81/I81</f>
        <v>-3.0707057055760458</v>
      </c>
      <c r="U81" s="4">
        <f t="shared" si="3"/>
        <v>-2.2675994980452252</v>
      </c>
    </row>
    <row r="82" spans="1:21" s="4" customFormat="1" x14ac:dyDescent="0.2">
      <c r="A82" s="4">
        <v>0.72950718729363395</v>
      </c>
      <c r="B82" s="4" t="s">
        <v>52</v>
      </c>
      <c r="C82" s="4">
        <v>2</v>
      </c>
      <c r="D82" s="4">
        <v>0.8</v>
      </c>
      <c r="E82" s="4" t="s">
        <v>148</v>
      </c>
      <c r="F82" s="4" t="s">
        <v>149</v>
      </c>
      <c r="G82" s="4">
        <v>-5.2016933877011798E-5</v>
      </c>
      <c r="H82" s="4">
        <v>4.43048836713165E-7</v>
      </c>
      <c r="I82" s="4">
        <v>1.6059712167014101E-4</v>
      </c>
      <c r="J82" s="4">
        <v>-5.2775625819508E-4</v>
      </c>
      <c r="K82" s="4">
        <v>2.17786872510667</v>
      </c>
      <c r="L82" s="4">
        <v>4.0079038315637302E-15</v>
      </c>
      <c r="M82" s="4">
        <v>1.16602593818352E-3</v>
      </c>
      <c r="N82" s="4">
        <v>2.9535142459144001</v>
      </c>
      <c r="O82" s="4">
        <v>2.7373268805743499E-2</v>
      </c>
      <c r="P82" s="4">
        <v>0.256826611884372</v>
      </c>
      <c r="Q82" s="4">
        <v>7.2031741045668202E-2</v>
      </c>
      <c r="R82" s="4">
        <f>+C82</f>
        <v>2</v>
      </c>
      <c r="S82" s="4">
        <f t="shared" si="2"/>
        <v>0.18237679682340849</v>
      </c>
      <c r="T82" s="4">
        <f>+J82/I82</f>
        <v>-3.2862124346105448</v>
      </c>
      <c r="U82" s="4">
        <f t="shared" si="3"/>
        <v>-2.3616394667271599</v>
      </c>
    </row>
    <row r="83" spans="1:21" s="4" customFormat="1" x14ac:dyDescent="0.2">
      <c r="A83" s="4">
        <v>0.72950718729363395</v>
      </c>
      <c r="B83" s="4" t="s">
        <v>52</v>
      </c>
      <c r="C83" s="4">
        <v>2</v>
      </c>
      <c r="D83" s="4">
        <v>0.8</v>
      </c>
      <c r="E83" s="4" t="s">
        <v>147</v>
      </c>
      <c r="F83" s="4" t="s">
        <v>149</v>
      </c>
      <c r="G83" s="4">
        <v>-5.2016934085279101E-5</v>
      </c>
      <c r="H83" s="4">
        <v>4.3919124058873602E-7</v>
      </c>
      <c r="I83" s="4">
        <v>1.6059712167014001E-4</v>
      </c>
      <c r="J83" s="4">
        <v>-5.2775625819510602E-4</v>
      </c>
      <c r="K83" s="4">
        <v>2.17786872504302</v>
      </c>
      <c r="L83" s="4">
        <v>4.0130889708552097E-15</v>
      </c>
      <c r="M83" s="4">
        <v>1.1572079301656901E-3</v>
      </c>
      <c r="N83" s="4">
        <v>2.95351427041855</v>
      </c>
      <c r="O83" s="4">
        <v>2.7171137726993599E-2</v>
      </c>
      <c r="P83" s="4">
        <v>0.25682657889608901</v>
      </c>
      <c r="Q83" s="4">
        <v>7.1399996052919898E-2</v>
      </c>
      <c r="R83" s="4">
        <f>+C83</f>
        <v>2</v>
      </c>
      <c r="S83" s="4">
        <f t="shared" si="2"/>
        <v>0.18237679682340849</v>
      </c>
      <c r="T83" s="4">
        <f>+J83/I83</f>
        <v>-3.2862124346107273</v>
      </c>
      <c r="U83" s="4">
        <f t="shared" si="3"/>
        <v>-2.3616394667271599</v>
      </c>
    </row>
    <row r="84" spans="1:21" s="4" customFormat="1" x14ac:dyDescent="0.2">
      <c r="A84" s="4">
        <v>0.72950718729363395</v>
      </c>
      <c r="B84" s="4" t="s">
        <v>52</v>
      </c>
      <c r="C84" s="4">
        <v>2</v>
      </c>
      <c r="D84" s="4">
        <v>0.8</v>
      </c>
      <c r="E84" s="4" t="s">
        <v>146</v>
      </c>
      <c r="F84" s="4" t="s">
        <v>147</v>
      </c>
      <c r="G84" s="4">
        <v>-5.2021454670631503E-5</v>
      </c>
      <c r="H84" s="4">
        <v>4.2904794675791498E-7</v>
      </c>
      <c r="I84" s="4">
        <v>1.6061193761566001E-4</v>
      </c>
      <c r="J84" s="4">
        <v>-5.2789914390936204E-4</v>
      </c>
      <c r="K84" s="4">
        <v>2.1782322343350402</v>
      </c>
      <c r="L84" s="4">
        <v>4.0056679108804302E-15</v>
      </c>
      <c r="M84" s="4">
        <v>1.1325726218964099E-3</v>
      </c>
      <c r="N84" s="4">
        <v>2.9537497353520101</v>
      </c>
      <c r="O84" s="4">
        <v>2.6629244313299799E-2</v>
      </c>
      <c r="P84" s="4">
        <v>0.25691510982937099</v>
      </c>
      <c r="Q84" s="4">
        <v>6.9753421225523596E-2</v>
      </c>
      <c r="R84" s="4">
        <f>+C84</f>
        <v>2</v>
      </c>
      <c r="S84" s="4">
        <f t="shared" si="2"/>
        <v>0.18237679682340849</v>
      </c>
      <c r="T84" s="4">
        <f>+J84/I84</f>
        <v>-3.2867989250749861</v>
      </c>
      <c r="U84" s="4">
        <f t="shared" si="3"/>
        <v>-2.3616394667271599</v>
      </c>
    </row>
    <row r="85" spans="1:21" s="4" customFormat="1" x14ac:dyDescent="0.2">
      <c r="A85" s="4">
        <v>0.72950718729363395</v>
      </c>
      <c r="B85" s="4" t="s">
        <v>52</v>
      </c>
      <c r="C85" s="4">
        <v>2</v>
      </c>
      <c r="D85" s="4">
        <v>0.8</v>
      </c>
      <c r="E85" s="4" t="s">
        <v>146</v>
      </c>
      <c r="F85" s="4" t="s">
        <v>148</v>
      </c>
      <c r="G85" s="4">
        <v>-5.2021454843547499E-5</v>
      </c>
      <c r="H85" s="4">
        <v>4.3464409243676502E-7</v>
      </c>
      <c r="I85" s="4">
        <v>1.6061193761566001E-4</v>
      </c>
      <c r="J85" s="4">
        <v>-5.2789914390941896E-4</v>
      </c>
      <c r="K85" s="4">
        <v>2.1782322343986902</v>
      </c>
      <c r="L85" s="4">
        <v>4.0084516282240402E-15</v>
      </c>
      <c r="M85" s="4">
        <v>1.1356798335273399E-3</v>
      </c>
      <c r="N85" s="4">
        <v>2.9537497596125699</v>
      </c>
      <c r="O85" s="4">
        <v>2.7097819278753599E-2</v>
      </c>
      <c r="P85" s="4">
        <v>0.25691507847297002</v>
      </c>
      <c r="Q85" s="4">
        <v>7.0639269576226196E-2</v>
      </c>
      <c r="R85" s="4">
        <f>+C85</f>
        <v>2</v>
      </c>
      <c r="S85" s="4">
        <f t="shared" si="2"/>
        <v>0.18237679682340849</v>
      </c>
      <c r="T85" s="4">
        <f>+J85/I85</f>
        <v>-3.2867989250753404</v>
      </c>
      <c r="U85" s="4">
        <f t="shared" si="3"/>
        <v>-2.3616394667271599</v>
      </c>
    </row>
    <row r="86" spans="1:21" s="4" customFormat="1" x14ac:dyDescent="0.2">
      <c r="A86" s="4">
        <v>0.72950718729363395</v>
      </c>
      <c r="B86" s="4" t="s">
        <v>52</v>
      </c>
      <c r="C86" s="4">
        <v>2</v>
      </c>
      <c r="D86" s="4">
        <v>0.8</v>
      </c>
      <c r="E86" s="4" t="s">
        <v>146</v>
      </c>
      <c r="F86" s="4" t="s">
        <v>149</v>
      </c>
      <c r="G86" s="4">
        <v>-1.03900288709986E-4</v>
      </c>
      <c r="H86" s="4">
        <v>9.2971994423365298E-7</v>
      </c>
      <c r="I86" s="4">
        <v>3.2120905928580303E-4</v>
      </c>
      <c r="J86" s="4">
        <v>-1.0556554021046601E-3</v>
      </c>
      <c r="K86" s="4">
        <v>2.17805048914571</v>
      </c>
      <c r="L86" s="4">
        <v>4.9861696174938303E-15</v>
      </c>
      <c r="M86" s="4">
        <v>1.2158132512991499E-3</v>
      </c>
      <c r="N86" s="4">
        <v>2.9461600761818301</v>
      </c>
      <c r="O86" s="4">
        <v>2.84130266498877E-2</v>
      </c>
      <c r="P86" s="4">
        <v>0.26706001015833303</v>
      </c>
      <c r="Q86" s="4">
        <v>7.5209765632296005E-2</v>
      </c>
      <c r="R86" s="4">
        <f>+C86</f>
        <v>2</v>
      </c>
      <c r="S86" s="4">
        <f t="shared" si="2"/>
        <v>0.18237679682340849</v>
      </c>
      <c r="T86" s="4">
        <f>+J86/I86</f>
        <v>-3.2865056933695223</v>
      </c>
      <c r="U86" s="4">
        <f t="shared" si="3"/>
        <v>-2.3616394667271599</v>
      </c>
    </row>
    <row r="87" spans="1:21" s="4" customFormat="1" x14ac:dyDescent="0.2">
      <c r="A87" s="4">
        <v>0.87369834790399103</v>
      </c>
      <c r="B87" s="4" t="s">
        <v>52</v>
      </c>
      <c r="C87" s="4">
        <v>2</v>
      </c>
      <c r="D87" s="4">
        <v>1</v>
      </c>
      <c r="E87" s="4" t="s">
        <v>155</v>
      </c>
      <c r="F87" s="4" t="s">
        <v>157</v>
      </c>
      <c r="G87" s="4">
        <v>-5.41337618191336E-5</v>
      </c>
      <c r="H87" s="4">
        <v>8.2255740576745805E-7</v>
      </c>
      <c r="I87" s="4">
        <v>1.68691445385597E-4</v>
      </c>
      <c r="J87" s="4">
        <v>-6.2407454030732998E-4</v>
      </c>
      <c r="K87" s="4">
        <v>2.2282999090649498</v>
      </c>
      <c r="L87" s="4">
        <v>7.79868789297455E-15</v>
      </c>
      <c r="M87" s="4">
        <v>1.88066460966411E-3</v>
      </c>
      <c r="N87" s="4">
        <v>3.0798486145854702</v>
      </c>
      <c r="O87" s="4">
        <v>4.9303884630439797E-2</v>
      </c>
      <c r="P87" s="4">
        <v>0.37157881280709598</v>
      </c>
      <c r="Q87" s="4">
        <v>0.138159783810158</v>
      </c>
      <c r="R87" s="4">
        <f>+C87</f>
        <v>2</v>
      </c>
      <c r="S87" s="4">
        <f t="shared" si="2"/>
        <v>0.21842458697599776</v>
      </c>
      <c r="T87" s="4">
        <f>+J87/I87</f>
        <v>-3.6995031898672317</v>
      </c>
      <c r="U87" s="4">
        <f t="shared" si="3"/>
        <v>-2.5284535966131187</v>
      </c>
    </row>
    <row r="88" spans="1:21" s="4" customFormat="1" x14ac:dyDescent="0.2">
      <c r="A88" s="4">
        <v>0.87369834790399103</v>
      </c>
      <c r="B88" s="4" t="s">
        <v>52</v>
      </c>
      <c r="C88" s="4">
        <v>2</v>
      </c>
      <c r="D88" s="4">
        <v>1</v>
      </c>
      <c r="E88" s="4" t="s">
        <v>156</v>
      </c>
      <c r="F88" s="4" t="s">
        <v>157</v>
      </c>
      <c r="G88" s="4">
        <v>-5.4133775749132301E-5</v>
      </c>
      <c r="H88" s="4">
        <v>8.2085077473792896E-7</v>
      </c>
      <c r="I88" s="4">
        <v>1.68691445385588E-4</v>
      </c>
      <c r="J88" s="4">
        <v>-6.2407454030683602E-4</v>
      </c>
      <c r="K88" s="4">
        <v>2.2282999091050502</v>
      </c>
      <c r="L88" s="4">
        <v>7.7948863359632597E-15</v>
      </c>
      <c r="M88" s="4">
        <v>1.90872614131362E-3</v>
      </c>
      <c r="N88" s="4">
        <v>3.07985015110975</v>
      </c>
      <c r="O88" s="4">
        <v>4.8548528186737501E-2</v>
      </c>
      <c r="P88" s="4">
        <v>0.37157657414067702</v>
      </c>
      <c r="Q88" s="4">
        <v>0.13802978287950399</v>
      </c>
      <c r="R88" s="4">
        <f>+C88</f>
        <v>2</v>
      </c>
      <c r="S88" s="4">
        <f t="shared" si="2"/>
        <v>0.21842458697599776</v>
      </c>
      <c r="T88" s="4">
        <f>+J88/I88</f>
        <v>-3.6995031898645006</v>
      </c>
      <c r="U88" s="4">
        <f t="shared" si="3"/>
        <v>-2.5284535966131187</v>
      </c>
    </row>
    <row r="89" spans="1:21" s="4" customFormat="1" x14ac:dyDescent="0.2">
      <c r="A89" s="4">
        <v>0.87369834790399103</v>
      </c>
      <c r="B89" s="4" t="s">
        <v>52</v>
      </c>
      <c r="C89" s="4">
        <v>2</v>
      </c>
      <c r="D89" s="4">
        <v>1</v>
      </c>
      <c r="E89" s="4" t="s">
        <v>154</v>
      </c>
      <c r="F89" s="4" t="s">
        <v>156</v>
      </c>
      <c r="G89" s="4">
        <v>-5.4140472258540698E-5</v>
      </c>
      <c r="H89" s="4">
        <v>8.3642943865976498E-7</v>
      </c>
      <c r="I89" s="4">
        <v>1.6871028419382801E-4</v>
      </c>
      <c r="J89" s="4">
        <v>-6.2427464199833196E-4</v>
      </c>
      <c r="K89" s="4">
        <v>2.2287200381330701</v>
      </c>
      <c r="L89" s="4">
        <v>7.7969624645748205E-15</v>
      </c>
      <c r="M89" s="4">
        <v>1.92813740464187E-3</v>
      </c>
      <c r="N89" s="4">
        <v>3.0802491720153098</v>
      </c>
      <c r="O89" s="4">
        <v>4.9735669801006202E-2</v>
      </c>
      <c r="P89" s="4">
        <v>0.371549976667161</v>
      </c>
      <c r="Q89" s="4">
        <v>0.14059970318293399</v>
      </c>
      <c r="R89" s="4">
        <f>+C89</f>
        <v>2</v>
      </c>
      <c r="S89" s="4">
        <f t="shared" si="2"/>
        <v>0.21842458697599776</v>
      </c>
      <c r="T89" s="4">
        <f>+J89/I89</f>
        <v>-3.7002761567345521</v>
      </c>
      <c r="U89" s="4">
        <f t="shared" si="3"/>
        <v>-2.5284535966131187</v>
      </c>
    </row>
    <row r="90" spans="1:21" s="4" customFormat="1" x14ac:dyDescent="0.2">
      <c r="A90" s="4">
        <v>0.87369834790399103</v>
      </c>
      <c r="B90" s="4" t="s">
        <v>52</v>
      </c>
      <c r="C90" s="4">
        <v>2</v>
      </c>
      <c r="D90" s="4">
        <v>1</v>
      </c>
      <c r="E90" s="4" t="s">
        <v>154</v>
      </c>
      <c r="F90" s="4" t="s">
        <v>155</v>
      </c>
      <c r="G90" s="4">
        <v>-5.4140477854443799E-5</v>
      </c>
      <c r="H90" s="4">
        <v>8.2110061734098505E-7</v>
      </c>
      <c r="I90" s="4">
        <v>1.6871028419382299E-4</v>
      </c>
      <c r="J90" s="4">
        <v>-6.2427464199803803E-4</v>
      </c>
      <c r="K90" s="4">
        <v>2.2287200380929701</v>
      </c>
      <c r="L90" s="4">
        <v>7.8110832552998398E-15</v>
      </c>
      <c r="M90" s="4">
        <v>1.89055958011818E-3</v>
      </c>
      <c r="N90" s="4">
        <v>3.0802497924897199</v>
      </c>
      <c r="O90" s="4">
        <v>4.8953252939038398E-2</v>
      </c>
      <c r="P90" s="4">
        <v>0.37154907372714202</v>
      </c>
      <c r="Q90" s="4">
        <v>0.138000652005275</v>
      </c>
      <c r="R90" s="4">
        <f>+C90</f>
        <v>2</v>
      </c>
      <c r="S90" s="4">
        <f t="shared" si="2"/>
        <v>0.21842458697599776</v>
      </c>
      <c r="T90" s="4">
        <f>+J90/I90</f>
        <v>-3.7002761567329201</v>
      </c>
      <c r="U90" s="4">
        <f t="shared" si="3"/>
        <v>-2.5284535966131187</v>
      </c>
    </row>
    <row r="91" spans="1:21" s="4" customFormat="1" x14ac:dyDescent="0.2">
      <c r="A91" s="4">
        <v>0.87369834790399103</v>
      </c>
      <c r="B91" s="4" t="s">
        <v>52</v>
      </c>
      <c r="C91" s="4">
        <v>2</v>
      </c>
      <c r="D91" s="4">
        <v>1</v>
      </c>
      <c r="E91" s="4" t="s">
        <v>154</v>
      </c>
      <c r="F91" s="4" t="s">
        <v>157</v>
      </c>
      <c r="G91" s="4">
        <v>-1.0789944707800001E-4</v>
      </c>
      <c r="H91" s="4">
        <v>1.76769340653607E-6</v>
      </c>
      <c r="I91" s="4">
        <v>3.3740172957942203E-4</v>
      </c>
      <c r="J91" s="4">
        <v>-1.24834918230545E-3</v>
      </c>
      <c r="K91" s="4">
        <v>2.22850998738364</v>
      </c>
      <c r="L91" s="4">
        <v>8.4189391490362396E-15</v>
      </c>
      <c r="M91" s="4">
        <v>1.9425593464976799E-3</v>
      </c>
      <c r="N91" s="4">
        <v>3.0599989088803499</v>
      </c>
      <c r="O91" s="4">
        <v>5.3352409212989699E-2</v>
      </c>
      <c r="P91" s="4">
        <v>0.400640955767114</v>
      </c>
      <c r="Q91" s="4">
        <v>0.146257277495392</v>
      </c>
      <c r="R91" s="4">
        <f>+C91</f>
        <v>2</v>
      </c>
      <c r="S91" s="4">
        <f t="shared" si="2"/>
        <v>0.21842458697599776</v>
      </c>
      <c r="T91" s="4">
        <f>+J91/I91</f>
        <v>-3.699889694879579</v>
      </c>
      <c r="U91" s="4">
        <f t="shared" si="3"/>
        <v>-2.5284535966131187</v>
      </c>
    </row>
    <row r="92" spans="1:21" s="4" customFormat="1" x14ac:dyDescent="0.2">
      <c r="A92" s="4">
        <v>9.7355066569361996E-3</v>
      </c>
      <c r="B92" s="4" t="s">
        <v>52</v>
      </c>
      <c r="C92" s="4">
        <v>1</v>
      </c>
      <c r="D92" s="4">
        <v>0.01</v>
      </c>
      <c r="E92" s="4" t="s">
        <v>55</v>
      </c>
      <c r="F92" s="4" t="s">
        <v>57</v>
      </c>
      <c r="G92" s="4">
        <v>-1.1349391371366301E-5</v>
      </c>
      <c r="H92" s="4">
        <v>3.6725153619025701E-6</v>
      </c>
      <c r="I92" s="4">
        <v>3.3680325193582697E-5</v>
      </c>
      <c r="J92" s="4">
        <v>-1.22814167625659E-5</v>
      </c>
      <c r="K92" s="4">
        <v>1.0046996248754201</v>
      </c>
      <c r="L92" s="4">
        <v>-6.29311065242419E-16</v>
      </c>
      <c r="M92" s="4">
        <v>1.9093415415760401E-2</v>
      </c>
      <c r="N92" s="4">
        <v>1.9046995017444599</v>
      </c>
      <c r="O92" s="4">
        <v>1.3713763398208001</v>
      </c>
      <c r="P92" s="4">
        <v>2.6790709909255001E-2</v>
      </c>
      <c r="Q92" s="4">
        <v>1.1464083613790801</v>
      </c>
      <c r="R92" s="4">
        <f>+C92</f>
        <v>1</v>
      </c>
      <c r="S92" s="4">
        <f t="shared" si="2"/>
        <v>9.7355066569361996E-3</v>
      </c>
      <c r="T92" s="4">
        <f>+J92/I92</f>
        <v>-0.36464662060050262</v>
      </c>
      <c r="U92" s="4">
        <f t="shared" si="3"/>
        <v>-0.34940273400435456</v>
      </c>
    </row>
    <row r="93" spans="1:21" s="4" customFormat="1" x14ac:dyDescent="0.2">
      <c r="A93" s="4">
        <v>9.7355066569361996E-3</v>
      </c>
      <c r="B93" s="4" t="s">
        <v>52</v>
      </c>
      <c r="C93" s="4">
        <v>1</v>
      </c>
      <c r="D93" s="4">
        <v>0.01</v>
      </c>
      <c r="E93" s="4" t="s">
        <v>56</v>
      </c>
      <c r="F93" s="4" t="s">
        <v>57</v>
      </c>
      <c r="G93" s="4">
        <v>-1.13493913713666E-5</v>
      </c>
      <c r="H93" s="4">
        <v>3.6926033806148502E-6</v>
      </c>
      <c r="I93" s="4">
        <v>3.3680325193587901E-5</v>
      </c>
      <c r="J93" s="4">
        <v>-1.2281416762806799E-5</v>
      </c>
      <c r="K93" s="4">
        <v>1.00469962487438</v>
      </c>
      <c r="L93" s="4">
        <v>-6.2931106375145098E-16</v>
      </c>
      <c r="M93" s="4">
        <v>1.8987001018557301E-2</v>
      </c>
      <c r="N93" s="4">
        <v>1.9046995017444801</v>
      </c>
      <c r="O93" s="4">
        <v>1.3737116059446599</v>
      </c>
      <c r="P93" s="4">
        <v>2.6790709909169E-2</v>
      </c>
      <c r="Q93" s="4">
        <v>1.15276594377362</v>
      </c>
      <c r="R93" s="4">
        <f>+C93</f>
        <v>1</v>
      </c>
      <c r="S93" s="4">
        <f t="shared" si="2"/>
        <v>9.7355066569361996E-3</v>
      </c>
      <c r="T93" s="4">
        <f>+J93/I93</f>
        <v>-0.36464662060759878</v>
      </c>
      <c r="U93" s="4">
        <f t="shared" si="3"/>
        <v>-0.34940273400435456</v>
      </c>
    </row>
    <row r="94" spans="1:21" s="4" customFormat="1" x14ac:dyDescent="0.2">
      <c r="A94" s="4">
        <v>9.7355066569361996E-3</v>
      </c>
      <c r="B94" s="4" t="s">
        <v>52</v>
      </c>
      <c r="C94" s="4">
        <v>1</v>
      </c>
      <c r="D94" s="4">
        <v>0.01</v>
      </c>
      <c r="E94" s="4" t="s">
        <v>54</v>
      </c>
      <c r="F94" s="4" t="s">
        <v>55</v>
      </c>
      <c r="G94" s="4">
        <v>-1.1349406761558E-5</v>
      </c>
      <c r="H94" s="4">
        <v>3.6988051201805099E-6</v>
      </c>
      <c r="I94" s="4">
        <v>3.3680371518185E-5</v>
      </c>
      <c r="J94" s="4">
        <v>-1.22814841664452E-5</v>
      </c>
      <c r="K94" s="4">
        <v>1.0047179607121199</v>
      </c>
      <c r="L94" s="4">
        <v>-6.2823606308958897E-16</v>
      </c>
      <c r="M94" s="4">
        <v>1.91231968286272E-2</v>
      </c>
      <c r="N94" s="4">
        <v>1.9046996127678699</v>
      </c>
      <c r="O94" s="4">
        <v>1.3741726012908499</v>
      </c>
      <c r="P94" s="4">
        <v>2.6790678261556001E-2</v>
      </c>
      <c r="Q94" s="4">
        <v>1.1547878289973601</v>
      </c>
      <c r="R94" s="4">
        <f>+C94</f>
        <v>1</v>
      </c>
      <c r="S94" s="4">
        <f t="shared" si="2"/>
        <v>9.7355066569361996E-3</v>
      </c>
      <c r="T94" s="4">
        <f>+J94/I94</f>
        <v>-0.36464812033958932</v>
      </c>
      <c r="U94" s="4">
        <f t="shared" si="3"/>
        <v>-0.34940273400435456</v>
      </c>
    </row>
    <row r="95" spans="1:21" s="4" customFormat="1" x14ac:dyDescent="0.2">
      <c r="A95" s="4">
        <v>9.7355066569361996E-3</v>
      </c>
      <c r="B95" s="4" t="s">
        <v>52</v>
      </c>
      <c r="C95" s="4">
        <v>1</v>
      </c>
      <c r="D95" s="4">
        <v>0.01</v>
      </c>
      <c r="E95" s="4" t="s">
        <v>54</v>
      </c>
      <c r="F95" s="4" t="s">
        <v>56</v>
      </c>
      <c r="G95" s="4">
        <v>-1.1349406761558E-5</v>
      </c>
      <c r="H95" s="4">
        <v>3.6898291481757099E-6</v>
      </c>
      <c r="I95" s="4">
        <v>3.3680371518181998E-5</v>
      </c>
      <c r="J95" s="4">
        <v>-1.22814841662465E-5</v>
      </c>
      <c r="K95" s="4">
        <v>1.0047179607110801</v>
      </c>
      <c r="L95" s="4">
        <v>-6.2823606442533105E-16</v>
      </c>
      <c r="M95" s="4">
        <v>1.8676342261428201E-2</v>
      </c>
      <c r="N95" s="4">
        <v>1.90469961276773</v>
      </c>
      <c r="O95" s="4">
        <v>1.37375712542699</v>
      </c>
      <c r="P95" s="4">
        <v>2.67906782616434E-2</v>
      </c>
      <c r="Q95" s="4">
        <v>1.1518736936302101</v>
      </c>
      <c r="R95" s="4">
        <f>+C95</f>
        <v>1</v>
      </c>
      <c r="S95" s="4">
        <f t="shared" si="2"/>
        <v>9.7355066569361996E-3</v>
      </c>
      <c r="T95" s="4">
        <f>+J95/I95</f>
        <v>-0.36464812033372224</v>
      </c>
      <c r="U95" s="4">
        <f t="shared" si="3"/>
        <v>-0.34940273400435456</v>
      </c>
    </row>
    <row r="96" spans="1:21" s="4" customFormat="1" x14ac:dyDescent="0.2">
      <c r="A96" s="4">
        <v>9.7355066569361996E-3</v>
      </c>
      <c r="B96" s="4" t="s">
        <v>52</v>
      </c>
      <c r="C96" s="4">
        <v>1</v>
      </c>
      <c r="D96" s="4">
        <v>0.01</v>
      </c>
      <c r="E96" s="4" t="s">
        <v>54</v>
      </c>
      <c r="F96" s="4" t="s">
        <v>57</v>
      </c>
      <c r="G96" s="4">
        <v>-2.2490362964144299E-5</v>
      </c>
      <c r="H96" s="4">
        <v>4.7875179162322697E-6</v>
      </c>
      <c r="I96" s="4">
        <v>6.7360696711767304E-5</v>
      </c>
      <c r="J96" s="4">
        <v>-2.4562900928888299E-5</v>
      </c>
      <c r="K96" s="4">
        <v>1.00470879273451</v>
      </c>
      <c r="L96" s="4">
        <v>-5.3998272138559203E-15</v>
      </c>
      <c r="M96" s="4">
        <v>2.93235054559346E-3</v>
      </c>
      <c r="N96" s="4">
        <v>1.17321197337598</v>
      </c>
      <c r="O96" s="4">
        <v>0.61441455737149397</v>
      </c>
      <c r="P96" s="4">
        <v>2.6980459662883299E-4</v>
      </c>
      <c r="Q96" s="4">
        <v>0.29283553628533299</v>
      </c>
      <c r="R96" s="4">
        <f>+C96</f>
        <v>1</v>
      </c>
      <c r="S96" s="4">
        <f t="shared" si="2"/>
        <v>9.7355066569361996E-3</v>
      </c>
      <c r="T96" s="4">
        <f>+J96/I96</f>
        <v>-0.36464737046874074</v>
      </c>
      <c r="U96" s="4">
        <f t="shared" si="3"/>
        <v>-0.34940273400435456</v>
      </c>
    </row>
    <row r="97" spans="1:21" s="4" customFormat="1" x14ac:dyDescent="0.2">
      <c r="A97" s="4">
        <v>9.7355066569360896E-2</v>
      </c>
      <c r="B97" s="4" t="s">
        <v>52</v>
      </c>
      <c r="C97" s="4">
        <v>1</v>
      </c>
      <c r="D97" s="4">
        <v>0.1</v>
      </c>
      <c r="E97" s="4" t="s">
        <v>71</v>
      </c>
      <c r="F97" s="4" t="s">
        <v>73</v>
      </c>
      <c r="G97" s="4">
        <v>-1.2293062937994999E-5</v>
      </c>
      <c r="H97" s="4">
        <v>2.8099508609811998E-6</v>
      </c>
      <c r="I97" s="4">
        <v>3.6592909840941897E-5</v>
      </c>
      <c r="J97" s="4">
        <v>-2.23259892157893E-5</v>
      </c>
      <c r="K97" s="4">
        <v>1.0462282608328499</v>
      </c>
      <c r="L97" s="4">
        <v>-4.9880051685182804E-16</v>
      </c>
      <c r="M97" s="4">
        <v>1.4277135941194299E-2</v>
      </c>
      <c r="N97" s="4">
        <v>1.9243241770013899</v>
      </c>
      <c r="O97" s="4">
        <v>0.98214303854905405</v>
      </c>
      <c r="P97" s="4">
        <v>2.1237639498605899E-2</v>
      </c>
      <c r="Q97" s="4">
        <v>0.83128697504063997</v>
      </c>
      <c r="R97" s="4">
        <f>+C97</f>
        <v>1</v>
      </c>
      <c r="S97" s="4">
        <f t="shared" si="2"/>
        <v>9.7355066569360896E-2</v>
      </c>
      <c r="T97" s="4">
        <f>+J97/I97</f>
        <v>-0.61011789750619705</v>
      </c>
      <c r="U97" s="4">
        <f t="shared" si="3"/>
        <v>-0.48119654481832103</v>
      </c>
    </row>
    <row r="98" spans="1:21" s="4" customFormat="1" x14ac:dyDescent="0.2">
      <c r="A98" s="4">
        <v>9.7355066569360896E-2</v>
      </c>
      <c r="B98" s="4" t="s">
        <v>52</v>
      </c>
      <c r="C98" s="4">
        <v>1</v>
      </c>
      <c r="D98" s="4">
        <v>0.1</v>
      </c>
      <c r="E98" s="4" t="s">
        <v>72</v>
      </c>
      <c r="F98" s="4" t="s">
        <v>73</v>
      </c>
      <c r="G98" s="4">
        <v>-1.2293062937996E-5</v>
      </c>
      <c r="H98" s="4">
        <v>2.8297433292870198E-6</v>
      </c>
      <c r="I98" s="4">
        <v>3.6592909840952001E-5</v>
      </c>
      <c r="J98" s="4">
        <v>-2.2325989216188899E-5</v>
      </c>
      <c r="K98" s="4">
        <v>1.0462282608064899</v>
      </c>
      <c r="L98" s="4">
        <v>-4.9880051656381E-16</v>
      </c>
      <c r="M98" s="4">
        <v>1.4600338237730499E-2</v>
      </c>
      <c r="N98" s="4">
        <v>1.92432417700122</v>
      </c>
      <c r="O98" s="4">
        <v>0.98367623972971396</v>
      </c>
      <c r="P98" s="4">
        <v>2.12376394985077E-2</v>
      </c>
      <c r="Q98" s="4">
        <v>0.83727334752281501</v>
      </c>
      <c r="R98" s="4">
        <f>+C98</f>
        <v>1</v>
      </c>
      <c r="S98" s="4">
        <f t="shared" si="2"/>
        <v>9.7355066569360896E-2</v>
      </c>
      <c r="T98" s="4">
        <f>+J98/I98</f>
        <v>-0.61011789751694878</v>
      </c>
      <c r="U98" s="4">
        <f t="shared" si="3"/>
        <v>-0.48119654481832103</v>
      </c>
    </row>
    <row r="99" spans="1:21" s="4" customFormat="1" x14ac:dyDescent="0.2">
      <c r="A99" s="4">
        <v>9.7355066569360896E-2</v>
      </c>
      <c r="B99" s="4" t="s">
        <v>52</v>
      </c>
      <c r="C99" s="4">
        <v>1</v>
      </c>
      <c r="D99" s="4">
        <v>0.1</v>
      </c>
      <c r="E99" s="4" t="s">
        <v>70</v>
      </c>
      <c r="F99" s="4" t="s">
        <v>72</v>
      </c>
      <c r="G99" s="4">
        <v>-1.2293212705167601E-5</v>
      </c>
      <c r="H99" s="4">
        <v>2.8168750594316602E-6</v>
      </c>
      <c r="I99" s="4">
        <v>3.6593363151340901E-5</v>
      </c>
      <c r="J99" s="4">
        <v>-2.2326883008821599E-5</v>
      </c>
      <c r="K99" s="4">
        <v>1.0462602701961501</v>
      </c>
      <c r="L99" s="4">
        <v>-4.98515188736016E-16</v>
      </c>
      <c r="M99" s="4">
        <v>1.4523625422544199E-2</v>
      </c>
      <c r="N99" s="4">
        <v>1.9243256085791001</v>
      </c>
      <c r="O99" s="4">
        <v>0.982466814997348</v>
      </c>
      <c r="P99" s="4">
        <v>2.12372341884236E-2</v>
      </c>
      <c r="Q99" s="4">
        <v>0.83338327314168203</v>
      </c>
      <c r="R99" s="4">
        <f>+C99</f>
        <v>1</v>
      </c>
      <c r="S99" s="4">
        <f t="shared" si="2"/>
        <v>9.7355066569360896E-2</v>
      </c>
      <c r="T99" s="4">
        <f>+J99/I99</f>
        <v>-0.610134764505882</v>
      </c>
      <c r="U99" s="4">
        <f t="shared" si="3"/>
        <v>-0.48119654481832103</v>
      </c>
    </row>
    <row r="100" spans="1:21" s="4" customFormat="1" x14ac:dyDescent="0.2">
      <c r="A100" s="4">
        <v>9.7355066569360896E-2</v>
      </c>
      <c r="B100" s="4" t="s">
        <v>52</v>
      </c>
      <c r="C100" s="4">
        <v>1</v>
      </c>
      <c r="D100" s="4">
        <v>0.1</v>
      </c>
      <c r="E100" s="4" t="s">
        <v>70</v>
      </c>
      <c r="F100" s="4" t="s">
        <v>71</v>
      </c>
      <c r="G100" s="4">
        <v>-1.22932127051684E-5</v>
      </c>
      <c r="H100" s="4">
        <v>2.7975296293501102E-6</v>
      </c>
      <c r="I100" s="4">
        <v>3.6593363151351303E-5</v>
      </c>
      <c r="J100" s="4">
        <v>-2.2326883009281999E-5</v>
      </c>
      <c r="K100" s="4">
        <v>1.0462602702225201</v>
      </c>
      <c r="L100" s="4">
        <v>-4.9851518921682603E-16</v>
      </c>
      <c r="M100" s="4">
        <v>1.42537472321233E-2</v>
      </c>
      <c r="N100" s="4">
        <v>1.9243256085790199</v>
      </c>
      <c r="O100" s="4">
        <v>0.98109094981295597</v>
      </c>
      <c r="P100" s="4">
        <v>2.1237234188288E-2</v>
      </c>
      <c r="Q100" s="4">
        <v>0.82754663890496405</v>
      </c>
      <c r="R100" s="4">
        <f>+C100</f>
        <v>1</v>
      </c>
      <c r="S100" s="4">
        <f t="shared" si="2"/>
        <v>9.7355066569360896E-2</v>
      </c>
      <c r="T100" s="4">
        <f>+J100/I100</f>
        <v>-0.61013476451829007</v>
      </c>
      <c r="U100" s="4">
        <f t="shared" si="3"/>
        <v>-0.48119654481832103</v>
      </c>
    </row>
    <row r="101" spans="1:21" s="4" customFormat="1" x14ac:dyDescent="0.2">
      <c r="A101" s="4">
        <v>9.7355066569360896E-2</v>
      </c>
      <c r="B101" s="4" t="s">
        <v>52</v>
      </c>
      <c r="C101" s="4">
        <v>1</v>
      </c>
      <c r="D101" s="4">
        <v>0.1</v>
      </c>
      <c r="E101" s="4" t="s">
        <v>70</v>
      </c>
      <c r="F101" s="4" t="s">
        <v>73</v>
      </c>
      <c r="G101" s="4">
        <v>-2.45862756442116E-5</v>
      </c>
      <c r="H101" s="4">
        <v>5.6104762227837497E-6</v>
      </c>
      <c r="I101" s="4">
        <v>7.3186272992294E-5</v>
      </c>
      <c r="J101" s="4">
        <v>-4.4652872225036201E-5</v>
      </c>
      <c r="K101" s="4">
        <v>1.04624426558102</v>
      </c>
      <c r="L101" s="4">
        <v>-4.9901178289445301E-16</v>
      </c>
      <c r="M101" s="4">
        <v>1.4360107608520399E-2</v>
      </c>
      <c r="N101" s="4">
        <v>1.9243247717102701</v>
      </c>
      <c r="O101" s="4">
        <v>0.98162758051369603</v>
      </c>
      <c r="P101" s="4">
        <v>2.12374247794213E-2</v>
      </c>
      <c r="Q101" s="4">
        <v>0.82987151158238803</v>
      </c>
      <c r="R101" s="4">
        <f>+C101</f>
        <v>1</v>
      </c>
      <c r="S101" s="4">
        <f t="shared" si="2"/>
        <v>9.7355066569360896E-2</v>
      </c>
      <c r="T101" s="4">
        <f>+J101/I101</f>
        <v>-0.61012633106399383</v>
      </c>
      <c r="U101" s="4">
        <f t="shared" si="3"/>
        <v>-0.48119654481832103</v>
      </c>
    </row>
    <row r="102" spans="1:21" s="4" customFormat="1" x14ac:dyDescent="0.2">
      <c r="A102" s="4">
        <v>0.18237679682340799</v>
      </c>
      <c r="B102" s="4" t="s">
        <v>52</v>
      </c>
      <c r="C102" s="4">
        <v>1</v>
      </c>
      <c r="D102" s="4">
        <v>0.2</v>
      </c>
      <c r="E102" s="4" t="s">
        <v>80</v>
      </c>
      <c r="F102" s="4" t="s">
        <v>81</v>
      </c>
      <c r="G102" s="4">
        <v>-1.34903522752057E-5</v>
      </c>
      <c r="H102" s="4">
        <v>1.91203179242563E-6</v>
      </c>
      <c r="I102" s="4">
        <v>4.0273033047380098E-5</v>
      </c>
      <c r="J102" s="4">
        <v>-3.4511340590525498E-5</v>
      </c>
      <c r="K102" s="4">
        <v>1.0965544759336601</v>
      </c>
      <c r="L102" s="4">
        <v>-3.5062657666681099E-16</v>
      </c>
      <c r="M102" s="4">
        <v>9.7617700969708995E-3</v>
      </c>
      <c r="N102" s="4">
        <v>1.94679856515435</v>
      </c>
      <c r="O102" s="4">
        <v>0.61672132626647103</v>
      </c>
      <c r="P102" s="4">
        <v>1.48866055796213E-2</v>
      </c>
      <c r="Q102" s="4">
        <v>0.53089565514956205</v>
      </c>
      <c r="R102" s="4">
        <f>+C102</f>
        <v>1</v>
      </c>
      <c r="S102" s="4">
        <f t="shared" si="2"/>
        <v>0.18237679682340799</v>
      </c>
      <c r="T102" s="4">
        <f>+J102/I102</f>
        <v>-0.85693423065314867</v>
      </c>
      <c r="U102" s="4">
        <f t="shared" si="3"/>
        <v>-0.59040986668178908</v>
      </c>
    </row>
    <row r="103" spans="1:21" s="4" customFormat="1" x14ac:dyDescent="0.2">
      <c r="A103" s="4">
        <v>0.18237679682340799</v>
      </c>
      <c r="B103" s="4" t="s">
        <v>52</v>
      </c>
      <c r="C103" s="4">
        <v>1</v>
      </c>
      <c r="D103" s="4">
        <v>0.2</v>
      </c>
      <c r="E103" s="4" t="s">
        <v>79</v>
      </c>
      <c r="F103" s="4" t="s">
        <v>81</v>
      </c>
      <c r="G103" s="4">
        <v>-1.3490352275207101E-5</v>
      </c>
      <c r="H103" s="4">
        <v>1.90408832223711E-6</v>
      </c>
      <c r="I103" s="4">
        <v>4.0273033047389199E-5</v>
      </c>
      <c r="J103" s="4">
        <v>-3.4511340590722497E-5</v>
      </c>
      <c r="K103" s="4">
        <v>1.0965544758960699</v>
      </c>
      <c r="L103" s="4">
        <v>-3.5062657654241399E-16</v>
      </c>
      <c r="M103" s="4">
        <v>9.8154896125593801E-3</v>
      </c>
      <c r="N103" s="4">
        <v>1.94679856515375</v>
      </c>
      <c r="O103" s="4">
        <v>0.61606826590471797</v>
      </c>
      <c r="P103" s="4">
        <v>1.48866055796677E-2</v>
      </c>
      <c r="Q103" s="4">
        <v>0.52865857230223701</v>
      </c>
      <c r="R103" s="4">
        <f>+C103</f>
        <v>1</v>
      </c>
      <c r="S103" s="4">
        <f t="shared" si="2"/>
        <v>0.18237679682340799</v>
      </c>
      <c r="T103" s="4">
        <f>+J103/I103</f>
        <v>-0.85693423065784669</v>
      </c>
      <c r="U103" s="4">
        <f t="shared" si="3"/>
        <v>-0.59040986668178908</v>
      </c>
    </row>
    <row r="104" spans="1:21" s="4" customFormat="1" x14ac:dyDescent="0.2">
      <c r="A104" s="4">
        <v>0.18237679682340799</v>
      </c>
      <c r="B104" s="4" t="s">
        <v>52</v>
      </c>
      <c r="C104" s="4">
        <v>1</v>
      </c>
      <c r="D104" s="4">
        <v>0.2</v>
      </c>
      <c r="E104" s="4" t="s">
        <v>78</v>
      </c>
      <c r="F104" s="4" t="s">
        <v>79</v>
      </c>
      <c r="G104" s="4">
        <v>-1.34906593309263E-5</v>
      </c>
      <c r="H104" s="4">
        <v>1.9116321005760599E-6</v>
      </c>
      <c r="I104" s="4">
        <v>4.02739678979488E-5</v>
      </c>
      <c r="J104" s="4">
        <v>-3.4513759158580501E-5</v>
      </c>
      <c r="K104" s="4">
        <v>1.0966016853520699</v>
      </c>
      <c r="L104" s="4">
        <v>-3.5054934872188501E-16</v>
      </c>
      <c r="M104" s="4">
        <v>9.8036502311168797E-3</v>
      </c>
      <c r="N104" s="4">
        <v>1.9468024745058501</v>
      </c>
      <c r="O104" s="4">
        <v>0.61659970664751296</v>
      </c>
      <c r="P104" s="4">
        <v>1.48855010094134E-2</v>
      </c>
      <c r="Q104" s="4">
        <v>0.53076825342368705</v>
      </c>
      <c r="R104" s="4">
        <f>+C104</f>
        <v>1</v>
      </c>
      <c r="S104" s="4">
        <f t="shared" si="2"/>
        <v>0.18237679682340799</v>
      </c>
      <c r="T104" s="4">
        <f>+J104/I104</f>
        <v>-0.85697439214422</v>
      </c>
      <c r="U104" s="4">
        <f t="shared" si="3"/>
        <v>-0.59040986668178908</v>
      </c>
    </row>
    <row r="105" spans="1:21" s="4" customFormat="1" x14ac:dyDescent="0.2">
      <c r="A105" s="4">
        <v>0.18237679682340799</v>
      </c>
      <c r="B105" s="4" t="s">
        <v>52</v>
      </c>
      <c r="C105" s="4">
        <v>1</v>
      </c>
      <c r="D105" s="4">
        <v>0.2</v>
      </c>
      <c r="E105" s="4" t="s">
        <v>78</v>
      </c>
      <c r="F105" s="4" t="s">
        <v>80</v>
      </c>
      <c r="G105" s="4">
        <v>-1.3490659330928001E-5</v>
      </c>
      <c r="H105" s="4">
        <v>1.9400225768993701E-6</v>
      </c>
      <c r="I105" s="4">
        <v>4.0273967897959201E-5</v>
      </c>
      <c r="J105" s="4">
        <v>-3.4513759158781397E-5</v>
      </c>
      <c r="K105" s="4">
        <v>1.0966016853896601</v>
      </c>
      <c r="L105" s="4">
        <v>-3.50549349510021E-16</v>
      </c>
      <c r="M105" s="4">
        <v>9.8409854429768392E-3</v>
      </c>
      <c r="N105" s="4">
        <v>1.94680247450512</v>
      </c>
      <c r="O105" s="4">
        <v>0.619343688511933</v>
      </c>
      <c r="P105" s="4">
        <v>1.48855010094822E-2</v>
      </c>
      <c r="Q105" s="4">
        <v>0.538713045859186</v>
      </c>
      <c r="R105" s="4">
        <f>+C105</f>
        <v>1</v>
      </c>
      <c r="S105" s="4">
        <f t="shared" si="2"/>
        <v>0.18237679682340799</v>
      </c>
      <c r="T105" s="4">
        <f>+J105/I105</f>
        <v>-0.85697439214898685</v>
      </c>
      <c r="U105" s="4">
        <f t="shared" si="3"/>
        <v>-0.59040986668178908</v>
      </c>
    </row>
    <row r="106" spans="1:21" s="4" customFormat="1" x14ac:dyDescent="0.2">
      <c r="A106" s="4">
        <v>0.18237679682340799</v>
      </c>
      <c r="B106" s="4" t="s">
        <v>52</v>
      </c>
      <c r="C106" s="4">
        <v>1</v>
      </c>
      <c r="D106" s="4">
        <v>0.2</v>
      </c>
      <c r="E106" s="4" t="s">
        <v>78</v>
      </c>
      <c r="F106" s="4" t="s">
        <v>81</v>
      </c>
      <c r="G106" s="4">
        <v>-2.6981011598573401E-5</v>
      </c>
      <c r="H106" s="4">
        <v>3.8312454182620898E-6</v>
      </c>
      <c r="I106" s="4">
        <v>8.0547000945339997E-5</v>
      </c>
      <c r="J106" s="4">
        <v>-6.9025099749481201E-5</v>
      </c>
      <c r="K106" s="4">
        <v>1.0965780809054899</v>
      </c>
      <c r="L106" s="4">
        <v>-3.5066186486007902E-16</v>
      </c>
      <c r="M106" s="4">
        <v>9.9107424624511505E-3</v>
      </c>
      <c r="N106" s="4">
        <v>1.9468004321946299</v>
      </c>
      <c r="O106" s="4">
        <v>0.61682129075877101</v>
      </c>
      <c r="P106" s="4">
        <v>1.4886046365549001E-2</v>
      </c>
      <c r="Q106" s="4">
        <v>0.53189757971574503</v>
      </c>
      <c r="R106" s="4">
        <f>+C106</f>
        <v>1</v>
      </c>
      <c r="S106" s="4">
        <f t="shared" si="2"/>
        <v>0.18237679682340799</v>
      </c>
      <c r="T106" s="4">
        <f>+J106/I106</f>
        <v>-0.8569543116362871</v>
      </c>
      <c r="U106" s="4">
        <f t="shared" si="3"/>
        <v>-0.59040986668178908</v>
      </c>
    </row>
    <row r="107" spans="1:21" s="4" customFormat="1" x14ac:dyDescent="0.2">
      <c r="A107" s="4">
        <v>0.251645321963609</v>
      </c>
      <c r="B107" s="4" t="s">
        <v>52</v>
      </c>
      <c r="C107" s="4">
        <v>1</v>
      </c>
      <c r="D107" s="4">
        <v>0.3</v>
      </c>
      <c r="E107" s="4" t="s">
        <v>92</v>
      </c>
      <c r="F107" s="4" t="s">
        <v>93</v>
      </c>
      <c r="G107" s="4">
        <v>-1.48495440714424E-5</v>
      </c>
      <c r="H107" s="4">
        <v>1.03880653913587E-6</v>
      </c>
      <c r="I107" s="4">
        <v>4.4438373242275998E-5</v>
      </c>
      <c r="J107" s="4">
        <v>-4.81114132754243E-5</v>
      </c>
      <c r="K107" s="4">
        <v>1.1509299871898899</v>
      </c>
      <c r="L107" s="4">
        <v>-1.9527675640460999E-16</v>
      </c>
      <c r="M107" s="4">
        <v>5.14603290006995E-3</v>
      </c>
      <c r="N107" s="4">
        <v>1.97032158427825</v>
      </c>
      <c r="O107" s="4">
        <v>0.30887044648479101</v>
      </c>
      <c r="P107" s="4">
        <v>8.2457939492990504E-3</v>
      </c>
      <c r="Q107" s="4">
        <v>0.27005304316308998</v>
      </c>
      <c r="R107" s="4">
        <f>+C107</f>
        <v>1</v>
      </c>
      <c r="S107" s="4">
        <f t="shared" si="2"/>
        <v>0.251645321963609</v>
      </c>
      <c r="T107" s="4">
        <f>+J107/I107</f>
        <v>-1.082654691546044</v>
      </c>
      <c r="U107" s="4">
        <f t="shared" si="3"/>
        <v>-0.66841936975247673</v>
      </c>
    </row>
    <row r="108" spans="1:21" s="4" customFormat="1" x14ac:dyDescent="0.2">
      <c r="A108" s="4">
        <v>0.251645321963609</v>
      </c>
      <c r="B108" s="4" t="s">
        <v>52</v>
      </c>
      <c r="C108" s="4">
        <v>1</v>
      </c>
      <c r="D108" s="4">
        <v>0.3</v>
      </c>
      <c r="E108" s="4" t="s">
        <v>91</v>
      </c>
      <c r="F108" s="4" t="s">
        <v>93</v>
      </c>
      <c r="G108" s="4">
        <v>-1.48495440714431E-5</v>
      </c>
      <c r="H108" s="4">
        <v>1.03208024695078E-6</v>
      </c>
      <c r="I108" s="4">
        <v>4.4438373242279298E-5</v>
      </c>
      <c r="J108" s="4">
        <v>-4.8111413275417402E-5</v>
      </c>
      <c r="K108" s="4">
        <v>1.1509299872458101</v>
      </c>
      <c r="L108" s="4">
        <v>-1.95276756148138E-16</v>
      </c>
      <c r="M108" s="4">
        <v>5.05435477413125E-3</v>
      </c>
      <c r="N108" s="4">
        <v>1.9703215842778099</v>
      </c>
      <c r="O108" s="4">
        <v>0.30851798018619703</v>
      </c>
      <c r="P108" s="4">
        <v>8.24579394937997E-3</v>
      </c>
      <c r="Q108" s="4">
        <v>0.268295035177743</v>
      </c>
      <c r="R108" s="4">
        <f>+C108</f>
        <v>1</v>
      </c>
      <c r="S108" s="4">
        <f t="shared" si="2"/>
        <v>0.251645321963609</v>
      </c>
      <c r="T108" s="4">
        <f>+J108/I108</f>
        <v>-1.0826546915458084</v>
      </c>
      <c r="U108" s="4">
        <f t="shared" si="3"/>
        <v>-0.66841936975247673</v>
      </c>
    </row>
    <row r="109" spans="1:21" s="4" customFormat="1" x14ac:dyDescent="0.2">
      <c r="A109" s="4">
        <v>0.251645321963609</v>
      </c>
      <c r="B109" s="4" t="s">
        <v>52</v>
      </c>
      <c r="C109" s="4">
        <v>1</v>
      </c>
      <c r="D109" s="4">
        <v>0.3</v>
      </c>
      <c r="E109" s="4" t="s">
        <v>90</v>
      </c>
      <c r="F109" s="4" t="s">
        <v>92</v>
      </c>
      <c r="G109" s="4">
        <v>-1.4850021075106101E-5</v>
      </c>
      <c r="H109" s="4">
        <v>1.0413320023021899E-6</v>
      </c>
      <c r="I109" s="4">
        <v>4.4439832052984698E-5</v>
      </c>
      <c r="J109" s="4">
        <v>-4.8116055002777199E-5</v>
      </c>
      <c r="K109" s="4">
        <v>1.15099269178354</v>
      </c>
      <c r="L109" s="4">
        <v>-1.95436717081436E-16</v>
      </c>
      <c r="M109" s="4">
        <v>5.0627472803464703E-3</v>
      </c>
      <c r="N109" s="4">
        <v>1.9703292608251799</v>
      </c>
      <c r="O109" s="4">
        <v>0.30913676301061699</v>
      </c>
      <c r="P109" s="4">
        <v>8.2436267805475697E-3</v>
      </c>
      <c r="Q109" s="4">
        <v>0.27070125948971302</v>
      </c>
      <c r="R109" s="4">
        <f>+C109</f>
        <v>1</v>
      </c>
      <c r="S109" s="4">
        <f t="shared" si="2"/>
        <v>0.251645321963609</v>
      </c>
      <c r="T109" s="4">
        <f>+J109/I109</f>
        <v>-1.0827236013270576</v>
      </c>
      <c r="U109" s="4">
        <f t="shared" si="3"/>
        <v>-0.66841936975247673</v>
      </c>
    </row>
    <row r="110" spans="1:21" s="4" customFormat="1" x14ac:dyDescent="0.2">
      <c r="A110" s="4">
        <v>0.251645321963609</v>
      </c>
      <c r="B110" s="4" t="s">
        <v>52</v>
      </c>
      <c r="C110" s="4">
        <v>1</v>
      </c>
      <c r="D110" s="4">
        <v>0.3</v>
      </c>
      <c r="E110" s="4" t="s">
        <v>90</v>
      </c>
      <c r="F110" s="4" t="s">
        <v>91</v>
      </c>
      <c r="G110" s="4">
        <v>-1.48500210751183E-5</v>
      </c>
      <c r="H110" s="4">
        <v>1.04284105465698E-6</v>
      </c>
      <c r="I110" s="4">
        <v>4.4439832052981899E-5</v>
      </c>
      <c r="J110" s="4">
        <v>-4.8116055002939301E-5</v>
      </c>
      <c r="K110" s="4">
        <v>1.15099269183946</v>
      </c>
      <c r="L110" s="4">
        <v>-1.9542116146860301E-16</v>
      </c>
      <c r="M110" s="4">
        <v>5.14961828372466E-3</v>
      </c>
      <c r="N110" s="4">
        <v>1.97032926081257</v>
      </c>
      <c r="O110" s="4">
        <v>0.30911914157359299</v>
      </c>
      <c r="P110" s="4">
        <v>8.24362676681052E-3</v>
      </c>
      <c r="Q110" s="4">
        <v>0.27110003611616501</v>
      </c>
      <c r="R110" s="4">
        <f>+C110</f>
        <v>1</v>
      </c>
      <c r="S110" s="4">
        <f t="shared" si="2"/>
        <v>0.251645321963609</v>
      </c>
      <c r="T110" s="4">
        <f>+J110/I110</f>
        <v>-1.0827236013307735</v>
      </c>
      <c r="U110" s="4">
        <f t="shared" si="3"/>
        <v>-0.66841936975247673</v>
      </c>
    </row>
    <row r="111" spans="1:21" s="4" customFormat="1" x14ac:dyDescent="0.2">
      <c r="A111" s="4">
        <v>0.251645321963609</v>
      </c>
      <c r="B111" s="4" t="s">
        <v>52</v>
      </c>
      <c r="C111" s="4">
        <v>1</v>
      </c>
      <c r="D111" s="4">
        <v>0.3</v>
      </c>
      <c r="E111" s="4" t="s">
        <v>90</v>
      </c>
      <c r="F111" s="4" t="s">
        <v>93</v>
      </c>
      <c r="G111" s="4">
        <v>-2.9699565136600499E-5</v>
      </c>
      <c r="H111" s="4">
        <v>2.09378424829656E-6</v>
      </c>
      <c r="I111" s="4">
        <v>8.8878205295258805E-5</v>
      </c>
      <c r="J111" s="4">
        <v>-9.6227468278129799E-5</v>
      </c>
      <c r="K111" s="4">
        <v>1.1509613401938501</v>
      </c>
      <c r="L111" s="4">
        <v>-1.9549080209171799E-16</v>
      </c>
      <c r="M111" s="4">
        <v>5.2808715000691097E-3</v>
      </c>
      <c r="N111" s="4">
        <v>1.9703253720734499</v>
      </c>
      <c r="O111" s="4">
        <v>0.30929150457502802</v>
      </c>
      <c r="P111" s="4">
        <v>8.2447073951002793E-3</v>
      </c>
      <c r="Q111" s="4">
        <v>0.27216063943070001</v>
      </c>
      <c r="R111" s="4">
        <f>+C111</f>
        <v>1</v>
      </c>
      <c r="S111" s="4">
        <f t="shared" si="2"/>
        <v>0.251645321963609</v>
      </c>
      <c r="T111" s="4">
        <f>+J111/I111</f>
        <v>-1.0826891470012958</v>
      </c>
      <c r="U111" s="4">
        <f t="shared" si="3"/>
        <v>-0.66841936975247673</v>
      </c>
    </row>
    <row r="112" spans="1:21" s="4" customFormat="1" x14ac:dyDescent="0.2">
      <c r="A112" s="4">
        <v>0.31241255757525099</v>
      </c>
      <c r="B112" s="4" t="s">
        <v>52</v>
      </c>
      <c r="C112" s="4">
        <v>1</v>
      </c>
      <c r="D112" s="4">
        <v>0.4</v>
      </c>
      <c r="E112" s="4" t="s">
        <v>103</v>
      </c>
      <c r="F112" s="4" t="s">
        <v>105</v>
      </c>
      <c r="G112" s="4">
        <v>-1.6275016723138E-5</v>
      </c>
      <c r="H112" s="4">
        <v>1.6947604844464999E-7</v>
      </c>
      <c r="I112" s="4">
        <v>4.8804105801757298E-5</v>
      </c>
      <c r="J112" s="4">
        <v>-6.3182389883798294E-5</v>
      </c>
      <c r="K112" s="4">
        <v>1.2052353890977401</v>
      </c>
      <c r="L112" s="4">
        <v>-2.73762463956328E-17</v>
      </c>
      <c r="M112" s="4">
        <v>8.3455259878285003E-4</v>
      </c>
      <c r="N112" s="4">
        <v>1.9955168212366801</v>
      </c>
      <c r="O112" s="4">
        <v>4.6587086855401201E-2</v>
      </c>
      <c r="P112" s="4">
        <v>1.0983266946879499E-3</v>
      </c>
      <c r="Q112" s="4">
        <v>4.1490748664141999E-2</v>
      </c>
      <c r="R112" s="4">
        <f>+C112</f>
        <v>1</v>
      </c>
      <c r="S112" s="4">
        <f t="shared" si="2"/>
        <v>0.31241255757525099</v>
      </c>
      <c r="T112" s="4">
        <f>+J112/I112</f>
        <v>-1.2946121816153278</v>
      </c>
      <c r="U112" s="4">
        <f t="shared" si="3"/>
        <v>-0.73007412414133088</v>
      </c>
    </row>
    <row r="113" spans="1:21" s="4" customFormat="1" x14ac:dyDescent="0.2">
      <c r="A113" s="4">
        <v>0.31241255757525099</v>
      </c>
      <c r="B113" s="4" t="s">
        <v>52</v>
      </c>
      <c r="C113" s="4">
        <v>1</v>
      </c>
      <c r="D113" s="4">
        <v>0.4</v>
      </c>
      <c r="E113" s="4" t="s">
        <v>104</v>
      </c>
      <c r="F113" s="4" t="s">
        <v>105</v>
      </c>
      <c r="G113" s="4">
        <v>-1.6275016723138302E-5</v>
      </c>
      <c r="H113" s="4">
        <v>1.6985434170198599E-7</v>
      </c>
      <c r="I113" s="4">
        <v>4.8804105801756302E-5</v>
      </c>
      <c r="J113" s="4">
        <v>-6.3182389883637195E-5</v>
      </c>
      <c r="K113" s="4">
        <v>1.20523538918169</v>
      </c>
      <c r="L113" s="4">
        <v>-2.73762464054886E-17</v>
      </c>
      <c r="M113" s="4">
        <v>8.3890000592096203E-4</v>
      </c>
      <c r="N113" s="4">
        <v>1.99551682123626</v>
      </c>
      <c r="O113" s="4">
        <v>4.6606389629086899E-2</v>
      </c>
      <c r="P113" s="4">
        <v>1.0983266947721701E-3</v>
      </c>
      <c r="Q113" s="4">
        <v>4.1583730196212802E-2</v>
      </c>
      <c r="R113" s="4">
        <f>+C113</f>
        <v>1</v>
      </c>
      <c r="S113" s="4">
        <f t="shared" si="2"/>
        <v>0.31241255757525099</v>
      </c>
      <c r="T113" s="4">
        <f>+J113/I113</f>
        <v>-1.2946121816120533</v>
      </c>
      <c r="U113" s="4">
        <f t="shared" si="3"/>
        <v>-0.73007412414133088</v>
      </c>
    </row>
    <row r="114" spans="1:21" s="4" customFormat="1" x14ac:dyDescent="0.2">
      <c r="A114" s="4">
        <v>0.31241255757525099</v>
      </c>
      <c r="B114" s="4" t="s">
        <v>52</v>
      </c>
      <c r="C114" s="4">
        <v>1</v>
      </c>
      <c r="D114" s="4">
        <v>0.4</v>
      </c>
      <c r="E114" s="4" t="s">
        <v>102</v>
      </c>
      <c r="F114" s="4" t="s">
        <v>104</v>
      </c>
      <c r="G114" s="4">
        <v>-1.62756807597414E-5</v>
      </c>
      <c r="H114" s="4">
        <v>1.7038090306312001E-7</v>
      </c>
      <c r="I114" s="4">
        <v>4.8806142387638802E-5</v>
      </c>
      <c r="J114" s="4">
        <v>-6.3190027648743995E-5</v>
      </c>
      <c r="K114" s="4">
        <v>1.2053140262920501</v>
      </c>
      <c r="L114" s="4">
        <v>-2.71945675725656E-17</v>
      </c>
      <c r="M114" s="4">
        <v>8.4674194403408704E-4</v>
      </c>
      <c r="N114" s="4">
        <v>1.9955294832999799</v>
      </c>
      <c r="O114" s="4">
        <v>4.6541595657140403E-2</v>
      </c>
      <c r="P114" s="4">
        <v>1.0945958064763001E-3</v>
      </c>
      <c r="Q114" s="4">
        <v>4.1711547361440497E-2</v>
      </c>
      <c r="R114" s="4">
        <f>+C114</f>
        <v>1</v>
      </c>
      <c r="S114" s="4">
        <f t="shared" si="2"/>
        <v>0.31241255757525099</v>
      </c>
      <c r="T114" s="4">
        <f>+J114/I114</f>
        <v>-1.2947146518334181</v>
      </c>
      <c r="U114" s="4">
        <f t="shared" si="3"/>
        <v>-0.73007412414133088</v>
      </c>
    </row>
    <row r="115" spans="1:21" s="4" customFormat="1" x14ac:dyDescent="0.2">
      <c r="A115" s="4">
        <v>0.31241255757525099</v>
      </c>
      <c r="B115" s="4" t="s">
        <v>52</v>
      </c>
      <c r="C115" s="4">
        <v>1</v>
      </c>
      <c r="D115" s="4">
        <v>0.4</v>
      </c>
      <c r="E115" s="4" t="s">
        <v>102</v>
      </c>
      <c r="F115" s="4" t="s">
        <v>103</v>
      </c>
      <c r="G115" s="4">
        <v>-1.62756807598102E-5</v>
      </c>
      <c r="H115" s="4">
        <v>1.6850823071083201E-7</v>
      </c>
      <c r="I115" s="4">
        <v>4.88061423876395E-5</v>
      </c>
      <c r="J115" s="4">
        <v>-6.3190027648786794E-5</v>
      </c>
      <c r="K115" s="4">
        <v>1.2053140262080999</v>
      </c>
      <c r="L115" s="4">
        <v>-2.7285975621841E-17</v>
      </c>
      <c r="M115" s="4">
        <v>8.3107780614245297E-4</v>
      </c>
      <c r="N115" s="4">
        <v>1.9955294835350199</v>
      </c>
      <c r="O115" s="4">
        <v>4.64332671847709E-2</v>
      </c>
      <c r="P115" s="4">
        <v>1.09459580669025E-3</v>
      </c>
      <c r="Q115" s="4">
        <v>4.1254277813035103E-2</v>
      </c>
      <c r="R115" s="4">
        <f>+C115</f>
        <v>1</v>
      </c>
      <c r="S115" s="4">
        <f t="shared" si="2"/>
        <v>0.31241255757525099</v>
      </c>
      <c r="T115" s="4">
        <f>+J115/I115</f>
        <v>-1.2947146518342765</v>
      </c>
      <c r="U115" s="4">
        <f t="shared" si="3"/>
        <v>-0.73007412414133088</v>
      </c>
    </row>
    <row r="116" spans="1:21" s="4" customFormat="1" x14ac:dyDescent="0.2">
      <c r="A116" s="4">
        <v>0.31241255757525099</v>
      </c>
      <c r="B116" s="4" t="s">
        <v>52</v>
      </c>
      <c r="C116" s="4">
        <v>1</v>
      </c>
      <c r="D116" s="4">
        <v>0.4</v>
      </c>
      <c r="E116" s="4" t="s">
        <v>102</v>
      </c>
      <c r="F116" s="4" t="s">
        <v>105</v>
      </c>
      <c r="G116" s="4">
        <v>-3.25506974798015E-5</v>
      </c>
      <c r="H116" s="4">
        <v>3.3954298340231699E-7</v>
      </c>
      <c r="I116" s="4">
        <v>9.7610248189394704E-5</v>
      </c>
      <c r="J116" s="4">
        <v>-1.2637241753248201E-4</v>
      </c>
      <c r="K116" s="4">
        <v>1.2052747087012801</v>
      </c>
      <c r="L116" s="4">
        <v>-2.7295624766355001E-17</v>
      </c>
      <c r="M116" s="4">
        <v>8.1715408720256695E-4</v>
      </c>
      <c r="N116" s="4">
        <v>1.9955231453753099</v>
      </c>
      <c r="O116" s="4">
        <v>4.6589033673334598E-2</v>
      </c>
      <c r="P116" s="4">
        <v>1.09646107822039E-3</v>
      </c>
      <c r="Q116" s="4">
        <v>4.1563196406567603E-2</v>
      </c>
      <c r="R116" s="4">
        <f>+C116</f>
        <v>1</v>
      </c>
      <c r="S116" s="4">
        <f t="shared" si="2"/>
        <v>0.31241255757525099</v>
      </c>
      <c r="T116" s="4">
        <f>+J116/I116</f>
        <v>-1.2946634177927672</v>
      </c>
      <c r="U116" s="4">
        <f t="shared" si="3"/>
        <v>-0.73007412414133088</v>
      </c>
    </row>
    <row r="117" spans="1:21" s="4" customFormat="1" x14ac:dyDescent="0.2">
      <c r="A117" s="4">
        <v>0.36834909388245801</v>
      </c>
      <c r="B117" s="4" t="s">
        <v>52</v>
      </c>
      <c r="C117" s="4">
        <v>1</v>
      </c>
      <c r="D117" s="4">
        <v>0.5</v>
      </c>
      <c r="E117" s="4" t="s">
        <v>107</v>
      </c>
      <c r="F117" s="4" t="s">
        <v>109</v>
      </c>
      <c r="G117" s="4">
        <v>-1.76942420605572E-5</v>
      </c>
      <c r="H117" s="4">
        <v>4.9470624411088997E-8</v>
      </c>
      <c r="I117" s="4">
        <v>5.3236818252170098E-5</v>
      </c>
      <c r="J117" s="4">
        <v>-7.9689048779319602E-5</v>
      </c>
      <c r="K117" s="4">
        <v>1.25788013185711</v>
      </c>
      <c r="L117" s="4">
        <v>1.3500967895215401E-15</v>
      </c>
      <c r="M117" s="4">
        <v>2.9012904794257301E-4</v>
      </c>
      <c r="N117" s="4">
        <v>2.1045850704124698</v>
      </c>
      <c r="O117" s="4">
        <v>1.2354613638886999E-2</v>
      </c>
      <c r="P117" s="4">
        <v>1.2949571758473E-2</v>
      </c>
      <c r="Q117" s="4">
        <v>1.22991378656653E-2</v>
      </c>
      <c r="R117" s="4">
        <f>+C117</f>
        <v>1</v>
      </c>
      <c r="S117" s="4">
        <f t="shared" si="2"/>
        <v>0.36834909388245801</v>
      </c>
      <c r="T117" s="4">
        <f>+J117/I117</f>
        <v>-1.496878502427617</v>
      </c>
      <c r="U117" s="4">
        <f t="shared" si="3"/>
        <v>-0.78198723255789693</v>
      </c>
    </row>
    <row r="118" spans="1:21" s="4" customFormat="1" x14ac:dyDescent="0.2">
      <c r="A118" s="4">
        <v>0.36834909388245801</v>
      </c>
      <c r="B118" s="4" t="s">
        <v>52</v>
      </c>
      <c r="C118" s="4">
        <v>1</v>
      </c>
      <c r="D118" s="4">
        <v>0.5</v>
      </c>
      <c r="E118" s="4" t="s">
        <v>108</v>
      </c>
      <c r="F118" s="4" t="s">
        <v>109</v>
      </c>
      <c r="G118" s="4">
        <v>-1.7694242706981402E-5</v>
      </c>
      <c r="H118" s="4">
        <v>5.0580853856340302E-8</v>
      </c>
      <c r="I118" s="4">
        <v>5.3236818252170403E-5</v>
      </c>
      <c r="J118" s="4">
        <v>-7.9689048779470496E-5</v>
      </c>
      <c r="K118" s="4">
        <v>1.25788013181106</v>
      </c>
      <c r="L118" s="4">
        <v>1.24287597759615E-15</v>
      </c>
      <c r="M118" s="4">
        <v>2.96391732355014E-4</v>
      </c>
      <c r="N118" s="4">
        <v>2.1045852543158898</v>
      </c>
      <c r="O118" s="4">
        <v>1.24193255800931E-2</v>
      </c>
      <c r="P118" s="4">
        <v>1.29494085595016E-2</v>
      </c>
      <c r="Q118" s="4">
        <v>1.2576346965063699E-2</v>
      </c>
      <c r="R118" s="4">
        <f>+C118</f>
        <v>1</v>
      </c>
      <c r="S118" s="4">
        <f t="shared" si="2"/>
        <v>0.36834909388245801</v>
      </c>
      <c r="T118" s="4">
        <f>+J118/I118</f>
        <v>-1.4968785024304427</v>
      </c>
      <c r="U118" s="4">
        <f t="shared" si="3"/>
        <v>-0.78198723255789693</v>
      </c>
    </row>
    <row r="119" spans="1:21" s="4" customFormat="1" x14ac:dyDescent="0.2">
      <c r="A119" s="4">
        <v>0.36834909388245801</v>
      </c>
      <c r="B119" s="4" t="s">
        <v>52</v>
      </c>
      <c r="C119" s="4">
        <v>1</v>
      </c>
      <c r="D119" s="4">
        <v>0.5</v>
      </c>
      <c r="E119" s="4" t="s">
        <v>106</v>
      </c>
      <c r="F119" s="4" t="s">
        <v>108</v>
      </c>
      <c r="G119" s="4">
        <v>-1.7695196811210899E-5</v>
      </c>
      <c r="H119" s="4">
        <v>4.9791675092996203E-8</v>
      </c>
      <c r="I119" s="4">
        <v>5.32394898152033E-5</v>
      </c>
      <c r="J119" s="4">
        <v>-7.97005243701622E-5</v>
      </c>
      <c r="K119" s="4">
        <v>1.25797516291611</v>
      </c>
      <c r="L119" s="4">
        <v>1.3044224717285699E-15</v>
      </c>
      <c r="M119" s="4">
        <v>2.9345816923913802E-4</v>
      </c>
      <c r="N119" s="4">
        <v>2.1047027441080801</v>
      </c>
      <c r="O119" s="4">
        <v>1.2367983470834299E-2</v>
      </c>
      <c r="P119" s="4">
        <v>1.2934021000465E-2</v>
      </c>
      <c r="Q119" s="4">
        <v>1.2380224032235701E-2</v>
      </c>
      <c r="R119" s="4">
        <f>+C119</f>
        <v>1</v>
      </c>
      <c r="S119" s="4">
        <f t="shared" si="2"/>
        <v>0.36834909388245801</v>
      </c>
      <c r="T119" s="4">
        <f>+J119/I119</f>
        <v>-1.4970189355083297</v>
      </c>
      <c r="U119" s="4">
        <f t="shared" si="3"/>
        <v>-0.78198723255789693</v>
      </c>
    </row>
    <row r="120" spans="1:21" s="4" customFormat="1" x14ac:dyDescent="0.2">
      <c r="A120" s="4">
        <v>0.36834909388245801</v>
      </c>
      <c r="B120" s="4" t="s">
        <v>52</v>
      </c>
      <c r="C120" s="4">
        <v>1</v>
      </c>
      <c r="D120" s="4">
        <v>0.5</v>
      </c>
      <c r="E120" s="4" t="s">
        <v>106</v>
      </c>
      <c r="F120" s="4" t="s">
        <v>107</v>
      </c>
      <c r="G120" s="4">
        <v>-1.7695196818091399E-5</v>
      </c>
      <c r="H120" s="4">
        <v>5.01174641736321E-8</v>
      </c>
      <c r="I120" s="4">
        <v>5.3239489815201003E-5</v>
      </c>
      <c r="J120" s="4">
        <v>-7.9700524370170602E-5</v>
      </c>
      <c r="K120" s="4">
        <v>1.2579751629621601</v>
      </c>
      <c r="L120" s="4">
        <v>1.3856990920324999E-15</v>
      </c>
      <c r="M120" s="4">
        <v>2.99206539601217E-4</v>
      </c>
      <c r="N120" s="4">
        <v>2.1047027456969198</v>
      </c>
      <c r="O120" s="4">
        <v>1.2377779104280701E-2</v>
      </c>
      <c r="P120" s="4">
        <v>1.29340194378318E-2</v>
      </c>
      <c r="Q120" s="4">
        <v>1.2462483015080799E-2</v>
      </c>
      <c r="R120" s="4">
        <f>+C120</f>
        <v>1</v>
      </c>
      <c r="S120" s="4">
        <f t="shared" si="2"/>
        <v>0.36834909388245801</v>
      </c>
      <c r="T120" s="4">
        <f>+J120/I120</f>
        <v>-1.4970189355085521</v>
      </c>
      <c r="U120" s="4">
        <f t="shared" si="3"/>
        <v>-0.78198723255789693</v>
      </c>
    </row>
    <row r="121" spans="1:21" s="4" customFormat="1" x14ac:dyDescent="0.2">
      <c r="A121" s="4">
        <v>0.36834909388245801</v>
      </c>
      <c r="B121" s="4" t="s">
        <v>52</v>
      </c>
      <c r="C121" s="4">
        <v>1</v>
      </c>
      <c r="D121" s="4">
        <v>0.5</v>
      </c>
      <c r="E121" s="4" t="s">
        <v>106</v>
      </c>
      <c r="F121" s="4" t="s">
        <v>109</v>
      </c>
      <c r="G121" s="4">
        <v>-3.5389439509807098E-5</v>
      </c>
      <c r="H121" s="4">
        <v>9.9783639304194998E-8</v>
      </c>
      <c r="I121" s="4">
        <v>1.0647630806737399E-4</v>
      </c>
      <c r="J121" s="4">
        <v>-1.59389573149362E-4</v>
      </c>
      <c r="K121" s="4">
        <v>1.2579276490657001</v>
      </c>
      <c r="L121" s="4">
        <v>1.37994751348165E-15</v>
      </c>
      <c r="M121" s="4">
        <v>2.9047203838775999E-4</v>
      </c>
      <c r="N121" s="4">
        <v>2.1046439993626</v>
      </c>
      <c r="O121" s="4">
        <v>1.2380252277003999E-2</v>
      </c>
      <c r="P121" s="4">
        <v>1.29417164578043E-2</v>
      </c>
      <c r="Q121" s="4">
        <v>1.2404686490834101E-2</v>
      </c>
      <c r="R121" s="4">
        <f>+C121</f>
        <v>1</v>
      </c>
      <c r="S121" s="4">
        <f t="shared" si="2"/>
        <v>0.36834909388245801</v>
      </c>
      <c r="T121" s="4">
        <f>+J121/I121</f>
        <v>-1.4969487207286205</v>
      </c>
      <c r="U121" s="4">
        <f t="shared" si="3"/>
        <v>-0.78198723255789693</v>
      </c>
    </row>
    <row r="122" spans="1:21" s="4" customFormat="1" x14ac:dyDescent="0.2">
      <c r="A122" s="4">
        <v>0.47208114098693799</v>
      </c>
      <c r="B122" s="4" t="s">
        <v>52</v>
      </c>
      <c r="C122" s="4">
        <v>1</v>
      </c>
      <c r="D122" s="4">
        <v>0.7</v>
      </c>
      <c r="E122" s="4" t="s">
        <v>120</v>
      </c>
      <c r="F122" s="4" t="s">
        <v>121</v>
      </c>
      <c r="G122" s="4">
        <v>-2.0634848948894899E-5</v>
      </c>
      <c r="H122" s="4">
        <v>6.9636398768192196E-8</v>
      </c>
      <c r="I122" s="4">
        <v>6.2105311384982295E-5</v>
      </c>
      <c r="J122" s="4">
        <v>-1.16808746755857E-4</v>
      </c>
      <c r="K122" s="4">
        <v>1.35676600452173</v>
      </c>
      <c r="L122" s="4">
        <v>1.3396234278872199E-15</v>
      </c>
      <c r="M122" s="4">
        <v>4.6007959118190699E-4</v>
      </c>
      <c r="N122" s="4">
        <v>2.3574566735084601</v>
      </c>
      <c r="O122" s="4">
        <v>1.4465782970930799E-2</v>
      </c>
      <c r="P122" s="4">
        <v>1.8097658359837801E-2</v>
      </c>
      <c r="Q122" s="4">
        <v>1.86576358104911E-2</v>
      </c>
      <c r="R122" s="4">
        <f>+C122</f>
        <v>1</v>
      </c>
      <c r="S122" s="4">
        <f t="shared" si="2"/>
        <v>0.47208114098693799</v>
      </c>
      <c r="T122" s="4">
        <f>+J122/I122</f>
        <v>-1.8808173431701458</v>
      </c>
      <c r="U122" s="4">
        <f t="shared" si="3"/>
        <v>-0.86781603251212691</v>
      </c>
    </row>
    <row r="123" spans="1:21" s="4" customFormat="1" x14ac:dyDescent="0.2">
      <c r="A123" s="4">
        <v>0.47208114098693799</v>
      </c>
      <c r="B123" s="4" t="s">
        <v>52</v>
      </c>
      <c r="C123" s="4">
        <v>1</v>
      </c>
      <c r="D123" s="4">
        <v>0.7</v>
      </c>
      <c r="E123" s="4" t="s">
        <v>119</v>
      </c>
      <c r="F123" s="4" t="s">
        <v>121</v>
      </c>
      <c r="G123" s="4">
        <v>-2.0634848958772699E-5</v>
      </c>
      <c r="H123" s="4">
        <v>6.9494563720496698E-8</v>
      </c>
      <c r="I123" s="4">
        <v>6.2105311384984098E-5</v>
      </c>
      <c r="J123" s="4">
        <v>-1.1680874675596E-4</v>
      </c>
      <c r="K123" s="4">
        <v>1.3567660044254799</v>
      </c>
      <c r="L123" s="4">
        <v>1.34223925529904E-15</v>
      </c>
      <c r="M123" s="4">
        <v>4.6266287479026098E-4</v>
      </c>
      <c r="N123" s="4">
        <v>2.3574566760681002</v>
      </c>
      <c r="O123" s="4">
        <v>1.44455236542249E-2</v>
      </c>
      <c r="P123" s="4">
        <v>1.8097655748975601E-2</v>
      </c>
      <c r="Q123" s="4">
        <v>1.8619705781491899E-2</v>
      </c>
      <c r="R123" s="4">
        <f>+C123</f>
        <v>1</v>
      </c>
      <c r="S123" s="4">
        <f t="shared" si="2"/>
        <v>0.47208114098693799</v>
      </c>
      <c r="T123" s="4">
        <f>+J123/I123</f>
        <v>-1.8808173431717496</v>
      </c>
      <c r="U123" s="4">
        <f t="shared" si="3"/>
        <v>-0.86781603251212691</v>
      </c>
    </row>
    <row r="124" spans="1:21" s="4" customFormat="1" x14ac:dyDescent="0.2">
      <c r="A124" s="4">
        <v>0.47208114098693799</v>
      </c>
      <c r="B124" s="4" t="s">
        <v>52</v>
      </c>
      <c r="C124" s="4">
        <v>1</v>
      </c>
      <c r="D124" s="4">
        <v>0.7</v>
      </c>
      <c r="E124" s="4" t="s">
        <v>118</v>
      </c>
      <c r="F124" s="4" t="s">
        <v>119</v>
      </c>
      <c r="G124" s="4">
        <v>-2.0636184955836E-5</v>
      </c>
      <c r="H124" s="4">
        <v>6.9387593980725906E-8</v>
      </c>
      <c r="I124" s="4">
        <v>6.2109425574352002E-5</v>
      </c>
      <c r="J124" s="4">
        <v>-1.16830670743373E-4</v>
      </c>
      <c r="K124" s="4">
        <v>1.35689515055636</v>
      </c>
      <c r="L124" s="4">
        <v>1.34253519899979E-15</v>
      </c>
      <c r="M124" s="4">
        <v>4.6018442418373402E-4</v>
      </c>
      <c r="N124" s="4">
        <v>2.3575917224654899</v>
      </c>
      <c r="O124" s="4">
        <v>1.44454682579147E-2</v>
      </c>
      <c r="P124" s="4">
        <v>1.8108128829798301E-2</v>
      </c>
      <c r="Q124" s="4">
        <v>1.85923396996573E-2</v>
      </c>
      <c r="R124" s="4">
        <f>+C124</f>
        <v>1</v>
      </c>
      <c r="S124" s="4">
        <f t="shared" si="2"/>
        <v>0.47208114098693799</v>
      </c>
      <c r="T124" s="4">
        <f>+J124/I124</f>
        <v>-1.8810457456817642</v>
      </c>
      <c r="U124" s="4">
        <f t="shared" si="3"/>
        <v>-0.86781603251212691</v>
      </c>
    </row>
    <row r="125" spans="1:21" s="4" customFormat="1" x14ac:dyDescent="0.2">
      <c r="A125" s="4">
        <v>0.47208114098693799</v>
      </c>
      <c r="B125" s="4" t="s">
        <v>52</v>
      </c>
      <c r="C125" s="4">
        <v>1</v>
      </c>
      <c r="D125" s="4">
        <v>0.7</v>
      </c>
      <c r="E125" s="4" t="s">
        <v>118</v>
      </c>
      <c r="F125" s="4" t="s">
        <v>120</v>
      </c>
      <c r="G125" s="4">
        <v>-2.0636184997303999E-5</v>
      </c>
      <c r="H125" s="4">
        <v>7.0823618977648502E-8</v>
      </c>
      <c r="I125" s="4">
        <v>6.2109425574357396E-5</v>
      </c>
      <c r="J125" s="4">
        <v>-1.16830670743575E-4</v>
      </c>
      <c r="K125" s="4">
        <v>1.3568951506526099</v>
      </c>
      <c r="L125" s="4">
        <v>1.3412299107277099E-15</v>
      </c>
      <c r="M125" s="4">
        <v>4.7147911524398099E-4</v>
      </c>
      <c r="N125" s="4">
        <v>2.3575917335922298</v>
      </c>
      <c r="O125" s="4">
        <v>1.4521565803708E-2</v>
      </c>
      <c r="P125" s="4">
        <v>1.81081176545871E-2</v>
      </c>
      <c r="Q125" s="4">
        <v>1.89790179664323E-2</v>
      </c>
      <c r="R125" s="4">
        <f>+C125</f>
        <v>1</v>
      </c>
      <c r="S125" s="4">
        <f t="shared" si="2"/>
        <v>0.47208114098693799</v>
      </c>
      <c r="T125" s="4">
        <f>+J125/I125</f>
        <v>-1.8810457456848533</v>
      </c>
      <c r="U125" s="4">
        <f t="shared" si="3"/>
        <v>-0.86781603251212691</v>
      </c>
    </row>
    <row r="126" spans="1:21" s="4" customFormat="1" x14ac:dyDescent="0.2">
      <c r="A126" s="4">
        <v>0.47208114098693799</v>
      </c>
      <c r="B126" s="4" t="s">
        <v>52</v>
      </c>
      <c r="C126" s="4">
        <v>1</v>
      </c>
      <c r="D126" s="4">
        <v>0.7</v>
      </c>
      <c r="E126" s="4" t="s">
        <v>118</v>
      </c>
      <c r="F126" s="4" t="s">
        <v>121</v>
      </c>
      <c r="G126" s="4">
        <v>-4.1271033933049701E-5</v>
      </c>
      <c r="H126" s="4">
        <v>1.4177625163643101E-7</v>
      </c>
      <c r="I126" s="4">
        <v>1.24214736959338E-4</v>
      </c>
      <c r="J126" s="4">
        <v>-2.3363941749941501E-4</v>
      </c>
      <c r="K126" s="4">
        <v>1.3568305805880601</v>
      </c>
      <c r="L126" s="4">
        <v>1.34324337222822E-15</v>
      </c>
      <c r="M126" s="4">
        <v>4.7478011711459499E-4</v>
      </c>
      <c r="N126" s="4">
        <v>2.3575242050669698</v>
      </c>
      <c r="O126" s="4">
        <v>1.4514462375411499E-2</v>
      </c>
      <c r="P126" s="4">
        <v>1.81028897884273E-2</v>
      </c>
      <c r="Q126" s="4">
        <v>1.8995370468135101E-2</v>
      </c>
      <c r="R126" s="4">
        <f>+C126</f>
        <v>1</v>
      </c>
      <c r="S126" s="4">
        <f t="shared" si="2"/>
        <v>0.47208114098693799</v>
      </c>
      <c r="T126" s="4">
        <f>+J126/I126</f>
        <v>-1.8809315482099154</v>
      </c>
      <c r="U126" s="4">
        <f t="shared" si="3"/>
        <v>-0.86781603251212691</v>
      </c>
    </row>
    <row r="127" spans="1:21" s="4" customFormat="1" x14ac:dyDescent="0.2">
      <c r="A127" s="4">
        <v>0.52139942755477198</v>
      </c>
      <c r="B127" s="4" t="s">
        <v>52</v>
      </c>
      <c r="C127" s="4">
        <v>1</v>
      </c>
      <c r="D127" s="4">
        <v>0.8</v>
      </c>
      <c r="E127" s="4" t="s">
        <v>131</v>
      </c>
      <c r="F127" s="4" t="s">
        <v>133</v>
      </c>
      <c r="G127" s="4">
        <v>-2.20609570380726E-5</v>
      </c>
      <c r="H127" s="4">
        <v>8.1009781996642704E-8</v>
      </c>
      <c r="I127" s="4">
        <v>6.6505000519513998E-5</v>
      </c>
      <c r="J127" s="4">
        <v>-1.3732776396381901E-4</v>
      </c>
      <c r="K127" s="4">
        <v>1.4030765742726099</v>
      </c>
      <c r="L127" s="4">
        <v>1.6221787385968901E-15</v>
      </c>
      <c r="M127" s="4">
        <v>5.0886997272484805E-4</v>
      </c>
      <c r="N127" s="4">
        <v>2.4610544260625802</v>
      </c>
      <c r="O127" s="4">
        <v>1.56145886117245E-2</v>
      </c>
      <c r="P127" s="4">
        <v>2.96054221246441E-2</v>
      </c>
      <c r="Q127" s="4">
        <v>2.2067797899807701E-2</v>
      </c>
      <c r="R127" s="4">
        <f>+C127</f>
        <v>1</v>
      </c>
      <c r="S127" s="4">
        <f t="shared" si="2"/>
        <v>0.52139942755477198</v>
      </c>
      <c r="T127" s="4">
        <f>+J127/I127</f>
        <v>-2.0649238837841088</v>
      </c>
      <c r="U127" s="4">
        <f t="shared" si="3"/>
        <v>-0.90451735653314169</v>
      </c>
    </row>
    <row r="128" spans="1:21" s="4" customFormat="1" x14ac:dyDescent="0.2">
      <c r="A128" s="4">
        <v>0.52139942755477198</v>
      </c>
      <c r="B128" s="4" t="s">
        <v>52</v>
      </c>
      <c r="C128" s="4">
        <v>1</v>
      </c>
      <c r="D128" s="4">
        <v>0.8</v>
      </c>
      <c r="E128" s="4" t="s">
        <v>132</v>
      </c>
      <c r="F128" s="4" t="s">
        <v>133</v>
      </c>
      <c r="G128" s="4">
        <v>-2.2060957046217801E-5</v>
      </c>
      <c r="H128" s="4">
        <v>7.95300111168195E-8</v>
      </c>
      <c r="I128" s="4">
        <v>6.6505000519511898E-5</v>
      </c>
      <c r="J128" s="4">
        <v>-1.3732776396346399E-4</v>
      </c>
      <c r="K128" s="4">
        <v>1.40307657422581</v>
      </c>
      <c r="L128" s="4">
        <v>1.62046431887305E-15</v>
      </c>
      <c r="M128" s="4">
        <v>5.0016734578397495E-4</v>
      </c>
      <c r="N128" s="4">
        <v>2.4610544282213</v>
      </c>
      <c r="O128" s="4">
        <v>1.5527059892793099E-2</v>
      </c>
      <c r="P128" s="4">
        <v>2.96054198183015E-2</v>
      </c>
      <c r="Q128" s="4">
        <v>2.16627873652812E-2</v>
      </c>
      <c r="R128" s="4">
        <f>+C128</f>
        <v>1</v>
      </c>
      <c r="S128" s="4">
        <f t="shared" si="2"/>
        <v>0.52139942755477198</v>
      </c>
      <c r="T128" s="4">
        <f>+J128/I128</f>
        <v>-2.0649238837788357</v>
      </c>
      <c r="U128" s="4">
        <f t="shared" si="3"/>
        <v>-0.90451735653314169</v>
      </c>
    </row>
    <row r="129" spans="1:21" s="4" customFormat="1" x14ac:dyDescent="0.2">
      <c r="A129" s="4">
        <v>0.52139942755477198</v>
      </c>
      <c r="B129" s="4" t="s">
        <v>52</v>
      </c>
      <c r="C129" s="4">
        <v>1</v>
      </c>
      <c r="D129" s="4">
        <v>0.8</v>
      </c>
      <c r="E129" s="4" t="s">
        <v>130</v>
      </c>
      <c r="F129" s="4" t="s">
        <v>131</v>
      </c>
      <c r="G129" s="4">
        <v>-2.2062523742237002E-5</v>
      </c>
      <c r="H129" s="4">
        <v>7.9512800544856201E-8</v>
      </c>
      <c r="I129" s="4">
        <v>6.6509921101982403E-5</v>
      </c>
      <c r="J129" s="4">
        <v>-1.3735641112594599E-4</v>
      </c>
      <c r="K129" s="4">
        <v>1.40322339616139</v>
      </c>
      <c r="L129" s="4">
        <v>1.6237100652826001E-15</v>
      </c>
      <c r="M129" s="4">
        <v>5.1078720275080504E-4</v>
      </c>
      <c r="N129" s="4">
        <v>2.4612034691337099</v>
      </c>
      <c r="O129" s="4">
        <v>1.54776214321748E-2</v>
      </c>
      <c r="P129" s="4">
        <v>2.9627179745093799E-2</v>
      </c>
      <c r="Q129" s="4">
        <v>2.1662700517246201E-2</v>
      </c>
      <c r="R129" s="4">
        <f>+C129</f>
        <v>1</v>
      </c>
      <c r="S129" s="4">
        <f t="shared" si="2"/>
        <v>0.52139942755477198</v>
      </c>
      <c r="T129" s="4">
        <f>+J129/I129</f>
        <v>-2.0652018353071226</v>
      </c>
      <c r="U129" s="4">
        <f t="shared" si="3"/>
        <v>-0.90451735653314169</v>
      </c>
    </row>
    <row r="130" spans="1:21" s="4" customFormat="1" x14ac:dyDescent="0.2">
      <c r="A130" s="4">
        <v>0.52139942755477198</v>
      </c>
      <c r="B130" s="4" t="s">
        <v>52</v>
      </c>
      <c r="C130" s="4">
        <v>1</v>
      </c>
      <c r="D130" s="4">
        <v>0.8</v>
      </c>
      <c r="E130" s="4" t="s">
        <v>130</v>
      </c>
      <c r="F130" s="4" t="s">
        <v>132</v>
      </c>
      <c r="G130" s="4">
        <v>-2.2062523755019E-5</v>
      </c>
      <c r="H130" s="4">
        <v>7.8257523195955595E-8</v>
      </c>
      <c r="I130" s="4">
        <v>6.6509921101985304E-5</v>
      </c>
      <c r="J130" s="4">
        <v>-1.37356411126267E-4</v>
      </c>
      <c r="K130" s="4">
        <v>1.4032233961145899</v>
      </c>
      <c r="L130" s="4">
        <v>1.62104084312362E-15</v>
      </c>
      <c r="M130" s="4">
        <v>4.8689658913329901E-4</v>
      </c>
      <c r="N130" s="4">
        <v>2.4612034724737502</v>
      </c>
      <c r="O130" s="4">
        <v>1.54794162502203E-2</v>
      </c>
      <c r="P130" s="4">
        <v>2.9627176296001E-2</v>
      </c>
      <c r="Q130" s="4">
        <v>2.1311641877502299E-2</v>
      </c>
      <c r="R130" s="4">
        <f>+C130</f>
        <v>1</v>
      </c>
      <c r="S130" s="4">
        <f t="shared" si="2"/>
        <v>0.52139942755477198</v>
      </c>
      <c r="T130" s="4">
        <f>+J130/I130</f>
        <v>-2.0652018353118593</v>
      </c>
      <c r="U130" s="4">
        <f t="shared" si="3"/>
        <v>-0.90451735653314169</v>
      </c>
    </row>
    <row r="131" spans="1:21" s="4" customFormat="1" x14ac:dyDescent="0.2">
      <c r="A131" s="4">
        <v>0.52139942755477198</v>
      </c>
      <c r="B131" s="4" t="s">
        <v>52</v>
      </c>
      <c r="C131" s="4">
        <v>1</v>
      </c>
      <c r="D131" s="4">
        <v>0.8</v>
      </c>
      <c r="E131" s="4" t="s">
        <v>130</v>
      </c>
      <c r="F131" s="4" t="s">
        <v>133</v>
      </c>
      <c r="G131" s="4">
        <v>-4.4123480774465301E-5</v>
      </c>
      <c r="H131" s="4">
        <v>1.5718784805022399E-7</v>
      </c>
      <c r="I131" s="4">
        <v>1.33014921621492E-4</v>
      </c>
      <c r="J131" s="4">
        <v>-2.74684175089742E-4</v>
      </c>
      <c r="K131" s="4">
        <v>1.4031499888163801</v>
      </c>
      <c r="L131" s="4">
        <v>1.62349875040312E-15</v>
      </c>
      <c r="M131" s="4">
        <v>4.98273880151491E-4</v>
      </c>
      <c r="N131" s="4">
        <v>2.4611289511847101</v>
      </c>
      <c r="O131" s="4">
        <v>1.5458608070911701E-2</v>
      </c>
      <c r="P131" s="4">
        <v>2.9616301619131102E-2</v>
      </c>
      <c r="Q131" s="4">
        <v>2.1406092695577202E-2</v>
      </c>
      <c r="R131" s="4">
        <f>+C131</f>
        <v>1</v>
      </c>
      <c r="S131" s="4">
        <f t="shared" ref="S131:S136" si="4">+A131/(R131^2)</f>
        <v>0.52139942755477198</v>
      </c>
      <c r="T131" s="4">
        <f>+J131/I131</f>
        <v>-2.0650628646866012</v>
      </c>
      <c r="U131" s="4">
        <f t="shared" ref="U131:U136" si="5">-(1+6*S131)*R131^2/(3*(1+S131))</f>
        <v>-0.90451735653314169</v>
      </c>
    </row>
    <row r="132" spans="1:21" s="4" customFormat="1" x14ac:dyDescent="0.2">
      <c r="A132" s="4">
        <v>0.61680646013290097</v>
      </c>
      <c r="B132" s="4" t="s">
        <v>52</v>
      </c>
      <c r="C132" s="4">
        <v>1</v>
      </c>
      <c r="D132" s="4">
        <v>1</v>
      </c>
      <c r="E132" s="4" t="s">
        <v>136</v>
      </c>
      <c r="F132" s="4" t="s">
        <v>137</v>
      </c>
      <c r="G132" s="4">
        <v>-2.4750931311779701E-5</v>
      </c>
      <c r="H132" s="4">
        <v>1.3709190996713201E-7</v>
      </c>
      <c r="I132" s="4">
        <v>7.5209893368935094E-5</v>
      </c>
      <c r="J132" s="4">
        <v>-1.8208097852882499E-4</v>
      </c>
      <c r="K132" s="4">
        <v>1.4901637389147599</v>
      </c>
      <c r="L132" s="4">
        <v>4.12657748455147E-15</v>
      </c>
      <c r="M132" s="4">
        <v>8.5037688849426603E-4</v>
      </c>
      <c r="N132" s="4">
        <v>2.6181903627878</v>
      </c>
      <c r="O132" s="4">
        <v>1.9511027705876201E-2</v>
      </c>
      <c r="P132" s="4">
        <v>8.9113702270275999E-2</v>
      </c>
      <c r="Q132" s="4">
        <v>3.7368481946284803E-2</v>
      </c>
      <c r="R132" s="4">
        <f>+C132</f>
        <v>1</v>
      </c>
      <c r="S132" s="4">
        <f t="shared" si="4"/>
        <v>0.61680646013290097</v>
      </c>
      <c r="T132" s="4">
        <f>+J132/I132</f>
        <v>-2.4209711033047712</v>
      </c>
      <c r="U132" s="4">
        <f t="shared" si="5"/>
        <v>-0.96916130176170412</v>
      </c>
    </row>
    <row r="133" spans="1:21" s="4" customFormat="1" x14ac:dyDescent="0.2">
      <c r="A133" s="4">
        <v>0.61680646013290097</v>
      </c>
      <c r="B133" s="4" t="s">
        <v>52</v>
      </c>
      <c r="C133" s="4">
        <v>1</v>
      </c>
      <c r="D133" s="4">
        <v>1</v>
      </c>
      <c r="E133" s="4" t="s">
        <v>135</v>
      </c>
      <c r="F133" s="4" t="s">
        <v>137</v>
      </c>
      <c r="G133" s="4">
        <v>-2.47509314640335E-5</v>
      </c>
      <c r="H133" s="4">
        <v>1.3718062032297201E-7</v>
      </c>
      <c r="I133" s="4">
        <v>7.5209893368940407E-5</v>
      </c>
      <c r="J133" s="4">
        <v>-1.8208097852886101E-4</v>
      </c>
      <c r="K133" s="4">
        <v>1.4901637389784601</v>
      </c>
      <c r="L133" s="4">
        <v>4.1534659024111099E-15</v>
      </c>
      <c r="M133" s="4">
        <v>8.7238785732344701E-4</v>
      </c>
      <c r="N133" s="4">
        <v>2.6181903996479701</v>
      </c>
      <c r="O133" s="4">
        <v>1.9320085609687E-2</v>
      </c>
      <c r="P133" s="4">
        <v>8.9113659772700193E-2</v>
      </c>
      <c r="Q133" s="4">
        <v>3.74163742163423E-2</v>
      </c>
      <c r="R133" s="4">
        <f>+C133</f>
        <v>1</v>
      </c>
      <c r="S133" s="4">
        <f t="shared" si="4"/>
        <v>0.61680646013290097</v>
      </c>
      <c r="T133" s="4">
        <f>+J133/I133</f>
        <v>-2.4209711033050794</v>
      </c>
      <c r="U133" s="4">
        <f t="shared" si="5"/>
        <v>-0.96916130176170412</v>
      </c>
    </row>
    <row r="134" spans="1:21" s="4" customFormat="1" x14ac:dyDescent="0.2">
      <c r="A134" s="4">
        <v>0.61680646013290097</v>
      </c>
      <c r="B134" s="4" t="s">
        <v>52</v>
      </c>
      <c r="C134" s="4">
        <v>1</v>
      </c>
      <c r="D134" s="4">
        <v>1</v>
      </c>
      <c r="E134" s="4" t="s">
        <v>134</v>
      </c>
      <c r="F134" s="4" t="s">
        <v>136</v>
      </c>
      <c r="G134" s="4">
        <v>-2.4753077216368399E-5</v>
      </c>
      <c r="H134" s="4">
        <v>1.3757933335444701E-7</v>
      </c>
      <c r="I134" s="4">
        <v>7.5216592574842907E-5</v>
      </c>
      <c r="J134" s="4">
        <v>-1.8212632495834001E-4</v>
      </c>
      <c r="K134" s="4">
        <v>1.49034703334802</v>
      </c>
      <c r="L134" s="4">
        <v>4.1236101369952998E-15</v>
      </c>
      <c r="M134" s="4">
        <v>8.6226531391852504E-4</v>
      </c>
      <c r="N134" s="4">
        <v>2.6183873777246101</v>
      </c>
      <c r="O134" s="4">
        <v>1.94607306978117E-2</v>
      </c>
      <c r="P134" s="4">
        <v>8.9143270220704396E-2</v>
      </c>
      <c r="Q134" s="4">
        <v>3.7517106346273497E-2</v>
      </c>
      <c r="R134" s="4">
        <f>+C134</f>
        <v>1</v>
      </c>
      <c r="S134" s="4">
        <f t="shared" si="4"/>
        <v>0.61680646013290097</v>
      </c>
      <c r="T134" s="4">
        <f>+J134/I134</f>
        <v>-2.4213583562312864</v>
      </c>
      <c r="U134" s="4">
        <f t="shared" si="5"/>
        <v>-0.96916130176170412</v>
      </c>
    </row>
    <row r="135" spans="1:21" s="4" customFormat="1" x14ac:dyDescent="0.2">
      <c r="A135" s="4">
        <v>0.61680646013290097</v>
      </c>
      <c r="B135" s="4" t="s">
        <v>52</v>
      </c>
      <c r="C135" s="4">
        <v>1</v>
      </c>
      <c r="D135" s="4">
        <v>1</v>
      </c>
      <c r="E135" s="4" t="s">
        <v>134</v>
      </c>
      <c r="F135" s="4" t="s">
        <v>135</v>
      </c>
      <c r="G135" s="4">
        <v>-2.4753077859638501E-5</v>
      </c>
      <c r="H135" s="4">
        <v>1.4121589056567101E-7</v>
      </c>
      <c r="I135" s="4">
        <v>7.5216592574835805E-5</v>
      </c>
      <c r="J135" s="4">
        <v>-1.82126324958158E-4</v>
      </c>
      <c r="K135" s="4">
        <v>1.4903470334117199</v>
      </c>
      <c r="L135" s="4">
        <v>4.1517476498932404E-15</v>
      </c>
      <c r="M135" s="4">
        <v>8.7677784780694902E-4</v>
      </c>
      <c r="N135" s="4">
        <v>2.6183875316684402</v>
      </c>
      <c r="O135" s="4">
        <v>1.9771602956412799E-2</v>
      </c>
      <c r="P135" s="4">
        <v>8.9143093026168796E-2</v>
      </c>
      <c r="Q135" s="4">
        <v>3.8508462917975703E-2</v>
      </c>
      <c r="R135" s="4">
        <f>+C135</f>
        <v>1</v>
      </c>
      <c r="S135" s="4">
        <f t="shared" si="4"/>
        <v>0.61680646013290097</v>
      </c>
      <c r="T135" s="4">
        <f>+J135/I135</f>
        <v>-2.4213583562290952</v>
      </c>
      <c r="U135" s="4">
        <f t="shared" si="5"/>
        <v>-0.96916130176170412</v>
      </c>
    </row>
    <row r="136" spans="1:21" s="4" customFormat="1" x14ac:dyDescent="0.2">
      <c r="A136" s="4">
        <v>0.61680646013290097</v>
      </c>
      <c r="B136" s="4" t="s">
        <v>52</v>
      </c>
      <c r="C136" s="4">
        <v>1</v>
      </c>
      <c r="D136" s="4">
        <v>1</v>
      </c>
      <c r="E136" s="4" t="s">
        <v>134</v>
      </c>
      <c r="F136" s="4" t="s">
        <v>137</v>
      </c>
      <c r="G136" s="4">
        <v>-4.9504009225312597E-5</v>
      </c>
      <c r="H136" s="4">
        <v>2.7823201841938601E-7</v>
      </c>
      <c r="I136" s="4">
        <v>1.5042648594377201E-4</v>
      </c>
      <c r="J136" s="4">
        <v>-3.64207303486867E-4</v>
      </c>
      <c r="K136" s="4">
        <v>1.49025539190153</v>
      </c>
      <c r="L136" s="4">
        <v>4.0964409886024601E-15</v>
      </c>
      <c r="M136" s="4">
        <v>8.6738358488927796E-4</v>
      </c>
      <c r="N136" s="4">
        <v>2.6182889577114699</v>
      </c>
      <c r="O136" s="4">
        <v>1.9601470442187099E-2</v>
      </c>
      <c r="P136" s="4">
        <v>8.9128392107470394E-2</v>
      </c>
      <c r="Q136" s="4">
        <v>3.7935983373997402E-2</v>
      </c>
      <c r="R136" s="4">
        <f>+C136</f>
        <v>1</v>
      </c>
      <c r="S136" s="4">
        <f t="shared" si="4"/>
        <v>0.61680646013290097</v>
      </c>
      <c r="T136" s="4">
        <f>+J136/I136</f>
        <v>-2.4211647383892503</v>
      </c>
      <c r="U136" s="4">
        <f t="shared" si="5"/>
        <v>-0.96916130176170412</v>
      </c>
    </row>
  </sheetData>
  <autoFilter ref="A1:AA1" xr:uid="{997D0855-FF0D-9747-A549-770142176AD7}">
    <sortState xmlns:xlrd2="http://schemas.microsoft.com/office/spreadsheetml/2017/richdata2" ref="A2:AA136">
      <sortCondition descending="1" ref="R1:R136"/>
    </sortState>
  </autoFilter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BD314-AC0C-FD48-AF64-2D50E0BA6906}">
  <dimension ref="A1:AA186"/>
  <sheetViews>
    <sheetView workbookViewId="0">
      <selection activeCell="A26" sqref="A1:A26"/>
    </sheetView>
  </sheetViews>
  <sheetFormatPr baseColWidth="10" defaultRowHeight="16" x14ac:dyDescent="0.2"/>
  <cols>
    <col min="1" max="1" width="30.33203125" bestFit="1" customWidth="1"/>
    <col min="2" max="2" width="11.5" bestFit="1" customWidth="1"/>
    <col min="3" max="3" width="12.1640625" bestFit="1" customWidth="1"/>
    <col min="4" max="4" width="15.83203125" bestFit="1" customWidth="1"/>
    <col min="5" max="5" width="15.1640625" bestFit="1" customWidth="1"/>
    <col min="6" max="6" width="10" bestFit="1" customWidth="1"/>
    <col min="7" max="7" width="7" bestFit="1" customWidth="1"/>
    <col min="8" max="8" width="6.33203125" bestFit="1" customWidth="1"/>
    <col min="9" max="9" width="7.1640625" bestFit="1" customWidth="1"/>
    <col min="10" max="10" width="12.5" bestFit="1" customWidth="1"/>
    <col min="11" max="11" width="2.6640625" bestFit="1" customWidth="1"/>
    <col min="12" max="12" width="23" bestFit="1" customWidth="1"/>
    <col min="13" max="13" width="8.1640625" bestFit="1" customWidth="1"/>
    <col min="14" max="14" width="10.33203125" bestFit="1" customWidth="1"/>
    <col min="15" max="16" width="47.6640625" bestFit="1" customWidth="1"/>
    <col min="17" max="17" width="12.83203125" bestFit="1" customWidth="1"/>
    <col min="18" max="18" width="9.5" bestFit="1" customWidth="1"/>
    <col min="19" max="19" width="12.1640625" bestFit="1" customWidth="1"/>
    <col min="20" max="20" width="12.83203125" bestFit="1" customWidth="1"/>
    <col min="21" max="21" width="12.1640625" bestFit="1" customWidth="1"/>
    <col min="22" max="22" width="9" bestFit="1" customWidth="1"/>
    <col min="23" max="27" width="12.1640625" bestFit="1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27" x14ac:dyDescent="0.2">
      <c r="A17" t="s">
        <v>16</v>
      </c>
    </row>
    <row r="18" spans="1:27" x14ac:dyDescent="0.2">
      <c r="A18" t="s">
        <v>17</v>
      </c>
    </row>
    <row r="19" spans="1:27" x14ac:dyDescent="0.2">
      <c r="A19" t="s">
        <v>18</v>
      </c>
    </row>
    <row r="20" spans="1:27" x14ac:dyDescent="0.2">
      <c r="A20" t="s">
        <v>19</v>
      </c>
    </row>
    <row r="21" spans="1:27" x14ac:dyDescent="0.2">
      <c r="A21" t="s">
        <v>20</v>
      </c>
    </row>
    <row r="22" spans="1:27" x14ac:dyDescent="0.2">
      <c r="A22" t="s">
        <v>21</v>
      </c>
    </row>
    <row r="23" spans="1:27" x14ac:dyDescent="0.2">
      <c r="A23" t="s">
        <v>22</v>
      </c>
    </row>
    <row r="24" spans="1:27" x14ac:dyDescent="0.2">
      <c r="A24" t="s">
        <v>23</v>
      </c>
    </row>
    <row r="25" spans="1:27" x14ac:dyDescent="0.2">
      <c r="A25" t="s">
        <v>24</v>
      </c>
    </row>
    <row r="27" spans="1:27" x14ac:dyDescent="0.2">
      <c r="A27" t="s">
        <v>25</v>
      </c>
      <c r="B27" t="s">
        <v>26</v>
      </c>
      <c r="C27" t="s">
        <v>27</v>
      </c>
      <c r="D27" t="s">
        <v>28</v>
      </c>
      <c r="E27" t="s">
        <v>29</v>
      </c>
      <c r="F27" t="s">
        <v>30</v>
      </c>
      <c r="G27" t="s">
        <v>31</v>
      </c>
      <c r="H27" t="s">
        <v>32</v>
      </c>
      <c r="I27" t="s">
        <v>33</v>
      </c>
      <c r="J27" t="s">
        <v>34</v>
      </c>
      <c r="K27" t="s">
        <v>35</v>
      </c>
      <c r="L27" t="s">
        <v>36</v>
      </c>
      <c r="M27" t="s">
        <v>37</v>
      </c>
      <c r="N27" t="s">
        <v>38</v>
      </c>
      <c r="O27" t="s">
        <v>39</v>
      </c>
      <c r="P27" t="s">
        <v>40</v>
      </c>
      <c r="Q27" t="s">
        <v>41</v>
      </c>
      <c r="R27" t="s">
        <v>42</v>
      </c>
      <c r="S27" t="s">
        <v>43</v>
      </c>
      <c r="T27" t="s">
        <v>44</v>
      </c>
      <c r="U27" t="s">
        <v>45</v>
      </c>
      <c r="V27" t="s">
        <v>46</v>
      </c>
      <c r="W27" t="s">
        <v>47</v>
      </c>
      <c r="X27" t="s">
        <v>48</v>
      </c>
      <c r="Y27" t="s">
        <v>49</v>
      </c>
      <c r="Z27" t="s">
        <v>50</v>
      </c>
      <c r="AA27" t="s">
        <v>51</v>
      </c>
    </row>
    <row r="28" spans="1:27" x14ac:dyDescent="0.2">
      <c r="A28" t="b">
        <v>0</v>
      </c>
      <c r="B28">
        <v>1000</v>
      </c>
      <c r="C28">
        <v>9.7355066569361996E-3</v>
      </c>
      <c r="D28" t="s">
        <v>52</v>
      </c>
      <c r="E28" t="b">
        <v>1</v>
      </c>
      <c r="F28" t="s">
        <v>53</v>
      </c>
      <c r="G28">
        <v>7.4999999999999997E-2</v>
      </c>
      <c r="H28">
        <v>0.5</v>
      </c>
      <c r="I28">
        <v>1E-4</v>
      </c>
      <c r="J28" t="b">
        <v>1</v>
      </c>
      <c r="K28">
        <v>1</v>
      </c>
      <c r="L28">
        <v>1500</v>
      </c>
      <c r="M28">
        <v>0.01</v>
      </c>
      <c r="N28">
        <v>0.154</v>
      </c>
      <c r="O28" t="s">
        <v>54</v>
      </c>
      <c r="P28" t="s">
        <v>55</v>
      </c>
      <c r="Q28" s="1">
        <v>-1.1349406761558E-5</v>
      </c>
      <c r="R28" s="1">
        <v>3.6988051201805099E-6</v>
      </c>
      <c r="S28" s="1">
        <v>3.3680371518185E-5</v>
      </c>
      <c r="T28" s="1">
        <v>-1.22814841664452E-5</v>
      </c>
      <c r="U28">
        <v>1.0047179607121199</v>
      </c>
      <c r="V28" s="1">
        <v>-6.2823606308958897E-16</v>
      </c>
      <c r="W28">
        <v>1.91231968286272E-2</v>
      </c>
      <c r="X28">
        <v>1.9046996127678699</v>
      </c>
      <c r="Y28">
        <v>1.3741726012908499</v>
      </c>
      <c r="Z28">
        <v>2.6790678261556001E-2</v>
      </c>
      <c r="AA28">
        <v>1.1547878289973601</v>
      </c>
    </row>
    <row r="29" spans="1:27" x14ac:dyDescent="0.2">
      <c r="A29" t="b">
        <v>0</v>
      </c>
      <c r="B29">
        <v>1000</v>
      </c>
      <c r="C29">
        <v>9.7355066569361996E-3</v>
      </c>
      <c r="D29" t="s">
        <v>52</v>
      </c>
      <c r="E29" t="b">
        <v>1</v>
      </c>
      <c r="F29" t="s">
        <v>53</v>
      </c>
      <c r="G29">
        <v>7.4999999999999997E-2</v>
      </c>
      <c r="H29">
        <v>0.5</v>
      </c>
      <c r="I29">
        <v>1E-4</v>
      </c>
      <c r="J29" t="b">
        <v>1</v>
      </c>
      <c r="K29">
        <v>1</v>
      </c>
      <c r="L29">
        <v>1500</v>
      </c>
      <c r="M29">
        <v>0.01</v>
      </c>
      <c r="N29">
        <v>0.154</v>
      </c>
      <c r="O29" t="s">
        <v>54</v>
      </c>
      <c r="P29" t="s">
        <v>56</v>
      </c>
      <c r="Q29" s="1">
        <v>-1.1349406761558E-5</v>
      </c>
      <c r="R29" s="1">
        <v>3.6898291481757099E-6</v>
      </c>
      <c r="S29" s="1">
        <v>3.3680371518181998E-5</v>
      </c>
      <c r="T29" s="1">
        <v>-1.22814841662465E-5</v>
      </c>
      <c r="U29">
        <v>1.0047179607110801</v>
      </c>
      <c r="V29" s="1">
        <v>-6.2823606442533105E-16</v>
      </c>
      <c r="W29">
        <v>1.8676342261428201E-2</v>
      </c>
      <c r="X29">
        <v>1.90469961276773</v>
      </c>
      <c r="Y29">
        <v>1.37375712542699</v>
      </c>
      <c r="Z29">
        <v>2.67906782616434E-2</v>
      </c>
      <c r="AA29">
        <v>1.1518736936302101</v>
      </c>
    </row>
    <row r="30" spans="1:27" x14ac:dyDescent="0.2">
      <c r="A30" t="b">
        <v>0</v>
      </c>
      <c r="B30">
        <v>1000</v>
      </c>
      <c r="C30">
        <v>9.7355066569361996E-3</v>
      </c>
      <c r="D30" t="s">
        <v>52</v>
      </c>
      <c r="E30" t="b">
        <v>1</v>
      </c>
      <c r="F30" t="s">
        <v>53</v>
      </c>
      <c r="G30">
        <v>7.4999999999999997E-2</v>
      </c>
      <c r="H30">
        <v>0.5</v>
      </c>
      <c r="I30">
        <v>1E-4</v>
      </c>
      <c r="J30" t="b">
        <v>1</v>
      </c>
      <c r="K30">
        <v>1</v>
      </c>
      <c r="L30">
        <v>1500</v>
      </c>
      <c r="M30">
        <v>0.01</v>
      </c>
      <c r="N30">
        <v>0.154</v>
      </c>
      <c r="O30" t="s">
        <v>54</v>
      </c>
      <c r="P30" t="s">
        <v>57</v>
      </c>
      <c r="Q30" s="1">
        <v>-2.2490362964144299E-5</v>
      </c>
      <c r="R30" s="1">
        <v>4.7875179162322697E-6</v>
      </c>
      <c r="S30" s="1">
        <v>6.7360696711767304E-5</v>
      </c>
      <c r="T30" s="1">
        <v>-2.4562900928888299E-5</v>
      </c>
      <c r="U30">
        <v>1.00470879273451</v>
      </c>
      <c r="V30" s="1">
        <v>-5.3998272138559203E-15</v>
      </c>
      <c r="W30">
        <v>2.93235054559346E-3</v>
      </c>
      <c r="X30">
        <v>1.17321197337598</v>
      </c>
      <c r="Y30">
        <v>0.61441455737149397</v>
      </c>
      <c r="Z30">
        <v>2.6980459662883299E-4</v>
      </c>
      <c r="AA30">
        <v>0.29283553628533299</v>
      </c>
    </row>
    <row r="31" spans="1:27" x14ac:dyDescent="0.2">
      <c r="A31" t="b">
        <v>0</v>
      </c>
      <c r="B31">
        <v>1000</v>
      </c>
      <c r="C31">
        <v>9.7355066569361996E-3</v>
      </c>
      <c r="D31" t="s">
        <v>52</v>
      </c>
      <c r="E31" t="b">
        <v>1</v>
      </c>
      <c r="F31" t="s">
        <v>53</v>
      </c>
      <c r="G31">
        <v>7.4999999999999997E-2</v>
      </c>
      <c r="H31">
        <v>0.5</v>
      </c>
      <c r="I31">
        <v>1E-4</v>
      </c>
      <c r="J31" t="b">
        <v>1</v>
      </c>
      <c r="K31">
        <v>1</v>
      </c>
      <c r="L31">
        <v>1500</v>
      </c>
      <c r="M31">
        <v>0.01</v>
      </c>
      <c r="N31">
        <v>0.154</v>
      </c>
      <c r="O31" t="s">
        <v>55</v>
      </c>
      <c r="P31" t="s">
        <v>56</v>
      </c>
      <c r="Q31" s="1">
        <v>-1E-10</v>
      </c>
      <c r="R31" s="1">
        <v>3.5857869769897499E-12</v>
      </c>
      <c r="S31" s="1">
        <v>-4.7705651221846303E-18</v>
      </c>
      <c r="T31" s="1">
        <v>3.9318154289779399E-16</v>
      </c>
      <c r="U31">
        <v>1.00470879285199</v>
      </c>
      <c r="V31">
        <v>0</v>
      </c>
      <c r="W31">
        <v>6.84742325245533E-2</v>
      </c>
      <c r="X31">
        <v>2</v>
      </c>
      <c r="Y31">
        <v>4.0005291609620302E-3</v>
      </c>
      <c r="Z31">
        <v>2.5000000000000001E-4</v>
      </c>
      <c r="AA31">
        <v>4.7933083450400699E-3</v>
      </c>
    </row>
    <row r="32" spans="1:27" x14ac:dyDescent="0.2">
      <c r="A32" t="b">
        <v>0</v>
      </c>
      <c r="B32">
        <v>1000</v>
      </c>
      <c r="C32">
        <v>9.7355066569361996E-3</v>
      </c>
      <c r="D32" t="s">
        <v>52</v>
      </c>
      <c r="E32" t="b">
        <v>1</v>
      </c>
      <c r="F32" t="s">
        <v>53</v>
      </c>
      <c r="G32">
        <v>7.4999999999999997E-2</v>
      </c>
      <c r="H32">
        <v>0.5</v>
      </c>
      <c r="I32">
        <v>1E-4</v>
      </c>
      <c r="J32" t="b">
        <v>1</v>
      </c>
      <c r="K32">
        <v>1</v>
      </c>
      <c r="L32">
        <v>1500</v>
      </c>
      <c r="M32">
        <v>0.01</v>
      </c>
      <c r="N32">
        <v>0.154</v>
      </c>
      <c r="O32" t="s">
        <v>55</v>
      </c>
      <c r="P32" t="s">
        <v>57</v>
      </c>
      <c r="Q32" s="1">
        <v>-1.1349391371366301E-5</v>
      </c>
      <c r="R32" s="1">
        <v>3.6725153619025701E-6</v>
      </c>
      <c r="S32" s="1">
        <v>3.3680325193582697E-5</v>
      </c>
      <c r="T32" s="1">
        <v>-1.22814167625659E-5</v>
      </c>
      <c r="U32">
        <v>1.0046996248754201</v>
      </c>
      <c r="V32" s="1">
        <v>-6.29311065242419E-16</v>
      </c>
      <c r="W32">
        <v>1.9093415415760401E-2</v>
      </c>
      <c r="X32">
        <v>1.9046995017444599</v>
      </c>
      <c r="Y32">
        <v>1.3713763398208001</v>
      </c>
      <c r="Z32">
        <v>2.6790709909255001E-2</v>
      </c>
      <c r="AA32">
        <v>1.1464083613790801</v>
      </c>
    </row>
    <row r="33" spans="1:27" x14ac:dyDescent="0.2">
      <c r="A33" t="b">
        <v>0</v>
      </c>
      <c r="B33">
        <v>1000</v>
      </c>
      <c r="C33">
        <v>9.7355066569361996E-3</v>
      </c>
      <c r="D33" t="s">
        <v>52</v>
      </c>
      <c r="E33" t="b">
        <v>1</v>
      </c>
      <c r="F33" t="s">
        <v>53</v>
      </c>
      <c r="G33">
        <v>7.4999999999999997E-2</v>
      </c>
      <c r="H33">
        <v>0.5</v>
      </c>
      <c r="I33">
        <v>1E-4</v>
      </c>
      <c r="J33" t="b">
        <v>1</v>
      </c>
      <c r="K33">
        <v>1</v>
      </c>
      <c r="L33">
        <v>1500</v>
      </c>
      <c r="M33">
        <v>0.01</v>
      </c>
      <c r="N33">
        <v>0.154</v>
      </c>
      <c r="O33" t="s">
        <v>56</v>
      </c>
      <c r="P33" t="s">
        <v>57</v>
      </c>
      <c r="Q33" s="1">
        <v>-1.13493913713666E-5</v>
      </c>
      <c r="R33" s="1">
        <v>3.6926033806148502E-6</v>
      </c>
      <c r="S33" s="1">
        <v>3.3680325193587901E-5</v>
      </c>
      <c r="T33" s="1">
        <v>-1.2281416762806799E-5</v>
      </c>
      <c r="U33">
        <v>1.00469962487438</v>
      </c>
      <c r="V33" s="1">
        <v>-6.2931106375145098E-16</v>
      </c>
      <c r="W33">
        <v>1.8987001018557301E-2</v>
      </c>
      <c r="X33">
        <v>1.9046995017444801</v>
      </c>
      <c r="Y33">
        <v>1.3737116059446599</v>
      </c>
      <c r="Z33">
        <v>2.6790709909169E-2</v>
      </c>
      <c r="AA33">
        <v>1.15276594377362</v>
      </c>
    </row>
    <row r="34" spans="1:27" x14ac:dyDescent="0.2">
      <c r="A34" t="b">
        <v>0</v>
      </c>
      <c r="B34">
        <v>1000</v>
      </c>
      <c r="C34">
        <v>9.7355066569360001E-3</v>
      </c>
      <c r="D34" t="s">
        <v>52</v>
      </c>
      <c r="E34" t="b">
        <v>1</v>
      </c>
      <c r="F34" t="s">
        <v>53</v>
      </c>
      <c r="G34">
        <v>7.4999999999999997E-2</v>
      </c>
      <c r="H34">
        <v>0.5</v>
      </c>
      <c r="I34">
        <v>1E-4</v>
      </c>
      <c r="J34" t="b">
        <v>1</v>
      </c>
      <c r="K34">
        <v>2</v>
      </c>
      <c r="L34">
        <v>1500</v>
      </c>
      <c r="M34">
        <v>0.01</v>
      </c>
      <c r="N34">
        <v>0.154</v>
      </c>
      <c r="O34" t="s">
        <v>58</v>
      </c>
      <c r="P34" t="s">
        <v>59</v>
      </c>
      <c r="Q34" s="1">
        <v>-4.4461814984844598E-5</v>
      </c>
      <c r="R34" s="1">
        <v>4.1454468377244902E-9</v>
      </c>
      <c r="S34">
        <v>1.3346483770637299E-4</v>
      </c>
      <c r="T34">
        <v>-1.8198669406077999E-4</v>
      </c>
      <c r="U34">
        <v>2.0020981646809801</v>
      </c>
      <c r="V34" s="1">
        <v>2.9727627002191801E-16</v>
      </c>
      <c r="W34" s="1">
        <v>6.8406033270292202E-6</v>
      </c>
      <c r="X34">
        <v>2.0196558439232901</v>
      </c>
      <c r="Y34">
        <v>4.2334885972838298E-4</v>
      </c>
      <c r="Z34">
        <v>2.4358486859507198E-3</v>
      </c>
      <c r="AA34">
        <v>3.80156648056652E-4</v>
      </c>
    </row>
    <row r="35" spans="1:27" x14ac:dyDescent="0.2">
      <c r="A35" t="b">
        <v>0</v>
      </c>
      <c r="B35">
        <v>1000</v>
      </c>
      <c r="C35">
        <v>9.7355066569360001E-3</v>
      </c>
      <c r="D35" t="s">
        <v>52</v>
      </c>
      <c r="E35" t="b">
        <v>1</v>
      </c>
      <c r="F35" t="s">
        <v>53</v>
      </c>
      <c r="G35">
        <v>7.4999999999999997E-2</v>
      </c>
      <c r="H35">
        <v>0.5</v>
      </c>
      <c r="I35">
        <v>1E-4</v>
      </c>
      <c r="J35" t="b">
        <v>1</v>
      </c>
      <c r="K35">
        <v>2</v>
      </c>
      <c r="L35">
        <v>1500</v>
      </c>
      <c r="M35">
        <v>0.01</v>
      </c>
      <c r="N35">
        <v>0.154</v>
      </c>
      <c r="O35" t="s">
        <v>58</v>
      </c>
      <c r="P35" t="s">
        <v>60</v>
      </c>
      <c r="Q35" s="1">
        <v>-4.44618150130115E-5</v>
      </c>
      <c r="R35" s="1">
        <v>4.0970391129322197E-9</v>
      </c>
      <c r="S35">
        <v>1.33464837706369E-4</v>
      </c>
      <c r="T35">
        <v>-1.8198669406059199E-4</v>
      </c>
      <c r="U35">
        <v>2.0020981646815099</v>
      </c>
      <c r="V35" s="1">
        <v>3.0257131682031598E-16</v>
      </c>
      <c r="W35" s="1">
        <v>6.9003575420826903E-6</v>
      </c>
      <c r="X35">
        <v>2.0196558469060699</v>
      </c>
      <c r="Y35">
        <v>4.2205895948420601E-4</v>
      </c>
      <c r="Z35">
        <v>2.4358461389443302E-3</v>
      </c>
      <c r="AA35">
        <v>3.7571662999961601E-4</v>
      </c>
    </row>
    <row r="36" spans="1:27" x14ac:dyDescent="0.2">
      <c r="A36" t="b">
        <v>0</v>
      </c>
      <c r="B36">
        <v>1000</v>
      </c>
      <c r="C36">
        <v>9.7355066569360001E-3</v>
      </c>
      <c r="D36" t="s">
        <v>52</v>
      </c>
      <c r="E36" t="b">
        <v>1</v>
      </c>
      <c r="F36" t="s">
        <v>53</v>
      </c>
      <c r="G36">
        <v>7.4999999999999997E-2</v>
      </c>
      <c r="H36">
        <v>0.5</v>
      </c>
      <c r="I36">
        <v>1E-4</v>
      </c>
      <c r="J36" t="b">
        <v>1</v>
      </c>
      <c r="K36">
        <v>2</v>
      </c>
      <c r="L36">
        <v>1500</v>
      </c>
      <c r="M36">
        <v>0.01</v>
      </c>
      <c r="N36">
        <v>0.154</v>
      </c>
      <c r="O36" t="s">
        <v>58</v>
      </c>
      <c r="P36" t="s">
        <v>61</v>
      </c>
      <c r="Q36" s="1">
        <v>-8.8923478670599606E-5</v>
      </c>
      <c r="R36" s="1">
        <v>8.2765400401669501E-9</v>
      </c>
      <c r="S36">
        <v>2.6692948709362201E-4</v>
      </c>
      <c r="T36">
        <v>-3.6397178115689897E-4</v>
      </c>
      <c r="U36">
        <v>2.0020299871499101</v>
      </c>
      <c r="V36" s="1">
        <v>2.8313993541818198E-16</v>
      </c>
      <c r="W36" s="1">
        <v>6.87171478300357E-6</v>
      </c>
      <c r="X36">
        <v>2.0196472720317602</v>
      </c>
      <c r="Y36">
        <v>4.2360578927641898E-4</v>
      </c>
      <c r="Z36">
        <v>2.4399156224989898E-3</v>
      </c>
      <c r="AA36">
        <v>3.7950522500825701E-4</v>
      </c>
    </row>
    <row r="37" spans="1:27" x14ac:dyDescent="0.2">
      <c r="A37" t="b">
        <v>0</v>
      </c>
      <c r="B37">
        <v>1000</v>
      </c>
      <c r="C37">
        <v>9.7355066569360001E-3</v>
      </c>
      <c r="D37" t="s">
        <v>52</v>
      </c>
      <c r="E37" t="b">
        <v>1</v>
      </c>
      <c r="F37" t="s">
        <v>53</v>
      </c>
      <c r="G37">
        <v>7.4999999999999997E-2</v>
      </c>
      <c r="H37">
        <v>0.5</v>
      </c>
      <c r="I37">
        <v>1E-4</v>
      </c>
      <c r="J37" t="b">
        <v>1</v>
      </c>
      <c r="K37">
        <v>2</v>
      </c>
      <c r="L37">
        <v>1500</v>
      </c>
      <c r="M37">
        <v>0.01</v>
      </c>
      <c r="N37">
        <v>0.154</v>
      </c>
      <c r="O37" t="s">
        <v>59</v>
      </c>
      <c r="P37" t="s">
        <v>60</v>
      </c>
      <c r="Q37" s="1">
        <v>-1E-10</v>
      </c>
      <c r="R37" s="1">
        <v>3.5857870009891801E-12</v>
      </c>
      <c r="S37" s="1">
        <v>-1.2441473278123101E-18</v>
      </c>
      <c r="T37" s="1">
        <v>1.05859073582402E-16</v>
      </c>
      <c r="U37">
        <v>2.0020299911927499</v>
      </c>
      <c r="V37">
        <v>0</v>
      </c>
      <c r="W37">
        <v>6.8474232982846703E-2</v>
      </c>
      <c r="X37">
        <v>2</v>
      </c>
      <c r="Y37">
        <v>4.0005291877372997E-3</v>
      </c>
      <c r="Z37">
        <v>2.5000000000000001E-4</v>
      </c>
      <c r="AA37">
        <v>4.7933083771213598E-3</v>
      </c>
    </row>
    <row r="38" spans="1:27" x14ac:dyDescent="0.2">
      <c r="A38" t="b">
        <v>0</v>
      </c>
      <c r="B38">
        <v>1000</v>
      </c>
      <c r="C38">
        <v>9.7355066569360001E-3</v>
      </c>
      <c r="D38" t="s">
        <v>52</v>
      </c>
      <c r="E38" t="b">
        <v>1</v>
      </c>
      <c r="F38" t="s">
        <v>53</v>
      </c>
      <c r="G38">
        <v>7.4999999999999997E-2</v>
      </c>
      <c r="H38">
        <v>0.5</v>
      </c>
      <c r="I38">
        <v>1E-4</v>
      </c>
      <c r="J38" t="b">
        <v>1</v>
      </c>
      <c r="K38">
        <v>2</v>
      </c>
      <c r="L38">
        <v>1500</v>
      </c>
      <c r="M38">
        <v>0.01</v>
      </c>
      <c r="N38">
        <v>0.154</v>
      </c>
      <c r="O38" t="s">
        <v>59</v>
      </c>
      <c r="P38" t="s">
        <v>61</v>
      </c>
      <c r="Q38" s="1">
        <v>-4.44616635192763E-5</v>
      </c>
      <c r="R38" s="1">
        <v>4.1229364083466299E-9</v>
      </c>
      <c r="S38">
        <v>1.3346464938724899E-4</v>
      </c>
      <c r="T38">
        <v>-1.8198508709608101E-4</v>
      </c>
      <c r="U38">
        <v>2.0019618136611501</v>
      </c>
      <c r="V38" s="1">
        <v>2.9316835870189599E-16</v>
      </c>
      <c r="W38" s="1">
        <v>6.9527127300912498E-6</v>
      </c>
      <c r="X38">
        <v>2.0196386823107799</v>
      </c>
      <c r="Y38">
        <v>4.2370780885973402E-4</v>
      </c>
      <c r="Z38">
        <v>2.4439976266303299E-3</v>
      </c>
      <c r="AA38">
        <v>3.78088478479603E-4</v>
      </c>
    </row>
    <row r="39" spans="1:27" x14ac:dyDescent="0.2">
      <c r="A39" t="b">
        <v>0</v>
      </c>
      <c r="B39">
        <v>1000</v>
      </c>
      <c r="C39">
        <v>9.7355066569360001E-3</v>
      </c>
      <c r="D39" t="s">
        <v>52</v>
      </c>
      <c r="E39" t="b">
        <v>1</v>
      </c>
      <c r="F39" t="s">
        <v>53</v>
      </c>
      <c r="G39">
        <v>7.4999999999999997E-2</v>
      </c>
      <c r="H39">
        <v>0.5</v>
      </c>
      <c r="I39">
        <v>1E-4</v>
      </c>
      <c r="J39" t="b">
        <v>1</v>
      </c>
      <c r="K39">
        <v>2</v>
      </c>
      <c r="L39">
        <v>1500</v>
      </c>
      <c r="M39">
        <v>0.01</v>
      </c>
      <c r="N39">
        <v>0.154</v>
      </c>
      <c r="O39" t="s">
        <v>60</v>
      </c>
      <c r="P39" t="s">
        <v>61</v>
      </c>
      <c r="Q39" s="1">
        <v>-4.4461663481082703E-5</v>
      </c>
      <c r="R39" s="1">
        <v>4.1307582813435002E-9</v>
      </c>
      <c r="S39">
        <v>1.3346464938724899E-4</v>
      </c>
      <c r="T39">
        <v>-1.81985087096057E-4</v>
      </c>
      <c r="U39">
        <v>2.0019618136616799</v>
      </c>
      <c r="V39" s="1">
        <v>2.7877561863114402E-16</v>
      </c>
      <c r="W39" s="1">
        <v>6.7419636904638897E-6</v>
      </c>
      <c r="X39">
        <v>2.0196386782677598</v>
      </c>
      <c r="Y39">
        <v>4.2415007773955799E-4</v>
      </c>
      <c r="Z39">
        <v>2.4440010513257799E-3</v>
      </c>
      <c r="AA39">
        <v>3.7880888351885298E-4</v>
      </c>
    </row>
    <row r="40" spans="1:27" x14ac:dyDescent="0.2">
      <c r="A40" t="b">
        <v>0</v>
      </c>
      <c r="B40">
        <v>1000</v>
      </c>
      <c r="C40">
        <v>9.7355066569377001E-3</v>
      </c>
      <c r="D40" t="s">
        <v>52</v>
      </c>
      <c r="E40" t="b">
        <v>1</v>
      </c>
      <c r="F40" t="s">
        <v>53</v>
      </c>
      <c r="G40">
        <v>7.4999999999999997E-2</v>
      </c>
      <c r="H40">
        <v>0.5</v>
      </c>
      <c r="I40">
        <v>1E-4</v>
      </c>
      <c r="J40" t="b">
        <v>1</v>
      </c>
      <c r="K40">
        <v>4</v>
      </c>
      <c r="L40">
        <v>1500</v>
      </c>
      <c r="M40">
        <v>0.01</v>
      </c>
      <c r="N40">
        <v>0.154</v>
      </c>
      <c r="O40" t="s">
        <v>62</v>
      </c>
      <c r="P40" t="s">
        <v>63</v>
      </c>
      <c r="Q40">
        <v>-1.7422347883957499E-4</v>
      </c>
      <c r="R40" s="1">
        <v>7.92872811117817E-7</v>
      </c>
      <c r="S40">
        <v>5.3237520175206901E-4</v>
      </c>
      <c r="T40">
        <v>-2.8517908387802101E-3</v>
      </c>
      <c r="U40">
        <v>4.0000833815175802</v>
      </c>
      <c r="V40" s="1">
        <v>9.9999971575775002E-15</v>
      </c>
      <c r="W40">
        <v>7.6919883914221201E-4</v>
      </c>
      <c r="X40">
        <v>3.85857721064419</v>
      </c>
      <c r="Y40">
        <v>1.42135745604002E-2</v>
      </c>
      <c r="Z40">
        <v>0.28341979741727102</v>
      </c>
      <c r="AA40">
        <v>6.6990285447589795E-2</v>
      </c>
    </row>
    <row r="41" spans="1:27" x14ac:dyDescent="0.2">
      <c r="A41" t="b">
        <v>0</v>
      </c>
      <c r="B41">
        <v>1000</v>
      </c>
      <c r="C41">
        <v>9.7355066569377001E-3</v>
      </c>
      <c r="D41" t="s">
        <v>52</v>
      </c>
      <c r="E41" t="b">
        <v>1</v>
      </c>
      <c r="F41" t="s">
        <v>53</v>
      </c>
      <c r="G41">
        <v>7.4999999999999997E-2</v>
      </c>
      <c r="H41">
        <v>0.5</v>
      </c>
      <c r="I41">
        <v>1E-4</v>
      </c>
      <c r="J41" t="b">
        <v>1</v>
      </c>
      <c r="K41">
        <v>4</v>
      </c>
      <c r="L41">
        <v>1500</v>
      </c>
      <c r="M41">
        <v>0.01</v>
      </c>
      <c r="N41">
        <v>0.154</v>
      </c>
      <c r="O41" t="s">
        <v>62</v>
      </c>
      <c r="P41" t="s">
        <v>64</v>
      </c>
      <c r="Q41">
        <v>-1.74229587992944E-4</v>
      </c>
      <c r="R41" s="1">
        <v>7.70073128566852E-7</v>
      </c>
      <c r="S41">
        <v>5.3237520175207097E-4</v>
      </c>
      <c r="T41">
        <v>-2.85179083878026E-3</v>
      </c>
      <c r="U41">
        <v>4.0000833815172596</v>
      </c>
      <c r="V41" s="1">
        <v>9.9999970004082597E-15</v>
      </c>
      <c r="W41">
        <v>7.4904810515789898E-4</v>
      </c>
      <c r="X41">
        <v>3.8588530641516599</v>
      </c>
      <c r="Y41">
        <v>1.3774212103141399E-2</v>
      </c>
      <c r="Z41">
        <v>0.28290408643533799</v>
      </c>
      <c r="AA41">
        <v>6.5076588823348297E-2</v>
      </c>
    </row>
    <row r="42" spans="1:27" x14ac:dyDescent="0.2">
      <c r="A42" t="b">
        <v>0</v>
      </c>
      <c r="B42">
        <v>1000</v>
      </c>
      <c r="C42">
        <v>9.7355066569377001E-3</v>
      </c>
      <c r="D42" t="s">
        <v>52</v>
      </c>
      <c r="E42" t="b">
        <v>1</v>
      </c>
      <c r="F42" t="s">
        <v>53</v>
      </c>
      <c r="G42">
        <v>7.4999999999999997E-2</v>
      </c>
      <c r="H42">
        <v>0.5</v>
      </c>
      <c r="I42">
        <v>1E-4</v>
      </c>
      <c r="J42" t="b">
        <v>1</v>
      </c>
      <c r="K42">
        <v>4</v>
      </c>
      <c r="L42">
        <v>1500</v>
      </c>
      <c r="M42">
        <v>0.01</v>
      </c>
      <c r="N42">
        <v>0.154</v>
      </c>
      <c r="O42" t="s">
        <v>62</v>
      </c>
      <c r="P42" t="s">
        <v>65</v>
      </c>
      <c r="Q42">
        <v>-3.5020196146976699E-4</v>
      </c>
      <c r="R42" s="1">
        <v>1.07429957993811E-6</v>
      </c>
      <c r="S42">
        <v>1.0647486784682999E-3</v>
      </c>
      <c r="T42">
        <v>-5.70340877172738E-3</v>
      </c>
      <c r="U42">
        <v>3.9995485713071499</v>
      </c>
      <c r="V42" s="1">
        <v>9.9999996139152004E-15</v>
      </c>
      <c r="W42">
        <v>5.5875111417926903E-4</v>
      </c>
      <c r="X42">
        <v>3.8978823190306802</v>
      </c>
      <c r="Y42">
        <v>8.89407331911235E-3</v>
      </c>
      <c r="Z42">
        <v>0.20987876116116899</v>
      </c>
      <c r="AA42">
        <v>4.6314219530968002E-2</v>
      </c>
    </row>
    <row r="43" spans="1:27" x14ac:dyDescent="0.2">
      <c r="A43" t="b">
        <v>0</v>
      </c>
      <c r="B43">
        <v>1000</v>
      </c>
      <c r="C43">
        <v>9.7355066569377001E-3</v>
      </c>
      <c r="D43" t="s">
        <v>52</v>
      </c>
      <c r="E43" t="b">
        <v>1</v>
      </c>
      <c r="F43" t="s">
        <v>53</v>
      </c>
      <c r="G43">
        <v>7.4999999999999997E-2</v>
      </c>
      <c r="H43">
        <v>0.5</v>
      </c>
      <c r="I43">
        <v>1E-4</v>
      </c>
      <c r="J43" t="b">
        <v>1</v>
      </c>
      <c r="K43">
        <v>4</v>
      </c>
      <c r="L43">
        <v>1500</v>
      </c>
      <c r="M43">
        <v>0.01</v>
      </c>
      <c r="N43">
        <v>0.154</v>
      </c>
      <c r="O43" t="s">
        <v>63</v>
      </c>
      <c r="P43" t="s">
        <v>64</v>
      </c>
      <c r="Q43" s="1">
        <v>-1E-10</v>
      </c>
      <c r="R43" s="1">
        <v>3.5857869908302498E-12</v>
      </c>
      <c r="S43" s="1">
        <v>2.8635535487647198E-18</v>
      </c>
      <c r="T43" s="1">
        <v>-6.5977094107949304E-17</v>
      </c>
      <c r="U43">
        <v>3.9995486818808699</v>
      </c>
      <c r="V43">
        <v>0</v>
      </c>
      <c r="W43">
        <v>6.8474232788851702E-2</v>
      </c>
      <c r="X43">
        <v>2</v>
      </c>
      <c r="Y43">
        <v>4.0005291764033599E-3</v>
      </c>
      <c r="Z43">
        <v>2.5000000000000001E-4</v>
      </c>
      <c r="AA43">
        <v>4.7933083635413902E-3</v>
      </c>
    </row>
    <row r="44" spans="1:27" x14ac:dyDescent="0.2">
      <c r="A44" t="b">
        <v>0</v>
      </c>
      <c r="B44">
        <v>1000</v>
      </c>
      <c r="C44">
        <v>9.7355066569377001E-3</v>
      </c>
      <c r="D44" t="s">
        <v>52</v>
      </c>
      <c r="E44" t="b">
        <v>1</v>
      </c>
      <c r="F44" t="s">
        <v>53</v>
      </c>
      <c r="G44">
        <v>7.4999999999999997E-2</v>
      </c>
      <c r="H44">
        <v>0.5</v>
      </c>
      <c r="I44">
        <v>1E-4</v>
      </c>
      <c r="J44" t="b">
        <v>1</v>
      </c>
      <c r="K44">
        <v>4</v>
      </c>
      <c r="L44">
        <v>1500</v>
      </c>
      <c r="M44">
        <v>0.01</v>
      </c>
      <c r="N44">
        <v>0.154</v>
      </c>
      <c r="O44" t="s">
        <v>63</v>
      </c>
      <c r="P44" t="s">
        <v>65</v>
      </c>
      <c r="Q44">
        <v>-1.7423534400962099E-4</v>
      </c>
      <c r="R44" s="1">
        <v>8.0248351241904303E-7</v>
      </c>
      <c r="S44">
        <v>5.3237347671623305E-4</v>
      </c>
      <c r="T44">
        <v>-2.8516179329472501E-3</v>
      </c>
      <c r="U44">
        <v>3.99901387167075</v>
      </c>
      <c r="V44" s="1">
        <v>9.9999967247717098E-15</v>
      </c>
      <c r="W44">
        <v>7.8185127959972702E-4</v>
      </c>
      <c r="X44">
        <v>3.8590272689385299</v>
      </c>
      <c r="Y44">
        <v>1.43019864799527E-2</v>
      </c>
      <c r="Z44">
        <v>0.28235267671337</v>
      </c>
      <c r="AA44">
        <v>6.7819413646082502E-2</v>
      </c>
    </row>
    <row r="45" spans="1:27" x14ac:dyDescent="0.2">
      <c r="A45" t="b">
        <v>0</v>
      </c>
      <c r="B45">
        <v>1000</v>
      </c>
      <c r="C45">
        <v>9.7355066569377001E-3</v>
      </c>
      <c r="D45" t="s">
        <v>52</v>
      </c>
      <c r="E45" t="b">
        <v>1</v>
      </c>
      <c r="F45" t="s">
        <v>53</v>
      </c>
      <c r="G45">
        <v>7.4999999999999997E-2</v>
      </c>
      <c r="H45">
        <v>0.5</v>
      </c>
      <c r="I45">
        <v>1E-4</v>
      </c>
      <c r="J45" t="b">
        <v>1</v>
      </c>
      <c r="K45">
        <v>4</v>
      </c>
      <c r="L45">
        <v>1500</v>
      </c>
      <c r="M45">
        <v>0.01</v>
      </c>
      <c r="N45">
        <v>0.154</v>
      </c>
      <c r="O45" t="s">
        <v>64</v>
      </c>
      <c r="P45" t="s">
        <v>65</v>
      </c>
      <c r="Q45">
        <v>-1.7422633941451701E-4</v>
      </c>
      <c r="R45" s="1">
        <v>7.9383416561035805E-7</v>
      </c>
      <c r="S45">
        <v>5.3237347671623403E-4</v>
      </c>
      <c r="T45">
        <v>-2.8516179329472601E-3</v>
      </c>
      <c r="U45">
        <v>3.9990138716704302</v>
      </c>
      <c r="V45" s="1">
        <v>9.9999969530688604E-15</v>
      </c>
      <c r="W45">
        <v>7.72130759062107E-4</v>
      </c>
      <c r="X45">
        <v>3.8586237746578398</v>
      </c>
      <c r="Y45">
        <v>1.4186826456563601E-2</v>
      </c>
      <c r="Z45">
        <v>0.28310582136768703</v>
      </c>
      <c r="AA45">
        <v>6.7075860698127501E-2</v>
      </c>
    </row>
    <row r="46" spans="1:27" x14ac:dyDescent="0.2">
      <c r="A46" t="b">
        <v>0</v>
      </c>
      <c r="B46">
        <v>1000</v>
      </c>
      <c r="C46">
        <v>9.7355066569360105E-2</v>
      </c>
      <c r="D46" t="s">
        <v>52</v>
      </c>
      <c r="E46" t="b">
        <v>1</v>
      </c>
      <c r="F46" t="s">
        <v>53</v>
      </c>
      <c r="G46">
        <v>7.4999999999999997E-2</v>
      </c>
      <c r="H46">
        <v>0.5</v>
      </c>
      <c r="I46">
        <v>1E-4</v>
      </c>
      <c r="J46" t="b">
        <v>1</v>
      </c>
      <c r="K46">
        <v>2</v>
      </c>
      <c r="L46">
        <v>1500</v>
      </c>
      <c r="M46">
        <v>0.1</v>
      </c>
      <c r="N46">
        <v>0.154</v>
      </c>
      <c r="O46" t="s">
        <v>66</v>
      </c>
      <c r="P46" t="s">
        <v>67</v>
      </c>
      <c r="Q46" s="1">
        <v>-4.5374517848367597E-5</v>
      </c>
      <c r="R46" s="1">
        <v>3.6572591918231603E-8</v>
      </c>
      <c r="S46">
        <v>1.36364573117508E-4</v>
      </c>
      <c r="T46">
        <v>-2.1945580449732799E-4</v>
      </c>
      <c r="U46">
        <v>2.0215561312491501</v>
      </c>
      <c r="V46" s="1">
        <v>8.6062894836802096E-16</v>
      </c>
      <c r="W46" s="1">
        <v>8.1040616382133495E-5</v>
      </c>
      <c r="X46">
        <v>2.1880629832160001</v>
      </c>
      <c r="Y46">
        <v>3.6970824567609099E-3</v>
      </c>
      <c r="Z46">
        <v>8.52005548058332E-3</v>
      </c>
      <c r="AA46">
        <v>3.8463860884418999E-3</v>
      </c>
    </row>
    <row r="47" spans="1:27" x14ac:dyDescent="0.2">
      <c r="A47" t="b">
        <v>0</v>
      </c>
      <c r="B47">
        <v>1000</v>
      </c>
      <c r="C47">
        <v>9.7355066569360105E-2</v>
      </c>
      <c r="D47" t="s">
        <v>52</v>
      </c>
      <c r="E47" t="b">
        <v>1</v>
      </c>
      <c r="F47" t="s">
        <v>53</v>
      </c>
      <c r="G47">
        <v>7.4999999999999997E-2</v>
      </c>
      <c r="H47">
        <v>0.5</v>
      </c>
      <c r="I47">
        <v>1E-4</v>
      </c>
      <c r="J47" t="b">
        <v>1</v>
      </c>
      <c r="K47">
        <v>2</v>
      </c>
      <c r="L47">
        <v>1500</v>
      </c>
      <c r="M47">
        <v>0.1</v>
      </c>
      <c r="N47">
        <v>0.154</v>
      </c>
      <c r="O47" t="s">
        <v>66</v>
      </c>
      <c r="P47" t="s">
        <v>68</v>
      </c>
      <c r="Q47" s="1">
        <v>-4.5374517736020603E-5</v>
      </c>
      <c r="R47" s="1">
        <v>3.6832988229308302E-8</v>
      </c>
      <c r="S47">
        <v>1.3636457311751599E-4</v>
      </c>
      <c r="T47">
        <v>-2.1945580449754101E-4</v>
      </c>
      <c r="U47">
        <v>2.0215561312496102</v>
      </c>
      <c r="V47" s="1">
        <v>8.6783252083921496E-16</v>
      </c>
      <c r="W47" s="1">
        <v>8.2424642354562102E-5</v>
      </c>
      <c r="X47">
        <v>2.1880629707194301</v>
      </c>
      <c r="Y47">
        <v>3.7016516152336E-3</v>
      </c>
      <c r="Z47">
        <v>8.5200671467139805E-3</v>
      </c>
      <c r="AA47">
        <v>3.8740238405332301E-3</v>
      </c>
    </row>
    <row r="48" spans="1:27" x14ac:dyDescent="0.2">
      <c r="A48" t="b">
        <v>0</v>
      </c>
      <c r="B48">
        <v>1000</v>
      </c>
      <c r="C48">
        <v>9.7355066569360105E-2</v>
      </c>
      <c r="D48" t="s">
        <v>52</v>
      </c>
      <c r="E48" t="b">
        <v>1</v>
      </c>
      <c r="F48" t="s">
        <v>53</v>
      </c>
      <c r="G48">
        <v>7.4999999999999997E-2</v>
      </c>
      <c r="H48">
        <v>0.5</v>
      </c>
      <c r="I48">
        <v>1E-4</v>
      </c>
      <c r="J48" t="b">
        <v>1</v>
      </c>
      <c r="K48">
        <v>2</v>
      </c>
      <c r="L48">
        <v>1500</v>
      </c>
      <c r="M48">
        <v>0.1</v>
      </c>
      <c r="N48">
        <v>0.154</v>
      </c>
      <c r="O48" t="s">
        <v>66</v>
      </c>
      <c r="P48" t="s">
        <v>69</v>
      </c>
      <c r="Q48" s="1">
        <v>-9.0748419134262202E-5</v>
      </c>
      <c r="R48" s="1">
        <v>7.3825813356441905E-8</v>
      </c>
      <c r="S48">
        <v>2.7272738952975302E-4</v>
      </c>
      <c r="T48">
        <v>-4.3890069385505001E-4</v>
      </c>
      <c r="U48">
        <v>2.0214747103489099</v>
      </c>
      <c r="V48" s="1">
        <v>8.7414039780812697E-16</v>
      </c>
      <c r="W48" s="1">
        <v>8.21869768672329E-5</v>
      </c>
      <c r="X48">
        <v>2.1880409775366001</v>
      </c>
      <c r="Y48">
        <v>3.7055875687002802E-3</v>
      </c>
      <c r="Z48">
        <v>8.5215974160418994E-3</v>
      </c>
      <c r="AA48">
        <v>3.8822270711607802E-3</v>
      </c>
    </row>
    <row r="49" spans="1:27" x14ac:dyDescent="0.2">
      <c r="A49" t="b">
        <v>0</v>
      </c>
      <c r="B49">
        <v>1000</v>
      </c>
      <c r="C49">
        <v>9.7355066569360105E-2</v>
      </c>
      <c r="D49" t="s">
        <v>52</v>
      </c>
      <c r="E49" t="b">
        <v>1</v>
      </c>
      <c r="F49" t="s">
        <v>53</v>
      </c>
      <c r="G49">
        <v>7.4999999999999997E-2</v>
      </c>
      <c r="H49">
        <v>0.5</v>
      </c>
      <c r="I49">
        <v>1E-4</v>
      </c>
      <c r="J49" t="b">
        <v>1</v>
      </c>
      <c r="K49">
        <v>2</v>
      </c>
      <c r="L49">
        <v>1500</v>
      </c>
      <c r="M49">
        <v>0.1</v>
      </c>
      <c r="N49">
        <v>0.154</v>
      </c>
      <c r="O49" t="s">
        <v>67</v>
      </c>
      <c r="P49" t="s">
        <v>68</v>
      </c>
      <c r="Q49" s="1">
        <v>-1E-10</v>
      </c>
      <c r="R49" s="1">
        <v>3.5857867686972E-12</v>
      </c>
      <c r="S49" s="1">
        <v>2.2378001876312999E-17</v>
      </c>
      <c r="T49" s="1">
        <v>-1.39435497702982E-16</v>
      </c>
      <c r="U49">
        <v>2.0214747128516399</v>
      </c>
      <c r="V49">
        <v>0</v>
      </c>
      <c r="W49">
        <v>6.8474228546996099E-2</v>
      </c>
      <c r="X49">
        <v>2</v>
      </c>
      <c r="Y49">
        <v>4.00052892857777E-3</v>
      </c>
      <c r="Z49">
        <v>2.5000000000000001E-4</v>
      </c>
      <c r="AA49">
        <v>4.79330806660456E-3</v>
      </c>
    </row>
    <row r="50" spans="1:27" x14ac:dyDescent="0.2">
      <c r="A50" t="b">
        <v>0</v>
      </c>
      <c r="B50">
        <v>1000</v>
      </c>
      <c r="C50">
        <v>9.7355066569360105E-2</v>
      </c>
      <c r="D50" t="s">
        <v>52</v>
      </c>
      <c r="E50" t="b">
        <v>1</v>
      </c>
      <c r="F50" t="s">
        <v>53</v>
      </c>
      <c r="G50">
        <v>7.4999999999999997E-2</v>
      </c>
      <c r="H50">
        <v>0.5</v>
      </c>
      <c r="I50">
        <v>1E-4</v>
      </c>
      <c r="J50" t="b">
        <v>1</v>
      </c>
      <c r="K50">
        <v>2</v>
      </c>
      <c r="L50">
        <v>1500</v>
      </c>
      <c r="M50">
        <v>0.1</v>
      </c>
      <c r="N50">
        <v>0.154</v>
      </c>
      <c r="O50" t="s">
        <v>67</v>
      </c>
      <c r="P50" t="s">
        <v>69</v>
      </c>
      <c r="Q50" s="1">
        <v>-4.5373901700551303E-5</v>
      </c>
      <c r="R50" s="1">
        <v>3.6466081974895502E-8</v>
      </c>
      <c r="S50">
        <v>1.3636281641223901E-4</v>
      </c>
      <c r="T50">
        <v>-2.1944488935746599E-4</v>
      </c>
      <c r="U50">
        <v>2.0213932919509299</v>
      </c>
      <c r="V50" s="1">
        <v>8.6463671362013701E-16</v>
      </c>
      <c r="W50" s="1">
        <v>8.0736295899647904E-5</v>
      </c>
      <c r="X50">
        <v>2.1880190193442202</v>
      </c>
      <c r="Y50">
        <v>3.69537684284883E-3</v>
      </c>
      <c r="Z50">
        <v>8.5230951266221603E-3</v>
      </c>
      <c r="AA50">
        <v>3.8349584347315202E-3</v>
      </c>
    </row>
    <row r="51" spans="1:27" x14ac:dyDescent="0.2">
      <c r="A51" t="b">
        <v>0</v>
      </c>
      <c r="B51">
        <v>1000</v>
      </c>
      <c r="C51">
        <v>9.7355066569360105E-2</v>
      </c>
      <c r="D51" t="s">
        <v>52</v>
      </c>
      <c r="E51" t="b">
        <v>1</v>
      </c>
      <c r="F51" t="s">
        <v>53</v>
      </c>
      <c r="G51">
        <v>7.4999999999999997E-2</v>
      </c>
      <c r="H51">
        <v>0.5</v>
      </c>
      <c r="I51">
        <v>1E-4</v>
      </c>
      <c r="J51" t="b">
        <v>1</v>
      </c>
      <c r="K51">
        <v>2</v>
      </c>
      <c r="L51">
        <v>1500</v>
      </c>
      <c r="M51">
        <v>0.1</v>
      </c>
      <c r="N51">
        <v>0.154</v>
      </c>
      <c r="O51" t="s">
        <v>68</v>
      </c>
      <c r="P51" t="s">
        <v>69</v>
      </c>
      <c r="Q51" s="1">
        <v>-4.5373901658172002E-5</v>
      </c>
      <c r="R51" s="1">
        <v>3.62439988107521E-8</v>
      </c>
      <c r="S51">
        <v>1.3636281641223299E-4</v>
      </c>
      <c r="T51">
        <v>-2.1944488935737901E-4</v>
      </c>
      <c r="U51">
        <v>2.0213932919513899</v>
      </c>
      <c r="V51" s="1">
        <v>8.5511291974395101E-16</v>
      </c>
      <c r="W51" s="1">
        <v>8.1697590734276898E-5</v>
      </c>
      <c r="X51">
        <v>2.1880190144377001</v>
      </c>
      <c r="Y51">
        <v>3.68709650978267E-3</v>
      </c>
      <c r="Z51">
        <v>8.5230996174043405E-3</v>
      </c>
      <c r="AA51">
        <v>3.8116182634180601E-3</v>
      </c>
    </row>
    <row r="52" spans="1:27" x14ac:dyDescent="0.2">
      <c r="A52" t="b">
        <v>0</v>
      </c>
      <c r="B52">
        <v>1000</v>
      </c>
      <c r="C52">
        <v>9.7355066569360896E-2</v>
      </c>
      <c r="D52" t="s">
        <v>52</v>
      </c>
      <c r="E52" t="b">
        <v>1</v>
      </c>
      <c r="F52" t="s">
        <v>53</v>
      </c>
      <c r="G52">
        <v>7.4999999999999997E-2</v>
      </c>
      <c r="H52">
        <v>0.5</v>
      </c>
      <c r="I52">
        <v>1E-4</v>
      </c>
      <c r="J52" t="b">
        <v>1</v>
      </c>
      <c r="K52">
        <v>1</v>
      </c>
      <c r="L52">
        <v>1500</v>
      </c>
      <c r="M52">
        <v>0.1</v>
      </c>
      <c r="N52">
        <v>0.154</v>
      </c>
      <c r="O52" t="s">
        <v>70</v>
      </c>
      <c r="P52" t="s">
        <v>71</v>
      </c>
      <c r="Q52" s="1">
        <v>-1.22932127051684E-5</v>
      </c>
      <c r="R52" s="1">
        <v>2.7975296293501102E-6</v>
      </c>
      <c r="S52" s="1">
        <v>3.6593363151351303E-5</v>
      </c>
      <c r="T52" s="1">
        <v>-2.2326883009281999E-5</v>
      </c>
      <c r="U52">
        <v>1.0462602702225201</v>
      </c>
      <c r="V52" s="1">
        <v>-4.9851518921682603E-16</v>
      </c>
      <c r="W52">
        <v>1.42537472321233E-2</v>
      </c>
      <c r="X52">
        <v>1.9243256085790199</v>
      </c>
      <c r="Y52">
        <v>0.98109094981295597</v>
      </c>
      <c r="Z52">
        <v>2.1237234188288E-2</v>
      </c>
      <c r="AA52">
        <v>0.82754663890496405</v>
      </c>
    </row>
    <row r="53" spans="1:27" x14ac:dyDescent="0.2">
      <c r="A53" t="b">
        <v>0</v>
      </c>
      <c r="B53">
        <v>1000</v>
      </c>
      <c r="C53">
        <v>9.7355066569360896E-2</v>
      </c>
      <c r="D53" t="s">
        <v>52</v>
      </c>
      <c r="E53" t="b">
        <v>1</v>
      </c>
      <c r="F53" t="s">
        <v>53</v>
      </c>
      <c r="G53">
        <v>7.4999999999999997E-2</v>
      </c>
      <c r="H53">
        <v>0.5</v>
      </c>
      <c r="I53">
        <v>1E-4</v>
      </c>
      <c r="J53" t="b">
        <v>1</v>
      </c>
      <c r="K53">
        <v>1</v>
      </c>
      <c r="L53">
        <v>1500</v>
      </c>
      <c r="M53">
        <v>0.1</v>
      </c>
      <c r="N53">
        <v>0.154</v>
      </c>
      <c r="O53" t="s">
        <v>70</v>
      </c>
      <c r="P53" t="s">
        <v>72</v>
      </c>
      <c r="Q53" s="1">
        <v>-1.2293212705167601E-5</v>
      </c>
      <c r="R53" s="1">
        <v>2.8168750594316602E-6</v>
      </c>
      <c r="S53" s="1">
        <v>3.6593363151340901E-5</v>
      </c>
      <c r="T53" s="1">
        <v>-2.2326883008821599E-5</v>
      </c>
      <c r="U53">
        <v>1.0462602701961501</v>
      </c>
      <c r="V53" s="1">
        <v>-4.98515188736016E-16</v>
      </c>
      <c r="W53">
        <v>1.4523625422544199E-2</v>
      </c>
      <c r="X53">
        <v>1.9243256085791001</v>
      </c>
      <c r="Y53">
        <v>0.982466814997348</v>
      </c>
      <c r="Z53">
        <v>2.12372341884236E-2</v>
      </c>
      <c r="AA53">
        <v>0.83338327314168203</v>
      </c>
    </row>
    <row r="54" spans="1:27" x14ac:dyDescent="0.2">
      <c r="A54" t="b">
        <v>0</v>
      </c>
      <c r="B54">
        <v>1000</v>
      </c>
      <c r="C54">
        <v>9.7355066569360896E-2</v>
      </c>
      <c r="D54" t="s">
        <v>52</v>
      </c>
      <c r="E54" t="b">
        <v>1</v>
      </c>
      <c r="F54" t="s">
        <v>53</v>
      </c>
      <c r="G54">
        <v>7.4999999999999997E-2</v>
      </c>
      <c r="H54">
        <v>0.5</v>
      </c>
      <c r="I54">
        <v>1E-4</v>
      </c>
      <c r="J54" t="b">
        <v>1</v>
      </c>
      <c r="K54">
        <v>1</v>
      </c>
      <c r="L54">
        <v>1500</v>
      </c>
      <c r="M54">
        <v>0.1</v>
      </c>
      <c r="N54">
        <v>0.154</v>
      </c>
      <c r="O54" t="s">
        <v>70</v>
      </c>
      <c r="P54" t="s">
        <v>73</v>
      </c>
      <c r="Q54" s="1">
        <v>-2.45862756442116E-5</v>
      </c>
      <c r="R54" s="1">
        <v>5.6104762227837497E-6</v>
      </c>
      <c r="S54" s="1">
        <v>7.3186272992294E-5</v>
      </c>
      <c r="T54" s="1">
        <v>-4.4652872225036201E-5</v>
      </c>
      <c r="U54">
        <v>1.04624426558102</v>
      </c>
      <c r="V54" s="1">
        <v>-4.9901178289445301E-16</v>
      </c>
      <c r="W54">
        <v>1.4360107608520399E-2</v>
      </c>
      <c r="X54">
        <v>1.9243247717102701</v>
      </c>
      <c r="Y54">
        <v>0.98162758051369603</v>
      </c>
      <c r="Z54">
        <v>2.12374247794213E-2</v>
      </c>
      <c r="AA54">
        <v>0.82987151158238803</v>
      </c>
    </row>
    <row r="55" spans="1:27" x14ac:dyDescent="0.2">
      <c r="A55" t="b">
        <v>0</v>
      </c>
      <c r="B55">
        <v>1000</v>
      </c>
      <c r="C55">
        <v>9.7355066569360896E-2</v>
      </c>
      <c r="D55" t="s">
        <v>52</v>
      </c>
      <c r="E55" t="b">
        <v>1</v>
      </c>
      <c r="F55" t="s">
        <v>53</v>
      </c>
      <c r="G55">
        <v>7.4999999999999997E-2</v>
      </c>
      <c r="H55">
        <v>0.5</v>
      </c>
      <c r="I55">
        <v>1E-4</v>
      </c>
      <c r="J55" t="b">
        <v>1</v>
      </c>
      <c r="K55">
        <v>1</v>
      </c>
      <c r="L55">
        <v>1500</v>
      </c>
      <c r="M55">
        <v>0.1</v>
      </c>
      <c r="N55">
        <v>0.154</v>
      </c>
      <c r="O55" t="s">
        <v>71</v>
      </c>
      <c r="P55" t="s">
        <v>72</v>
      </c>
      <c r="Q55" s="1">
        <v>-1E-10</v>
      </c>
      <c r="R55" s="1">
        <v>3.5857868507588801E-12</v>
      </c>
      <c r="S55" s="1">
        <v>4.1567529717205298E-18</v>
      </c>
      <c r="T55" s="1">
        <v>4.6472969594223599E-16</v>
      </c>
      <c r="U55">
        <v>1.04624426544798</v>
      </c>
      <c r="V55">
        <v>0</v>
      </c>
      <c r="W55">
        <v>6.8474230114047102E-2</v>
      </c>
      <c r="X55">
        <v>2</v>
      </c>
      <c r="Y55">
        <v>4.0005290201309499E-3</v>
      </c>
      <c r="Z55">
        <v>2.5000000000000001E-4</v>
      </c>
      <c r="AA55">
        <v>4.7933081763006898E-3</v>
      </c>
    </row>
    <row r="56" spans="1:27" x14ac:dyDescent="0.2">
      <c r="A56" t="b">
        <v>0</v>
      </c>
      <c r="B56">
        <v>1000</v>
      </c>
      <c r="C56">
        <v>9.7355066569360896E-2</v>
      </c>
      <c r="D56" t="s">
        <v>52</v>
      </c>
      <c r="E56" t="b">
        <v>1</v>
      </c>
      <c r="F56" t="s">
        <v>53</v>
      </c>
      <c r="G56">
        <v>7.4999999999999997E-2</v>
      </c>
      <c r="H56">
        <v>0.5</v>
      </c>
      <c r="I56">
        <v>1E-4</v>
      </c>
      <c r="J56" t="b">
        <v>1</v>
      </c>
      <c r="K56">
        <v>1</v>
      </c>
      <c r="L56">
        <v>1500</v>
      </c>
      <c r="M56">
        <v>0.1</v>
      </c>
      <c r="N56">
        <v>0.154</v>
      </c>
      <c r="O56" t="s">
        <v>71</v>
      </c>
      <c r="P56" t="s">
        <v>73</v>
      </c>
      <c r="Q56" s="1">
        <v>-1.2293062937994999E-5</v>
      </c>
      <c r="R56" s="1">
        <v>2.8099508609811998E-6</v>
      </c>
      <c r="S56" s="1">
        <v>3.6592909840941897E-5</v>
      </c>
      <c r="T56" s="1">
        <v>-2.23259892157893E-5</v>
      </c>
      <c r="U56">
        <v>1.0462282608328499</v>
      </c>
      <c r="V56" s="1">
        <v>-4.9880051685182804E-16</v>
      </c>
      <c r="W56">
        <v>1.4277135941194299E-2</v>
      </c>
      <c r="X56">
        <v>1.9243241770013899</v>
      </c>
      <c r="Y56">
        <v>0.98214303854905405</v>
      </c>
      <c r="Z56">
        <v>2.1237639498605899E-2</v>
      </c>
      <c r="AA56">
        <v>0.83128697504063997</v>
      </c>
    </row>
    <row r="57" spans="1:27" x14ac:dyDescent="0.2">
      <c r="A57" t="b">
        <v>0</v>
      </c>
      <c r="B57">
        <v>1000</v>
      </c>
      <c r="C57">
        <v>9.7355066569360896E-2</v>
      </c>
      <c r="D57" t="s">
        <v>52</v>
      </c>
      <c r="E57" t="b">
        <v>1</v>
      </c>
      <c r="F57" t="s">
        <v>53</v>
      </c>
      <c r="G57">
        <v>7.4999999999999997E-2</v>
      </c>
      <c r="H57">
        <v>0.5</v>
      </c>
      <c r="I57">
        <v>1E-4</v>
      </c>
      <c r="J57" t="b">
        <v>1</v>
      </c>
      <c r="K57">
        <v>1</v>
      </c>
      <c r="L57">
        <v>1500</v>
      </c>
      <c r="M57">
        <v>0.1</v>
      </c>
      <c r="N57">
        <v>0.154</v>
      </c>
      <c r="O57" t="s">
        <v>72</v>
      </c>
      <c r="P57" t="s">
        <v>73</v>
      </c>
      <c r="Q57" s="1">
        <v>-1.2293062937996E-5</v>
      </c>
      <c r="R57" s="1">
        <v>2.8297433292870198E-6</v>
      </c>
      <c r="S57" s="1">
        <v>3.6592909840952001E-5</v>
      </c>
      <c r="T57" s="1">
        <v>-2.2325989216188899E-5</v>
      </c>
      <c r="U57">
        <v>1.0462282608064899</v>
      </c>
      <c r="V57" s="1">
        <v>-4.9880051656381E-16</v>
      </c>
      <c r="W57">
        <v>1.4600338237730499E-2</v>
      </c>
      <c r="X57">
        <v>1.92432417700122</v>
      </c>
      <c r="Y57">
        <v>0.98367623972971396</v>
      </c>
      <c r="Z57">
        <v>2.12376394985077E-2</v>
      </c>
      <c r="AA57">
        <v>0.83727334752281501</v>
      </c>
    </row>
    <row r="58" spans="1:27" x14ac:dyDescent="0.2">
      <c r="A58" t="b">
        <v>0</v>
      </c>
      <c r="B58">
        <v>1000</v>
      </c>
      <c r="C58">
        <v>9.7355066569367196E-2</v>
      </c>
      <c r="D58" t="s">
        <v>52</v>
      </c>
      <c r="E58" t="b">
        <v>1</v>
      </c>
      <c r="F58" t="s">
        <v>53</v>
      </c>
      <c r="G58">
        <v>7.4999999999999997E-2</v>
      </c>
      <c r="H58">
        <v>0.5</v>
      </c>
      <c r="I58">
        <v>1E-4</v>
      </c>
      <c r="J58" t="b">
        <v>1</v>
      </c>
      <c r="K58">
        <v>4</v>
      </c>
      <c r="L58">
        <v>1500</v>
      </c>
      <c r="M58">
        <v>0.1</v>
      </c>
      <c r="N58">
        <v>0.154</v>
      </c>
      <c r="O58" t="s">
        <v>74</v>
      </c>
      <c r="P58" t="s">
        <v>75</v>
      </c>
      <c r="Q58">
        <v>-1.71351859667845E-4</v>
      </c>
      <c r="R58" s="1">
        <v>1.36912793003091E-6</v>
      </c>
      <c r="S58">
        <v>5.3510780450953597E-4</v>
      </c>
      <c r="T58">
        <v>-2.98053318601857E-3</v>
      </c>
      <c r="U58">
        <v>4.0064137008289098</v>
      </c>
      <c r="V58" s="1">
        <v>9.9999992057014797E-15</v>
      </c>
      <c r="W58">
        <v>9.7765292735106798E-4</v>
      </c>
      <c r="X58">
        <v>3.7756546628504899</v>
      </c>
      <c r="Y58">
        <v>3.0529677405984199E-2</v>
      </c>
      <c r="Z58">
        <v>0.59722157714546098</v>
      </c>
      <c r="AA58">
        <v>0.109062709803011</v>
      </c>
    </row>
    <row r="59" spans="1:27" x14ac:dyDescent="0.2">
      <c r="A59" t="b">
        <v>0</v>
      </c>
      <c r="B59">
        <v>1000</v>
      </c>
      <c r="C59">
        <v>9.7355066569367196E-2</v>
      </c>
      <c r="D59" t="s">
        <v>52</v>
      </c>
      <c r="E59" t="b">
        <v>1</v>
      </c>
      <c r="F59" t="s">
        <v>53</v>
      </c>
      <c r="G59">
        <v>7.4999999999999997E-2</v>
      </c>
      <c r="H59">
        <v>0.5</v>
      </c>
      <c r="I59">
        <v>1E-4</v>
      </c>
      <c r="J59" t="b">
        <v>1</v>
      </c>
      <c r="K59">
        <v>4</v>
      </c>
      <c r="L59">
        <v>1500</v>
      </c>
      <c r="M59">
        <v>0.1</v>
      </c>
      <c r="N59">
        <v>0.154</v>
      </c>
      <c r="O59" t="s">
        <v>74</v>
      </c>
      <c r="P59" t="s">
        <v>76</v>
      </c>
      <c r="Q59">
        <v>-1.71355664549981E-4</v>
      </c>
      <c r="R59" s="1">
        <v>1.42741487668578E-6</v>
      </c>
      <c r="S59">
        <v>5.35107804509535E-4</v>
      </c>
      <c r="T59">
        <v>-2.98053318601856E-3</v>
      </c>
      <c r="U59">
        <v>4.0064137008320602</v>
      </c>
      <c r="V59" s="1">
        <v>9.9999991962551607E-15</v>
      </c>
      <c r="W59">
        <v>1.0210778929179E-3</v>
      </c>
      <c r="X59">
        <v>3.7758111279643001</v>
      </c>
      <c r="Y59">
        <v>3.1768693033404703E-2</v>
      </c>
      <c r="Z59">
        <v>0.59692806162447298</v>
      </c>
      <c r="AA59">
        <v>0.113731835075261</v>
      </c>
    </row>
    <row r="60" spans="1:27" x14ac:dyDescent="0.2">
      <c r="A60" t="b">
        <v>0</v>
      </c>
      <c r="B60">
        <v>1000</v>
      </c>
      <c r="C60">
        <v>9.7355066569367196E-2</v>
      </c>
      <c r="D60" t="s">
        <v>52</v>
      </c>
      <c r="E60" t="b">
        <v>1</v>
      </c>
      <c r="F60" t="s">
        <v>53</v>
      </c>
      <c r="G60">
        <v>7.4999999999999997E-2</v>
      </c>
      <c r="H60">
        <v>0.5</v>
      </c>
      <c r="I60">
        <v>1E-4</v>
      </c>
      <c r="J60" t="b">
        <v>1</v>
      </c>
      <c r="K60">
        <v>4</v>
      </c>
      <c r="L60">
        <v>1500</v>
      </c>
      <c r="M60">
        <v>0.1</v>
      </c>
      <c r="N60">
        <v>0.154</v>
      </c>
      <c r="O60" t="s">
        <v>74</v>
      </c>
      <c r="P60" t="s">
        <v>77</v>
      </c>
      <c r="Q60">
        <v>-3.4862323026636598E-4</v>
      </c>
      <c r="R60" s="1">
        <v>5.4383495694338596E-7</v>
      </c>
      <c r="S60">
        <v>1.07020773184538E-3</v>
      </c>
      <c r="T60">
        <v>-5.9607648719662903E-3</v>
      </c>
      <c r="U60">
        <v>4.0058556464827904</v>
      </c>
      <c r="V60" s="1">
        <v>-1.01958197041487E-15</v>
      </c>
      <c r="W60">
        <v>2.4392344652589401E-4</v>
      </c>
      <c r="X60">
        <v>3.8997444898670102</v>
      </c>
      <c r="Y60">
        <v>5.4102206670809897E-3</v>
      </c>
      <c r="Z60">
        <v>0.363115338336087</v>
      </c>
      <c r="AA60">
        <v>2.3313535018976698E-2</v>
      </c>
    </row>
    <row r="61" spans="1:27" x14ac:dyDescent="0.2">
      <c r="A61" t="b">
        <v>0</v>
      </c>
      <c r="B61">
        <v>1000</v>
      </c>
      <c r="C61">
        <v>9.7355066569367196E-2</v>
      </c>
      <c r="D61" t="s">
        <v>52</v>
      </c>
      <c r="E61" t="b">
        <v>1</v>
      </c>
      <c r="F61" t="s">
        <v>53</v>
      </c>
      <c r="G61">
        <v>7.4999999999999997E-2</v>
      </c>
      <c r="H61">
        <v>0.5</v>
      </c>
      <c r="I61">
        <v>1E-4</v>
      </c>
      <c r="J61" t="b">
        <v>1</v>
      </c>
      <c r="K61">
        <v>4</v>
      </c>
      <c r="L61">
        <v>1500</v>
      </c>
      <c r="M61">
        <v>0.1</v>
      </c>
      <c r="N61">
        <v>0.154</v>
      </c>
      <c r="O61" t="s">
        <v>75</v>
      </c>
      <c r="P61" t="s">
        <v>76</v>
      </c>
      <c r="Q61" s="1">
        <v>-1E-10</v>
      </c>
      <c r="R61" s="1">
        <v>3.5857868302458098E-12</v>
      </c>
      <c r="S61" s="1">
        <v>1.8251650979942599E-17</v>
      </c>
      <c r="T61" s="1">
        <v>-1.8619018614406699E-16</v>
      </c>
      <c r="U61">
        <v>4.0058557454973602</v>
      </c>
      <c r="V61">
        <v>0</v>
      </c>
      <c r="W61">
        <v>6.8474229722329194E-2</v>
      </c>
      <c r="X61">
        <v>2</v>
      </c>
      <c r="Y61">
        <v>4.0005289972452696E-3</v>
      </c>
      <c r="Z61">
        <v>2.5000000000000001E-4</v>
      </c>
      <c r="AA61">
        <v>4.79330814887979E-3</v>
      </c>
    </row>
    <row r="62" spans="1:27" x14ac:dyDescent="0.2">
      <c r="A62" t="b">
        <v>0</v>
      </c>
      <c r="B62">
        <v>1000</v>
      </c>
      <c r="C62">
        <v>9.7355066569367196E-2</v>
      </c>
      <c r="D62" t="s">
        <v>52</v>
      </c>
      <c r="E62" t="b">
        <v>1</v>
      </c>
      <c r="F62" t="s">
        <v>53</v>
      </c>
      <c r="G62">
        <v>7.4999999999999997E-2</v>
      </c>
      <c r="H62">
        <v>0.5</v>
      </c>
      <c r="I62">
        <v>1E-4</v>
      </c>
      <c r="J62" t="b">
        <v>1</v>
      </c>
      <c r="K62">
        <v>4</v>
      </c>
      <c r="L62">
        <v>1500</v>
      </c>
      <c r="M62">
        <v>0.1</v>
      </c>
      <c r="N62">
        <v>0.154</v>
      </c>
      <c r="O62" t="s">
        <v>75</v>
      </c>
      <c r="P62" t="s">
        <v>77</v>
      </c>
      <c r="Q62">
        <v>-1.71331654284455E-4</v>
      </c>
      <c r="R62" s="1">
        <v>1.43315727611011E-6</v>
      </c>
      <c r="S62">
        <v>5.3509992733584096E-4</v>
      </c>
      <c r="T62">
        <v>-2.9802316859475499E-3</v>
      </c>
      <c r="U62">
        <v>4.0052976911480904</v>
      </c>
      <c r="V62" s="1">
        <v>9.9999992382200601E-15</v>
      </c>
      <c r="W62">
        <v>1.02473919972765E-3</v>
      </c>
      <c r="X62">
        <v>3.7747434535632198</v>
      </c>
      <c r="Y62">
        <v>3.1880966432063597E-2</v>
      </c>
      <c r="Z62">
        <v>0.598568999345373</v>
      </c>
      <c r="AA62">
        <v>0.114117087051797</v>
      </c>
    </row>
    <row r="63" spans="1:27" x14ac:dyDescent="0.2">
      <c r="A63" t="b">
        <v>0</v>
      </c>
      <c r="B63">
        <v>1000</v>
      </c>
      <c r="C63">
        <v>9.7355066569367196E-2</v>
      </c>
      <c r="D63" t="s">
        <v>52</v>
      </c>
      <c r="E63" t="b">
        <v>1</v>
      </c>
      <c r="F63" t="s">
        <v>53</v>
      </c>
      <c r="G63">
        <v>7.4999999999999997E-2</v>
      </c>
      <c r="H63">
        <v>0.5</v>
      </c>
      <c r="I63">
        <v>1E-4</v>
      </c>
      <c r="J63" t="b">
        <v>1</v>
      </c>
      <c r="K63">
        <v>4</v>
      </c>
      <c r="L63">
        <v>1500</v>
      </c>
      <c r="M63">
        <v>0.1</v>
      </c>
      <c r="N63">
        <v>0.154</v>
      </c>
      <c r="O63" t="s">
        <v>76</v>
      </c>
      <c r="P63" t="s">
        <v>77</v>
      </c>
      <c r="Q63">
        <v>-1.7133368921768501E-4</v>
      </c>
      <c r="R63" s="1">
        <v>1.4067184737077699E-6</v>
      </c>
      <c r="S63">
        <v>5.35099927335844E-4</v>
      </c>
      <c r="T63">
        <v>-2.98023168594767E-3</v>
      </c>
      <c r="U63">
        <v>4.0052976911512301</v>
      </c>
      <c r="V63" s="1">
        <v>9.9999992296798094E-15</v>
      </c>
      <c r="W63">
        <v>1.00633608569206E-3</v>
      </c>
      <c r="X63">
        <v>3.7748391723195902</v>
      </c>
      <c r="Y63">
        <v>3.1287649538501397E-2</v>
      </c>
      <c r="Z63">
        <v>0.59838698567083104</v>
      </c>
      <c r="AA63">
        <v>0.112025691364379</v>
      </c>
    </row>
    <row r="64" spans="1:27" x14ac:dyDescent="0.2">
      <c r="A64" t="b">
        <v>0</v>
      </c>
      <c r="B64">
        <v>1000</v>
      </c>
      <c r="C64">
        <v>0.18237679682340799</v>
      </c>
      <c r="D64" t="s">
        <v>52</v>
      </c>
      <c r="E64" t="b">
        <v>1</v>
      </c>
      <c r="F64" t="s">
        <v>53</v>
      </c>
      <c r="G64">
        <v>7.4999999999999997E-2</v>
      </c>
      <c r="H64">
        <v>0.5</v>
      </c>
      <c r="I64">
        <v>1E-4</v>
      </c>
      <c r="J64" t="b">
        <v>1</v>
      </c>
      <c r="K64">
        <v>1</v>
      </c>
      <c r="L64">
        <v>1500</v>
      </c>
      <c r="M64">
        <v>0.2</v>
      </c>
      <c r="N64">
        <v>0.154</v>
      </c>
      <c r="O64" t="s">
        <v>78</v>
      </c>
      <c r="P64" t="s">
        <v>79</v>
      </c>
      <c r="Q64" s="1">
        <v>-1.34906593309263E-5</v>
      </c>
      <c r="R64" s="1">
        <v>1.9116321005760599E-6</v>
      </c>
      <c r="S64" s="1">
        <v>4.02739678979488E-5</v>
      </c>
      <c r="T64" s="1">
        <v>-3.4513759158580501E-5</v>
      </c>
      <c r="U64">
        <v>1.0966016853520699</v>
      </c>
      <c r="V64" s="1">
        <v>-3.5054934872188501E-16</v>
      </c>
      <c r="W64">
        <v>9.8036502311168797E-3</v>
      </c>
      <c r="X64">
        <v>1.9468024745058501</v>
      </c>
      <c r="Y64">
        <v>0.61659970664751296</v>
      </c>
      <c r="Z64">
        <v>1.48855010094134E-2</v>
      </c>
      <c r="AA64">
        <v>0.53076825342368705</v>
      </c>
    </row>
    <row r="65" spans="1:27" x14ac:dyDescent="0.2">
      <c r="A65" t="b">
        <v>0</v>
      </c>
      <c r="B65">
        <v>1000</v>
      </c>
      <c r="C65">
        <v>0.18237679682340799</v>
      </c>
      <c r="D65" t="s">
        <v>52</v>
      </c>
      <c r="E65" t="b">
        <v>1</v>
      </c>
      <c r="F65" t="s">
        <v>53</v>
      </c>
      <c r="G65">
        <v>7.4999999999999997E-2</v>
      </c>
      <c r="H65">
        <v>0.5</v>
      </c>
      <c r="I65">
        <v>1E-4</v>
      </c>
      <c r="J65" t="b">
        <v>1</v>
      </c>
      <c r="K65">
        <v>1</v>
      </c>
      <c r="L65">
        <v>1500</v>
      </c>
      <c r="M65">
        <v>0.2</v>
      </c>
      <c r="N65">
        <v>0.154</v>
      </c>
      <c r="O65" t="s">
        <v>78</v>
      </c>
      <c r="P65" t="s">
        <v>80</v>
      </c>
      <c r="Q65" s="1">
        <v>-1.3490659330928001E-5</v>
      </c>
      <c r="R65" s="1">
        <v>1.9400225768993701E-6</v>
      </c>
      <c r="S65" s="1">
        <v>4.0273967897959201E-5</v>
      </c>
      <c r="T65" s="1">
        <v>-3.4513759158781397E-5</v>
      </c>
      <c r="U65">
        <v>1.0966016853896601</v>
      </c>
      <c r="V65" s="1">
        <v>-3.50549349510021E-16</v>
      </c>
      <c r="W65">
        <v>9.8409854429768392E-3</v>
      </c>
      <c r="X65">
        <v>1.94680247450512</v>
      </c>
      <c r="Y65">
        <v>0.619343688511933</v>
      </c>
      <c r="Z65">
        <v>1.48855010094822E-2</v>
      </c>
      <c r="AA65">
        <v>0.538713045859186</v>
      </c>
    </row>
    <row r="66" spans="1:27" x14ac:dyDescent="0.2">
      <c r="A66" t="b">
        <v>0</v>
      </c>
      <c r="B66">
        <v>1000</v>
      </c>
      <c r="C66">
        <v>0.18237679682340799</v>
      </c>
      <c r="D66" t="s">
        <v>52</v>
      </c>
      <c r="E66" t="b">
        <v>1</v>
      </c>
      <c r="F66" t="s">
        <v>53</v>
      </c>
      <c r="G66">
        <v>7.4999999999999997E-2</v>
      </c>
      <c r="H66">
        <v>0.5</v>
      </c>
      <c r="I66">
        <v>1E-4</v>
      </c>
      <c r="J66" t="b">
        <v>1</v>
      </c>
      <c r="K66">
        <v>1</v>
      </c>
      <c r="L66">
        <v>1500</v>
      </c>
      <c r="M66">
        <v>0.2</v>
      </c>
      <c r="N66">
        <v>0.154</v>
      </c>
      <c r="O66" t="s">
        <v>78</v>
      </c>
      <c r="P66" t="s">
        <v>81</v>
      </c>
      <c r="Q66" s="1">
        <v>-2.6981011598573401E-5</v>
      </c>
      <c r="R66" s="1">
        <v>3.8312454182620898E-6</v>
      </c>
      <c r="S66" s="1">
        <v>8.0547000945339997E-5</v>
      </c>
      <c r="T66" s="1">
        <v>-6.9025099749481201E-5</v>
      </c>
      <c r="U66">
        <v>1.0965780809054899</v>
      </c>
      <c r="V66" s="1">
        <v>-3.5066186486007902E-16</v>
      </c>
      <c r="W66">
        <v>9.9107424624511505E-3</v>
      </c>
      <c r="X66">
        <v>1.9468004321946299</v>
      </c>
      <c r="Y66">
        <v>0.61682129075877101</v>
      </c>
      <c r="Z66">
        <v>1.4886046365549001E-2</v>
      </c>
      <c r="AA66">
        <v>0.53189757971574503</v>
      </c>
    </row>
    <row r="67" spans="1:27" x14ac:dyDescent="0.2">
      <c r="A67" t="b">
        <v>0</v>
      </c>
      <c r="B67">
        <v>1000</v>
      </c>
      <c r="C67">
        <v>0.18237679682340799</v>
      </c>
      <c r="D67" t="s">
        <v>52</v>
      </c>
      <c r="E67" t="b">
        <v>1</v>
      </c>
      <c r="F67" t="s">
        <v>53</v>
      </c>
      <c r="G67">
        <v>7.4999999999999997E-2</v>
      </c>
      <c r="H67">
        <v>0.5</v>
      </c>
      <c r="I67">
        <v>1E-4</v>
      </c>
      <c r="J67" t="b">
        <v>1</v>
      </c>
      <c r="K67">
        <v>1</v>
      </c>
      <c r="L67">
        <v>1500</v>
      </c>
      <c r="M67">
        <v>0.2</v>
      </c>
      <c r="N67">
        <v>0.154</v>
      </c>
      <c r="O67" t="s">
        <v>79</v>
      </c>
      <c r="P67" t="s">
        <v>81</v>
      </c>
      <c r="Q67" s="1">
        <v>-1.3490352275207101E-5</v>
      </c>
      <c r="R67" s="1">
        <v>1.90408832223711E-6</v>
      </c>
      <c r="S67" s="1">
        <v>4.0273033047389199E-5</v>
      </c>
      <c r="T67" s="1">
        <v>-3.4511340590722497E-5</v>
      </c>
      <c r="U67">
        <v>1.0965544758960699</v>
      </c>
      <c r="V67" s="1">
        <v>-3.5062657654241399E-16</v>
      </c>
      <c r="W67">
        <v>9.8154896125593801E-3</v>
      </c>
      <c r="X67">
        <v>1.94679856515375</v>
      </c>
      <c r="Y67">
        <v>0.61606826590471797</v>
      </c>
      <c r="Z67">
        <v>1.48866055796677E-2</v>
      </c>
      <c r="AA67">
        <v>0.52865857230223701</v>
      </c>
    </row>
    <row r="68" spans="1:27" x14ac:dyDescent="0.2">
      <c r="A68" t="b">
        <v>0</v>
      </c>
      <c r="B68">
        <v>1000</v>
      </c>
      <c r="C68">
        <v>0.18237679682340799</v>
      </c>
      <c r="D68" t="s">
        <v>52</v>
      </c>
      <c r="E68" t="b">
        <v>1</v>
      </c>
      <c r="F68" t="s">
        <v>53</v>
      </c>
      <c r="G68">
        <v>7.4999999999999997E-2</v>
      </c>
      <c r="H68">
        <v>0.5</v>
      </c>
      <c r="I68">
        <v>1E-4</v>
      </c>
      <c r="J68" t="b">
        <v>1</v>
      </c>
      <c r="K68">
        <v>1</v>
      </c>
      <c r="L68">
        <v>1500</v>
      </c>
      <c r="M68">
        <v>0.2</v>
      </c>
      <c r="N68">
        <v>0.154</v>
      </c>
      <c r="O68" t="s">
        <v>80</v>
      </c>
      <c r="P68" t="s">
        <v>81</v>
      </c>
      <c r="Q68" s="1">
        <v>-1.34903522752057E-5</v>
      </c>
      <c r="R68" s="1">
        <v>1.91203179242563E-6</v>
      </c>
      <c r="S68" s="1">
        <v>4.0273033047380098E-5</v>
      </c>
      <c r="T68" s="1">
        <v>-3.4511340590525498E-5</v>
      </c>
      <c r="U68">
        <v>1.0965544759336601</v>
      </c>
      <c r="V68" s="1">
        <v>-3.5062657666681099E-16</v>
      </c>
      <c r="W68">
        <v>9.7617700969708995E-3</v>
      </c>
      <c r="X68">
        <v>1.94679856515435</v>
      </c>
      <c r="Y68">
        <v>0.61672132626647103</v>
      </c>
      <c r="Z68">
        <v>1.48866055796213E-2</v>
      </c>
      <c r="AA68">
        <v>0.53089565514956205</v>
      </c>
    </row>
    <row r="69" spans="1:27" x14ac:dyDescent="0.2">
      <c r="A69" t="b">
        <v>0</v>
      </c>
      <c r="B69">
        <v>1000</v>
      </c>
      <c r="C69">
        <v>0.19471013313871999</v>
      </c>
      <c r="D69" t="s">
        <v>52</v>
      </c>
      <c r="E69" t="b">
        <v>1</v>
      </c>
      <c r="F69" t="s">
        <v>53</v>
      </c>
      <c r="G69">
        <v>7.4999999999999997E-2</v>
      </c>
      <c r="H69">
        <v>0.5</v>
      </c>
      <c r="I69">
        <v>1E-4</v>
      </c>
      <c r="J69" t="b">
        <v>1</v>
      </c>
      <c r="K69">
        <v>2</v>
      </c>
      <c r="L69">
        <v>1500</v>
      </c>
      <c r="M69">
        <v>0.2</v>
      </c>
      <c r="N69">
        <v>0.154</v>
      </c>
      <c r="O69" t="s">
        <v>82</v>
      </c>
      <c r="P69" t="s">
        <v>83</v>
      </c>
      <c r="Q69" s="1">
        <v>-4.6403109201300803E-5</v>
      </c>
      <c r="R69" s="1">
        <v>6.65265535368565E-8</v>
      </c>
      <c r="S69">
        <v>1.39583616322834E-4</v>
      </c>
      <c r="T69">
        <v>-2.6156175376139E-4</v>
      </c>
      <c r="U69">
        <v>2.0429159806631101</v>
      </c>
      <c r="V69" s="1">
        <v>1.25713131720267E-15</v>
      </c>
      <c r="W69">
        <v>1.84780050221244E-4</v>
      </c>
      <c r="X69">
        <v>2.3561137692045899</v>
      </c>
      <c r="Y69">
        <v>6.4239608684575102E-3</v>
      </c>
      <c r="Z69">
        <v>1.4980634790517E-2</v>
      </c>
      <c r="AA69">
        <v>7.9244465962044607E-3</v>
      </c>
    </row>
    <row r="70" spans="1:27" x14ac:dyDescent="0.2">
      <c r="A70" t="b">
        <v>0</v>
      </c>
      <c r="B70">
        <v>1000</v>
      </c>
      <c r="C70">
        <v>0.19471013313871999</v>
      </c>
      <c r="D70" t="s">
        <v>52</v>
      </c>
      <c r="E70" t="b">
        <v>1</v>
      </c>
      <c r="F70" t="s">
        <v>53</v>
      </c>
      <c r="G70">
        <v>7.4999999999999997E-2</v>
      </c>
      <c r="H70">
        <v>0.5</v>
      </c>
      <c r="I70">
        <v>1E-4</v>
      </c>
      <c r="J70" t="b">
        <v>1</v>
      </c>
      <c r="K70">
        <v>2</v>
      </c>
      <c r="L70">
        <v>1500</v>
      </c>
      <c r="M70">
        <v>0.2</v>
      </c>
      <c r="N70">
        <v>0.154</v>
      </c>
      <c r="O70" t="s">
        <v>82</v>
      </c>
      <c r="P70" t="s">
        <v>84</v>
      </c>
      <c r="Q70" s="1">
        <v>-4.64031091956169E-5</v>
      </c>
      <c r="R70" s="1">
        <v>6.7432727325965404E-8</v>
      </c>
      <c r="S70">
        <v>1.3958361632282899E-4</v>
      </c>
      <c r="T70">
        <v>-2.6156175376127399E-4</v>
      </c>
      <c r="U70">
        <v>2.04291598064288</v>
      </c>
      <c r="V70" s="1">
        <v>1.2556999344607001E-15</v>
      </c>
      <c r="W70">
        <v>1.8383197967571601E-4</v>
      </c>
      <c r="X70">
        <v>2.3561137684545801</v>
      </c>
      <c r="Y70">
        <v>6.4586574976689404E-3</v>
      </c>
      <c r="Z70">
        <v>1.4980635489485999E-2</v>
      </c>
      <c r="AA70">
        <v>8.0325697205086595E-3</v>
      </c>
    </row>
    <row r="71" spans="1:27" x14ac:dyDescent="0.2">
      <c r="A71" t="b">
        <v>0</v>
      </c>
      <c r="B71">
        <v>1000</v>
      </c>
      <c r="C71">
        <v>0.19471013313871999</v>
      </c>
      <c r="D71" t="s">
        <v>52</v>
      </c>
      <c r="E71" t="b">
        <v>1</v>
      </c>
      <c r="F71" t="s">
        <v>53</v>
      </c>
      <c r="G71">
        <v>7.4999999999999997E-2</v>
      </c>
      <c r="H71">
        <v>0.5</v>
      </c>
      <c r="I71">
        <v>1E-4</v>
      </c>
      <c r="J71" t="b">
        <v>1</v>
      </c>
      <c r="K71">
        <v>2</v>
      </c>
      <c r="L71">
        <v>1500</v>
      </c>
      <c r="M71">
        <v>0.2</v>
      </c>
      <c r="N71">
        <v>0.154</v>
      </c>
      <c r="O71" t="s">
        <v>82</v>
      </c>
      <c r="P71" t="s">
        <v>85</v>
      </c>
      <c r="Q71" s="1">
        <v>-9.2805081632593199E-5</v>
      </c>
      <c r="R71" s="1">
        <v>1.3366085406172299E-7</v>
      </c>
      <c r="S71">
        <v>2.7916369922212798E-4</v>
      </c>
      <c r="T71">
        <v>-5.23100177981019E-4</v>
      </c>
      <c r="U71">
        <v>2.0428199550478099</v>
      </c>
      <c r="V71" s="1">
        <v>1.25823542113285E-15</v>
      </c>
      <c r="W71">
        <v>1.80168201031297E-4</v>
      </c>
      <c r="X71">
        <v>2.3560783574605901</v>
      </c>
      <c r="Y71">
        <v>6.4505209925373999E-3</v>
      </c>
      <c r="Z71">
        <v>1.49779031229217E-2</v>
      </c>
      <c r="AA71">
        <v>7.9600168653125008E-3</v>
      </c>
    </row>
    <row r="72" spans="1:27" x14ac:dyDescent="0.2">
      <c r="A72" t="b">
        <v>0</v>
      </c>
      <c r="B72">
        <v>1000</v>
      </c>
      <c r="C72">
        <v>0.19471013313871999</v>
      </c>
      <c r="D72" t="s">
        <v>52</v>
      </c>
      <c r="E72" t="b">
        <v>1</v>
      </c>
      <c r="F72" t="s">
        <v>53</v>
      </c>
      <c r="G72">
        <v>7.4999999999999997E-2</v>
      </c>
      <c r="H72">
        <v>0.5</v>
      </c>
      <c r="I72">
        <v>1E-4</v>
      </c>
      <c r="J72" t="b">
        <v>1</v>
      </c>
      <c r="K72">
        <v>2</v>
      </c>
      <c r="L72">
        <v>1500</v>
      </c>
      <c r="M72">
        <v>0.2</v>
      </c>
      <c r="N72">
        <v>0.154</v>
      </c>
      <c r="O72" t="s">
        <v>83</v>
      </c>
      <c r="P72" t="s">
        <v>84</v>
      </c>
      <c r="Q72" s="1">
        <v>-1E-10</v>
      </c>
      <c r="R72" s="1">
        <v>3.5857869611536101E-12</v>
      </c>
      <c r="S72" s="1">
        <v>8.5067391829994002E-18</v>
      </c>
      <c r="T72" s="1">
        <v>-2.3487988436656299E-16</v>
      </c>
      <c r="U72">
        <v>2.04281995551935</v>
      </c>
      <c r="V72">
        <v>0</v>
      </c>
      <c r="W72">
        <v>6.8474232222146103E-2</v>
      </c>
      <c r="X72">
        <v>2</v>
      </c>
      <c r="Y72">
        <v>4.0005291432942403E-3</v>
      </c>
      <c r="Z72">
        <v>2.5000000000000001E-4</v>
      </c>
      <c r="AA72">
        <v>4.7933083238710702E-3</v>
      </c>
    </row>
    <row r="73" spans="1:27" x14ac:dyDescent="0.2">
      <c r="A73" t="b">
        <v>0</v>
      </c>
      <c r="B73">
        <v>1000</v>
      </c>
      <c r="C73">
        <v>0.19471013313871999</v>
      </c>
      <c r="D73" t="s">
        <v>52</v>
      </c>
      <c r="E73" t="b">
        <v>1</v>
      </c>
      <c r="F73" t="s">
        <v>53</v>
      </c>
      <c r="G73">
        <v>7.4999999999999997E-2</v>
      </c>
      <c r="H73">
        <v>0.5</v>
      </c>
      <c r="I73">
        <v>1E-4</v>
      </c>
      <c r="J73" t="b">
        <v>1</v>
      </c>
      <c r="K73">
        <v>2</v>
      </c>
      <c r="L73">
        <v>1500</v>
      </c>
      <c r="M73">
        <v>0.2</v>
      </c>
      <c r="N73">
        <v>0.154</v>
      </c>
      <c r="O73" t="s">
        <v>83</v>
      </c>
      <c r="P73" t="s">
        <v>85</v>
      </c>
      <c r="Q73" s="1">
        <v>-4.6401972552707102E-5</v>
      </c>
      <c r="R73" s="1">
        <v>6.5607897105236205E-8</v>
      </c>
      <c r="S73">
        <v>1.3958008289929199E-4</v>
      </c>
      <c r="T73">
        <v>-2.6153842421952102E-4</v>
      </c>
      <c r="U73">
        <v>2.0427239299242799</v>
      </c>
      <c r="V73" s="1">
        <v>1.25499324503052E-15</v>
      </c>
      <c r="W73">
        <v>1.81826740579803E-4</v>
      </c>
      <c r="X73">
        <v>2.3560429588577598</v>
      </c>
      <c r="Y73">
        <v>6.4049117567061796E-3</v>
      </c>
      <c r="Z73">
        <v>1.49751569365812E-2</v>
      </c>
      <c r="AA73">
        <v>7.8141219592008197E-3</v>
      </c>
    </row>
    <row r="74" spans="1:27" x14ac:dyDescent="0.2">
      <c r="A74" t="b">
        <v>0</v>
      </c>
      <c r="B74">
        <v>1000</v>
      </c>
      <c r="C74">
        <v>0.19471013313871999</v>
      </c>
      <c r="D74" t="s">
        <v>52</v>
      </c>
      <c r="E74" t="b">
        <v>1</v>
      </c>
      <c r="F74" t="s">
        <v>53</v>
      </c>
      <c r="G74">
        <v>7.4999999999999997E-2</v>
      </c>
      <c r="H74">
        <v>0.5</v>
      </c>
      <c r="I74">
        <v>1E-4</v>
      </c>
      <c r="J74" t="b">
        <v>1</v>
      </c>
      <c r="K74">
        <v>2</v>
      </c>
      <c r="L74">
        <v>1500</v>
      </c>
      <c r="M74">
        <v>0.2</v>
      </c>
      <c r="N74">
        <v>0.154</v>
      </c>
      <c r="O74" t="s">
        <v>84</v>
      </c>
      <c r="P74" t="s">
        <v>85</v>
      </c>
      <c r="Q74" s="1">
        <v>-4.6401972570796303E-5</v>
      </c>
      <c r="R74" s="1">
        <v>6.5984955523991403E-8</v>
      </c>
      <c r="S74">
        <v>1.39580082899294E-4</v>
      </c>
      <c r="T74">
        <v>-2.6153842421947901E-4</v>
      </c>
      <c r="U74">
        <v>2.0427239299040498</v>
      </c>
      <c r="V74" s="1">
        <v>1.2578566634014699E-15</v>
      </c>
      <c r="W74">
        <v>1.8363956731119499E-4</v>
      </c>
      <c r="X74">
        <v>2.3560429608601399</v>
      </c>
      <c r="Y74">
        <v>6.4108412624867004E-3</v>
      </c>
      <c r="Z74">
        <v>1.49751548557086E-2</v>
      </c>
      <c r="AA74">
        <v>7.8597089361388504E-3</v>
      </c>
    </row>
    <row r="75" spans="1:27" x14ac:dyDescent="0.2">
      <c r="A75" t="b">
        <v>0</v>
      </c>
      <c r="B75">
        <v>1000</v>
      </c>
      <c r="C75">
        <v>0.19471013313871999</v>
      </c>
      <c r="D75" t="s">
        <v>52</v>
      </c>
      <c r="E75" t="b">
        <v>1</v>
      </c>
      <c r="F75" t="s">
        <v>53</v>
      </c>
      <c r="G75">
        <v>7.4999999999999997E-2</v>
      </c>
      <c r="H75">
        <v>0.5</v>
      </c>
      <c r="I75">
        <v>1E-4</v>
      </c>
      <c r="J75" t="b">
        <v>1</v>
      </c>
      <c r="K75">
        <v>4</v>
      </c>
      <c r="L75">
        <v>1500</v>
      </c>
      <c r="M75">
        <v>0.2</v>
      </c>
      <c r="N75">
        <v>0.154</v>
      </c>
      <c r="O75" t="s">
        <v>86</v>
      </c>
      <c r="P75" t="s">
        <v>87</v>
      </c>
      <c r="Q75">
        <v>-1.6881833209396999E-4</v>
      </c>
      <c r="R75" s="1">
        <v>1.20780780977847E-6</v>
      </c>
      <c r="S75">
        <v>5.3813476915774705E-4</v>
      </c>
      <c r="T75">
        <v>-3.12293483411283E-3</v>
      </c>
      <c r="U75">
        <v>4.0134295065538197</v>
      </c>
      <c r="V75" s="1">
        <v>2.3260382246939099E-15</v>
      </c>
      <c r="W75">
        <v>6.3405019726786203E-4</v>
      </c>
      <c r="X75">
        <v>3.7194188869604901</v>
      </c>
      <c r="Y75">
        <v>2.99375550859735E-2</v>
      </c>
      <c r="Z75">
        <v>0.88398178802076</v>
      </c>
      <c r="AA75">
        <v>9.1132364597769702E-2</v>
      </c>
    </row>
    <row r="76" spans="1:27" x14ac:dyDescent="0.2">
      <c r="A76" t="b">
        <v>0</v>
      </c>
      <c r="B76">
        <v>1000</v>
      </c>
      <c r="C76">
        <v>0.19471013313871999</v>
      </c>
      <c r="D76" t="s">
        <v>52</v>
      </c>
      <c r="E76" t="b">
        <v>1</v>
      </c>
      <c r="F76" t="s">
        <v>53</v>
      </c>
      <c r="G76">
        <v>7.4999999999999997E-2</v>
      </c>
      <c r="H76">
        <v>0.5</v>
      </c>
      <c r="I76">
        <v>1E-4</v>
      </c>
      <c r="J76" t="b">
        <v>1</v>
      </c>
      <c r="K76">
        <v>4</v>
      </c>
      <c r="L76">
        <v>1500</v>
      </c>
      <c r="M76">
        <v>0.2</v>
      </c>
      <c r="N76">
        <v>0.154</v>
      </c>
      <c r="O76" t="s">
        <v>86</v>
      </c>
      <c r="P76" t="s">
        <v>88</v>
      </c>
      <c r="Q76">
        <v>-1.6881833115644899E-4</v>
      </c>
      <c r="R76" s="1">
        <v>1.2046747443300701E-6</v>
      </c>
      <c r="S76">
        <v>5.3813476915774401E-4</v>
      </c>
      <c r="T76">
        <v>-3.1229348341127402E-3</v>
      </c>
      <c r="U76">
        <v>4.0134295065491097</v>
      </c>
      <c r="V76" s="1">
        <v>2.3320870782378099E-15</v>
      </c>
      <c r="W76">
        <v>6.3910325107298805E-4</v>
      </c>
      <c r="X76">
        <v>3.7194188518322102</v>
      </c>
      <c r="Y76">
        <v>2.9701801257558801E-2</v>
      </c>
      <c r="Z76">
        <v>0.88398185586447497</v>
      </c>
      <c r="AA76">
        <v>9.0961097213852204E-2</v>
      </c>
    </row>
    <row r="77" spans="1:27" x14ac:dyDescent="0.2">
      <c r="A77" t="b">
        <v>0</v>
      </c>
      <c r="B77">
        <v>1000</v>
      </c>
      <c r="C77">
        <v>0.19471013313871999</v>
      </c>
      <c r="D77" t="s">
        <v>52</v>
      </c>
      <c r="E77" t="b">
        <v>1</v>
      </c>
      <c r="F77" t="s">
        <v>53</v>
      </c>
      <c r="G77">
        <v>7.4999999999999997E-2</v>
      </c>
      <c r="H77">
        <v>0.5</v>
      </c>
      <c r="I77">
        <v>1E-4</v>
      </c>
      <c r="J77" t="b">
        <v>1</v>
      </c>
      <c r="K77">
        <v>4</v>
      </c>
      <c r="L77">
        <v>1500</v>
      </c>
      <c r="M77">
        <v>0.2</v>
      </c>
      <c r="N77">
        <v>0.154</v>
      </c>
      <c r="O77" t="s">
        <v>86</v>
      </c>
      <c r="P77" t="s">
        <v>89</v>
      </c>
      <c r="Q77">
        <v>-3.4917786074231103E-4</v>
      </c>
      <c r="R77" s="1">
        <v>1.00391977581638E-7</v>
      </c>
      <c r="S77">
        <v>1.07625481804545E-3</v>
      </c>
      <c r="T77">
        <v>-6.2454203628010399E-3</v>
      </c>
      <c r="U77">
        <v>4.0128458298051504</v>
      </c>
      <c r="V77" s="1">
        <v>9.9999988837743793E-15</v>
      </c>
      <c r="W77" s="1">
        <v>4.2832348301586899E-5</v>
      </c>
      <c r="X77">
        <v>3.9505659554279098</v>
      </c>
      <c r="Y77">
        <v>1.02176660017759E-3</v>
      </c>
      <c r="Z77">
        <v>0.43970402686409099</v>
      </c>
      <c r="AA77">
        <v>4.3874902115578398E-3</v>
      </c>
    </row>
    <row r="78" spans="1:27" x14ac:dyDescent="0.2">
      <c r="A78" t="b">
        <v>0</v>
      </c>
      <c r="B78">
        <v>1000</v>
      </c>
      <c r="C78">
        <v>0.19471013313871999</v>
      </c>
      <c r="D78" t="s">
        <v>52</v>
      </c>
      <c r="E78" t="b">
        <v>1</v>
      </c>
      <c r="F78" t="s">
        <v>53</v>
      </c>
      <c r="G78">
        <v>7.4999999999999997E-2</v>
      </c>
      <c r="H78">
        <v>0.5</v>
      </c>
      <c r="I78">
        <v>1E-4</v>
      </c>
      <c r="J78" t="b">
        <v>1</v>
      </c>
      <c r="K78">
        <v>4</v>
      </c>
      <c r="L78">
        <v>1500</v>
      </c>
      <c r="M78">
        <v>0.2</v>
      </c>
      <c r="N78">
        <v>0.154</v>
      </c>
      <c r="O78" t="s">
        <v>87</v>
      </c>
      <c r="P78" t="s">
        <v>88</v>
      </c>
      <c r="Q78" s="1">
        <v>-1E-10</v>
      </c>
      <c r="R78" s="1">
        <v>3.5857869615106101E-12</v>
      </c>
      <c r="S78" s="1">
        <v>5.5256900178929801E-18</v>
      </c>
      <c r="T78" s="1">
        <v>-8.0200017611144904E-17</v>
      </c>
      <c r="U78">
        <v>4.0128459156093497</v>
      </c>
      <c r="V78">
        <v>0</v>
      </c>
      <c r="W78">
        <v>6.84742322289634E-2</v>
      </c>
      <c r="X78">
        <v>2</v>
      </c>
      <c r="Y78">
        <v>4.0005291436925302E-3</v>
      </c>
      <c r="Z78">
        <v>2.5000000000000001E-4</v>
      </c>
      <c r="AA78">
        <v>4.79330832434829E-3</v>
      </c>
    </row>
    <row r="79" spans="1:27" x14ac:dyDescent="0.2">
      <c r="A79" t="b">
        <v>0</v>
      </c>
      <c r="B79">
        <v>1000</v>
      </c>
      <c r="C79">
        <v>0.19471013313871999</v>
      </c>
      <c r="D79" t="s">
        <v>52</v>
      </c>
      <c r="E79" t="b">
        <v>1</v>
      </c>
      <c r="F79" t="s">
        <v>53</v>
      </c>
      <c r="G79">
        <v>7.4999999999999997E-2</v>
      </c>
      <c r="H79">
        <v>0.5</v>
      </c>
      <c r="I79">
        <v>1E-4</v>
      </c>
      <c r="J79" t="b">
        <v>1</v>
      </c>
      <c r="K79">
        <v>4</v>
      </c>
      <c r="L79">
        <v>1500</v>
      </c>
      <c r="M79">
        <v>0.2</v>
      </c>
      <c r="N79">
        <v>0.154</v>
      </c>
      <c r="O79" t="s">
        <v>87</v>
      </c>
      <c r="P79" t="s">
        <v>89</v>
      </c>
      <c r="Q79">
        <v>-1.68814075653912E-4</v>
      </c>
      <c r="R79" s="1">
        <v>1.2137652818308699E-6</v>
      </c>
      <c r="S79">
        <v>5.3812004888770595E-4</v>
      </c>
      <c r="T79">
        <v>-3.1224855286880499E-3</v>
      </c>
      <c r="U79">
        <v>4.0122622388654001</v>
      </c>
      <c r="V79" s="1">
        <v>2.3235439274994501E-15</v>
      </c>
      <c r="W79">
        <v>6.4156246529510597E-4</v>
      </c>
      <c r="X79">
        <v>3.7192106721089302</v>
      </c>
      <c r="Y79">
        <v>2.99919146944744E-2</v>
      </c>
      <c r="Z79">
        <v>0.88384619333851999</v>
      </c>
      <c r="AA79">
        <v>9.1616390444129198E-2</v>
      </c>
    </row>
    <row r="80" spans="1:27" x14ac:dyDescent="0.2">
      <c r="A80" t="b">
        <v>0</v>
      </c>
      <c r="B80">
        <v>1000</v>
      </c>
      <c r="C80">
        <v>0.19471013313871999</v>
      </c>
      <c r="D80" t="s">
        <v>52</v>
      </c>
      <c r="E80" t="b">
        <v>1</v>
      </c>
      <c r="F80" t="s">
        <v>53</v>
      </c>
      <c r="G80">
        <v>7.4999999999999997E-2</v>
      </c>
      <c r="H80">
        <v>0.5</v>
      </c>
      <c r="I80">
        <v>1E-4</v>
      </c>
      <c r="J80" t="b">
        <v>1</v>
      </c>
      <c r="K80">
        <v>4</v>
      </c>
      <c r="L80">
        <v>1500</v>
      </c>
      <c r="M80">
        <v>0.2</v>
      </c>
      <c r="N80">
        <v>0.154</v>
      </c>
      <c r="O80" t="s">
        <v>88</v>
      </c>
      <c r="P80" t="s">
        <v>89</v>
      </c>
      <c r="Q80">
        <v>-1.6881407514615499E-4</v>
      </c>
      <c r="R80" s="1">
        <v>1.2176949832571699E-6</v>
      </c>
      <c r="S80">
        <v>5.3812004888770704E-4</v>
      </c>
      <c r="T80">
        <v>-3.12248552868816E-3</v>
      </c>
      <c r="U80">
        <v>4.0122622388606803</v>
      </c>
      <c r="V80" s="1">
        <v>2.33707692859825E-15</v>
      </c>
      <c r="W80">
        <v>6.4524805797898095E-4</v>
      </c>
      <c r="X80">
        <v>3.71921065227873</v>
      </c>
      <c r="Y80">
        <v>3.0056430957113599E-2</v>
      </c>
      <c r="Z80">
        <v>0.88384623003029295</v>
      </c>
      <c r="AA80">
        <v>9.1924995954771702E-2</v>
      </c>
    </row>
    <row r="81" spans="1:27" x14ac:dyDescent="0.2">
      <c r="A81" t="b">
        <v>0</v>
      </c>
      <c r="B81">
        <v>1000</v>
      </c>
      <c r="C81">
        <v>0.251645321963609</v>
      </c>
      <c r="D81" t="s">
        <v>52</v>
      </c>
      <c r="E81" t="b">
        <v>1</v>
      </c>
      <c r="F81" t="s">
        <v>53</v>
      </c>
      <c r="G81">
        <v>7.4999999999999997E-2</v>
      </c>
      <c r="H81">
        <v>0.5</v>
      </c>
      <c r="I81">
        <v>1E-4</v>
      </c>
      <c r="J81" t="b">
        <v>1</v>
      </c>
      <c r="K81">
        <v>1</v>
      </c>
      <c r="L81">
        <v>1500</v>
      </c>
      <c r="M81">
        <v>0.3</v>
      </c>
      <c r="N81">
        <v>0.154</v>
      </c>
      <c r="O81" t="s">
        <v>90</v>
      </c>
      <c r="P81" t="s">
        <v>91</v>
      </c>
      <c r="Q81" s="1">
        <v>-1.48500210751183E-5</v>
      </c>
      <c r="R81" s="1">
        <v>1.04284105465698E-6</v>
      </c>
      <c r="S81" s="1">
        <v>4.4439832052981899E-5</v>
      </c>
      <c r="T81" s="1">
        <v>-4.8116055002939301E-5</v>
      </c>
      <c r="U81">
        <v>1.15099269183946</v>
      </c>
      <c r="V81" s="1">
        <v>-1.9542116146860301E-16</v>
      </c>
      <c r="W81">
        <v>5.14961828372466E-3</v>
      </c>
      <c r="X81">
        <v>1.97032926081257</v>
      </c>
      <c r="Y81">
        <v>0.30911914157359299</v>
      </c>
      <c r="Z81">
        <v>8.24362676681052E-3</v>
      </c>
      <c r="AA81">
        <v>0.27110003611616501</v>
      </c>
    </row>
    <row r="82" spans="1:27" x14ac:dyDescent="0.2">
      <c r="A82" t="b">
        <v>0</v>
      </c>
      <c r="B82">
        <v>1000</v>
      </c>
      <c r="C82">
        <v>0.251645321963609</v>
      </c>
      <c r="D82" t="s">
        <v>52</v>
      </c>
      <c r="E82" t="b">
        <v>1</v>
      </c>
      <c r="F82" t="s">
        <v>53</v>
      </c>
      <c r="G82">
        <v>7.4999999999999997E-2</v>
      </c>
      <c r="H82">
        <v>0.5</v>
      </c>
      <c r="I82">
        <v>1E-4</v>
      </c>
      <c r="J82" t="b">
        <v>1</v>
      </c>
      <c r="K82">
        <v>1</v>
      </c>
      <c r="L82">
        <v>1500</v>
      </c>
      <c r="M82">
        <v>0.3</v>
      </c>
      <c r="N82">
        <v>0.154</v>
      </c>
      <c r="O82" t="s">
        <v>90</v>
      </c>
      <c r="P82" t="s">
        <v>92</v>
      </c>
      <c r="Q82" s="1">
        <v>-1.4850021075106101E-5</v>
      </c>
      <c r="R82" s="1">
        <v>1.0413320023021899E-6</v>
      </c>
      <c r="S82" s="1">
        <v>4.4439832052984698E-5</v>
      </c>
      <c r="T82" s="1">
        <v>-4.8116055002777199E-5</v>
      </c>
      <c r="U82">
        <v>1.15099269178354</v>
      </c>
      <c r="V82" s="1">
        <v>-1.95436717081436E-16</v>
      </c>
      <c r="W82">
        <v>5.0627472803464703E-3</v>
      </c>
      <c r="X82">
        <v>1.9703292608251799</v>
      </c>
      <c r="Y82">
        <v>0.30913676301061699</v>
      </c>
      <c r="Z82">
        <v>8.2436267805475697E-3</v>
      </c>
      <c r="AA82">
        <v>0.27070125948971302</v>
      </c>
    </row>
    <row r="83" spans="1:27" x14ac:dyDescent="0.2">
      <c r="A83" t="b">
        <v>0</v>
      </c>
      <c r="B83">
        <v>1000</v>
      </c>
      <c r="C83">
        <v>0.251645321963609</v>
      </c>
      <c r="D83" t="s">
        <v>52</v>
      </c>
      <c r="E83" t="b">
        <v>1</v>
      </c>
      <c r="F83" t="s">
        <v>53</v>
      </c>
      <c r="G83">
        <v>7.4999999999999997E-2</v>
      </c>
      <c r="H83">
        <v>0.5</v>
      </c>
      <c r="I83">
        <v>1E-4</v>
      </c>
      <c r="J83" t="b">
        <v>1</v>
      </c>
      <c r="K83">
        <v>1</v>
      </c>
      <c r="L83">
        <v>1500</v>
      </c>
      <c r="M83">
        <v>0.3</v>
      </c>
      <c r="N83">
        <v>0.154</v>
      </c>
      <c r="O83" t="s">
        <v>90</v>
      </c>
      <c r="P83" t="s">
        <v>93</v>
      </c>
      <c r="Q83" s="1">
        <v>-2.9699565136600499E-5</v>
      </c>
      <c r="R83" s="1">
        <v>2.09378424829656E-6</v>
      </c>
      <c r="S83" s="1">
        <v>8.8878205295258805E-5</v>
      </c>
      <c r="T83" s="1">
        <v>-9.6227468278129799E-5</v>
      </c>
      <c r="U83">
        <v>1.1509613401938501</v>
      </c>
      <c r="V83" s="1">
        <v>-1.9549080209171799E-16</v>
      </c>
      <c r="W83">
        <v>5.2808715000691097E-3</v>
      </c>
      <c r="X83">
        <v>1.9703253720734499</v>
      </c>
      <c r="Y83">
        <v>0.30929150457502802</v>
      </c>
      <c r="Z83">
        <v>8.2447073951002793E-3</v>
      </c>
      <c r="AA83">
        <v>0.27216063943070001</v>
      </c>
    </row>
    <row r="84" spans="1:27" x14ac:dyDescent="0.2">
      <c r="A84" t="b">
        <v>0</v>
      </c>
      <c r="B84">
        <v>1000</v>
      </c>
      <c r="C84">
        <v>0.251645321963609</v>
      </c>
      <c r="D84" t="s">
        <v>52</v>
      </c>
      <c r="E84" t="b">
        <v>1</v>
      </c>
      <c r="F84" t="s">
        <v>53</v>
      </c>
      <c r="G84">
        <v>7.4999999999999997E-2</v>
      </c>
      <c r="H84">
        <v>0.5</v>
      </c>
      <c r="I84">
        <v>1E-4</v>
      </c>
      <c r="J84" t="b">
        <v>1</v>
      </c>
      <c r="K84">
        <v>1</v>
      </c>
      <c r="L84">
        <v>1500</v>
      </c>
      <c r="M84">
        <v>0.3</v>
      </c>
      <c r="N84">
        <v>0.154</v>
      </c>
      <c r="O84" t="s">
        <v>91</v>
      </c>
      <c r="P84" t="s">
        <v>93</v>
      </c>
      <c r="Q84" s="1">
        <v>-1.48495440714431E-5</v>
      </c>
      <c r="R84" s="1">
        <v>1.03208024695078E-6</v>
      </c>
      <c r="S84" s="1">
        <v>4.4438373242279298E-5</v>
      </c>
      <c r="T84" s="1">
        <v>-4.8111413275417402E-5</v>
      </c>
      <c r="U84">
        <v>1.1509299872458101</v>
      </c>
      <c r="V84" s="1">
        <v>-1.95276756148138E-16</v>
      </c>
      <c r="W84">
        <v>5.05435477413125E-3</v>
      </c>
      <c r="X84">
        <v>1.9703215842778099</v>
      </c>
      <c r="Y84">
        <v>0.30851798018619703</v>
      </c>
      <c r="Z84">
        <v>8.24579394937997E-3</v>
      </c>
      <c r="AA84">
        <v>0.268295035177743</v>
      </c>
    </row>
    <row r="85" spans="1:27" x14ac:dyDescent="0.2">
      <c r="A85" t="b">
        <v>0</v>
      </c>
      <c r="B85">
        <v>1000</v>
      </c>
      <c r="C85">
        <v>0.251645321963609</v>
      </c>
      <c r="D85" t="s">
        <v>52</v>
      </c>
      <c r="E85" t="b">
        <v>1</v>
      </c>
      <c r="F85" t="s">
        <v>53</v>
      </c>
      <c r="G85">
        <v>7.4999999999999997E-2</v>
      </c>
      <c r="H85">
        <v>0.5</v>
      </c>
      <c r="I85">
        <v>1E-4</v>
      </c>
      <c r="J85" t="b">
        <v>1</v>
      </c>
      <c r="K85">
        <v>1</v>
      </c>
      <c r="L85">
        <v>1500</v>
      </c>
      <c r="M85">
        <v>0.3</v>
      </c>
      <c r="N85">
        <v>0.154</v>
      </c>
      <c r="O85" t="s">
        <v>92</v>
      </c>
      <c r="P85" t="s">
        <v>93</v>
      </c>
      <c r="Q85" s="1">
        <v>-1.48495440714424E-5</v>
      </c>
      <c r="R85" s="1">
        <v>1.03880653913587E-6</v>
      </c>
      <c r="S85" s="1">
        <v>4.4438373242275998E-5</v>
      </c>
      <c r="T85" s="1">
        <v>-4.81114132754243E-5</v>
      </c>
      <c r="U85">
        <v>1.1509299871898899</v>
      </c>
      <c r="V85" s="1">
        <v>-1.9527675640460999E-16</v>
      </c>
      <c r="W85">
        <v>5.14603290006995E-3</v>
      </c>
      <c r="X85">
        <v>1.97032158427825</v>
      </c>
      <c r="Y85">
        <v>0.30887044648479101</v>
      </c>
      <c r="Z85">
        <v>8.2457939492990504E-3</v>
      </c>
      <c r="AA85">
        <v>0.27005304316308998</v>
      </c>
    </row>
    <row r="86" spans="1:27" x14ac:dyDescent="0.2">
      <c r="A86" t="b">
        <v>0</v>
      </c>
      <c r="B86">
        <v>1000</v>
      </c>
      <c r="C86">
        <v>0.29206519970808298</v>
      </c>
      <c r="D86" t="s">
        <v>52</v>
      </c>
      <c r="E86" t="b">
        <v>1</v>
      </c>
      <c r="F86" t="s">
        <v>53</v>
      </c>
      <c r="G86">
        <v>7.4999999999999997E-2</v>
      </c>
      <c r="H86">
        <v>0.5</v>
      </c>
      <c r="I86">
        <v>1E-4</v>
      </c>
      <c r="J86" t="b">
        <v>1</v>
      </c>
      <c r="K86">
        <v>2</v>
      </c>
      <c r="L86">
        <v>1500</v>
      </c>
      <c r="M86">
        <v>0.3</v>
      </c>
      <c r="N86">
        <v>0.154</v>
      </c>
      <c r="O86" t="s">
        <v>94</v>
      </c>
      <c r="P86" t="s">
        <v>95</v>
      </c>
      <c r="Q86" s="1">
        <v>-4.71766127369029E-5</v>
      </c>
      <c r="R86" s="1">
        <v>1.1527199183284699E-7</v>
      </c>
      <c r="S86">
        <v>1.4279960365960501E-4</v>
      </c>
      <c r="T86">
        <v>-3.0416156446016801E-4</v>
      </c>
      <c r="U86">
        <v>2.0640103796165898</v>
      </c>
      <c r="V86" s="1">
        <v>3.7366148978763499E-15</v>
      </c>
      <c r="W86">
        <v>3.6037962586099202E-4</v>
      </c>
      <c r="X86">
        <v>2.4763884348131602</v>
      </c>
      <c r="Y86">
        <v>9.33674658592374E-3</v>
      </c>
      <c r="Z86">
        <v>5.5562229032369799E-2</v>
      </c>
      <c r="AA86">
        <v>1.47838110948336E-2</v>
      </c>
    </row>
    <row r="87" spans="1:27" x14ac:dyDescent="0.2">
      <c r="A87" t="b">
        <v>0</v>
      </c>
      <c r="B87">
        <v>1000</v>
      </c>
      <c r="C87">
        <v>0.29206519970808298</v>
      </c>
      <c r="D87" t="s">
        <v>52</v>
      </c>
      <c r="E87" t="b">
        <v>1</v>
      </c>
      <c r="F87" t="s">
        <v>53</v>
      </c>
      <c r="G87">
        <v>7.4999999999999997E-2</v>
      </c>
      <c r="H87">
        <v>0.5</v>
      </c>
      <c r="I87">
        <v>1E-4</v>
      </c>
      <c r="J87" t="b">
        <v>1</v>
      </c>
      <c r="K87">
        <v>2</v>
      </c>
      <c r="L87">
        <v>1500</v>
      </c>
      <c r="M87">
        <v>0.3</v>
      </c>
      <c r="N87">
        <v>0.154</v>
      </c>
      <c r="O87" t="s">
        <v>94</v>
      </c>
      <c r="P87" t="s">
        <v>96</v>
      </c>
      <c r="Q87" s="1">
        <v>-4.7176611875353597E-5</v>
      </c>
      <c r="R87" s="1">
        <v>1.11084335878747E-7</v>
      </c>
      <c r="S87">
        <v>1.4279960365960899E-4</v>
      </c>
      <c r="T87">
        <v>-3.0416156446036701E-4</v>
      </c>
      <c r="U87">
        <v>2.06401037957143</v>
      </c>
      <c r="V87" s="1">
        <v>3.6974205116063598E-15</v>
      </c>
      <c r="W87">
        <v>3.5243522693399802E-4</v>
      </c>
      <c r="X87">
        <v>2.4763883312230401</v>
      </c>
      <c r="Y87">
        <v>9.1852185814424499E-3</v>
      </c>
      <c r="Z87">
        <v>5.5562340905292301E-2</v>
      </c>
      <c r="AA87">
        <v>1.42431868247875E-2</v>
      </c>
    </row>
    <row r="88" spans="1:27" x14ac:dyDescent="0.2">
      <c r="A88" t="b">
        <v>0</v>
      </c>
      <c r="B88">
        <v>1000</v>
      </c>
      <c r="C88">
        <v>0.29206519970808298</v>
      </c>
      <c r="D88" t="s">
        <v>52</v>
      </c>
      <c r="E88" t="b">
        <v>1</v>
      </c>
      <c r="F88" t="s">
        <v>53</v>
      </c>
      <c r="G88">
        <v>7.4999999999999997E-2</v>
      </c>
      <c r="H88">
        <v>0.5</v>
      </c>
      <c r="I88">
        <v>1E-4</v>
      </c>
      <c r="J88" t="b">
        <v>1</v>
      </c>
      <c r="K88">
        <v>2</v>
      </c>
      <c r="L88">
        <v>1500</v>
      </c>
      <c r="M88">
        <v>0.3</v>
      </c>
      <c r="N88">
        <v>0.154</v>
      </c>
      <c r="O88" t="s">
        <v>94</v>
      </c>
      <c r="P88" t="s">
        <v>97</v>
      </c>
      <c r="Q88" s="1">
        <v>-9.4351504646603306E-5</v>
      </c>
      <c r="R88" s="1">
        <v>2.2853105832549001E-7</v>
      </c>
      <c r="S88">
        <v>2.8559386169031399E-4</v>
      </c>
      <c r="T88">
        <v>-6.08285217338931E-4</v>
      </c>
      <c r="U88">
        <v>2.0638998582618</v>
      </c>
      <c r="V88" s="1">
        <v>3.8478106043769099E-15</v>
      </c>
      <c r="W88">
        <v>3.5600529094198199E-4</v>
      </c>
      <c r="X88">
        <v>2.4763368959682999</v>
      </c>
      <c r="Y88">
        <v>9.3161386590776309E-3</v>
      </c>
      <c r="Z88">
        <v>5.5557017661235199E-2</v>
      </c>
      <c r="AA88">
        <v>1.46522233723601E-2</v>
      </c>
    </row>
    <row r="89" spans="1:27" x14ac:dyDescent="0.2">
      <c r="A89" t="b">
        <v>0</v>
      </c>
      <c r="B89">
        <v>1000</v>
      </c>
      <c r="C89">
        <v>0.29206519970808298</v>
      </c>
      <c r="D89" t="s">
        <v>52</v>
      </c>
      <c r="E89" t="b">
        <v>1</v>
      </c>
      <c r="F89" t="s">
        <v>53</v>
      </c>
      <c r="G89">
        <v>7.4999999999999997E-2</v>
      </c>
      <c r="H89">
        <v>0.5</v>
      </c>
      <c r="I89">
        <v>1E-4</v>
      </c>
      <c r="J89" t="b">
        <v>1</v>
      </c>
      <c r="K89">
        <v>2</v>
      </c>
      <c r="L89">
        <v>1500</v>
      </c>
      <c r="M89">
        <v>0.3</v>
      </c>
      <c r="N89">
        <v>0.154</v>
      </c>
      <c r="O89" t="s">
        <v>95</v>
      </c>
      <c r="P89" t="s">
        <v>96</v>
      </c>
      <c r="Q89" s="1">
        <v>-1E-10</v>
      </c>
      <c r="R89" s="1">
        <v>3.5857868128769702E-12</v>
      </c>
      <c r="S89" s="1">
        <v>1.8836662921200899E-17</v>
      </c>
      <c r="T89" s="1">
        <v>-1.4263432285954399E-16</v>
      </c>
      <c r="U89">
        <v>2.0638998563168398</v>
      </c>
      <c r="V89">
        <v>0</v>
      </c>
      <c r="W89">
        <v>6.8474229390653604E-2</v>
      </c>
      <c r="X89">
        <v>2</v>
      </c>
      <c r="Y89">
        <v>4.0005289778675098E-3</v>
      </c>
      <c r="Z89">
        <v>2.5000000000000001E-4</v>
      </c>
      <c r="AA89">
        <v>4.79330812566197E-3</v>
      </c>
    </row>
    <row r="90" spans="1:27" x14ac:dyDescent="0.2">
      <c r="A90" t="b">
        <v>0</v>
      </c>
      <c r="B90">
        <v>1000</v>
      </c>
      <c r="C90">
        <v>0.29206519970808298</v>
      </c>
      <c r="D90" t="s">
        <v>52</v>
      </c>
      <c r="E90" t="b">
        <v>1</v>
      </c>
      <c r="F90" t="s">
        <v>53</v>
      </c>
      <c r="G90">
        <v>7.4999999999999997E-2</v>
      </c>
      <c r="H90">
        <v>0.5</v>
      </c>
      <c r="I90">
        <v>1E-4</v>
      </c>
      <c r="J90" t="b">
        <v>1</v>
      </c>
      <c r="K90">
        <v>2</v>
      </c>
      <c r="L90">
        <v>1500</v>
      </c>
      <c r="M90">
        <v>0.3</v>
      </c>
      <c r="N90">
        <v>0.154</v>
      </c>
      <c r="O90" t="s">
        <v>95</v>
      </c>
      <c r="P90" t="s">
        <v>97</v>
      </c>
      <c r="Q90" s="1">
        <v>-4.71748927199435E-5</v>
      </c>
      <c r="R90" s="1">
        <v>1.1350672103318901E-7</v>
      </c>
      <c r="S90">
        <v>1.4279425803070801E-4</v>
      </c>
      <c r="T90">
        <v>-3.0412365287881102E-4</v>
      </c>
      <c r="U90">
        <v>2.0637893350072098</v>
      </c>
      <c r="V90" s="1">
        <v>3.75907743797891E-15</v>
      </c>
      <c r="W90">
        <v>3.5129618195617898E-4</v>
      </c>
      <c r="X90">
        <v>2.4762854498413698</v>
      </c>
      <c r="Y90">
        <v>9.3074722335632198E-3</v>
      </c>
      <c r="Z90">
        <v>5.5551703936401499E-2</v>
      </c>
      <c r="AA90">
        <v>1.45521941165902E-2</v>
      </c>
    </row>
    <row r="91" spans="1:27" x14ac:dyDescent="0.2">
      <c r="A91" t="b">
        <v>0</v>
      </c>
      <c r="B91">
        <v>1000</v>
      </c>
      <c r="C91">
        <v>0.29206519970808298</v>
      </c>
      <c r="D91" t="s">
        <v>52</v>
      </c>
      <c r="E91" t="b">
        <v>1</v>
      </c>
      <c r="F91" t="s">
        <v>53</v>
      </c>
      <c r="G91">
        <v>7.4999999999999997E-2</v>
      </c>
      <c r="H91">
        <v>0.5</v>
      </c>
      <c r="I91">
        <v>1E-4</v>
      </c>
      <c r="J91" t="b">
        <v>1</v>
      </c>
      <c r="K91">
        <v>2</v>
      </c>
      <c r="L91">
        <v>1500</v>
      </c>
      <c r="M91">
        <v>0.3</v>
      </c>
      <c r="N91">
        <v>0.154</v>
      </c>
      <c r="O91" t="s">
        <v>96</v>
      </c>
      <c r="P91" t="s">
        <v>97</v>
      </c>
      <c r="Q91" s="1">
        <v>-4.7174894296166898E-5</v>
      </c>
      <c r="R91" s="1">
        <v>1.14786885601364E-7</v>
      </c>
      <c r="S91">
        <v>1.42794258030704E-4</v>
      </c>
      <c r="T91">
        <v>-3.0412365287875502E-4</v>
      </c>
      <c r="U91">
        <v>2.06378933496205</v>
      </c>
      <c r="V91" s="1">
        <v>3.8650881013734899E-15</v>
      </c>
      <c r="W91">
        <v>3.5932469203982101E-4</v>
      </c>
      <c r="X91">
        <v>2.4762856377167299</v>
      </c>
      <c r="Y91">
        <v>9.32206531682973E-3</v>
      </c>
      <c r="Z91">
        <v>5.5551501110896601E-2</v>
      </c>
      <c r="AA91">
        <v>1.4720096189137701E-2</v>
      </c>
    </row>
    <row r="92" spans="1:27" x14ac:dyDescent="0.2">
      <c r="A92" t="b">
        <v>0</v>
      </c>
      <c r="B92">
        <v>1000</v>
      </c>
      <c r="C92">
        <v>0.29206519970808698</v>
      </c>
      <c r="D92" t="s">
        <v>52</v>
      </c>
      <c r="E92" t="b">
        <v>1</v>
      </c>
      <c r="F92" t="s">
        <v>53</v>
      </c>
      <c r="G92">
        <v>7.4999999999999997E-2</v>
      </c>
      <c r="H92">
        <v>0.5</v>
      </c>
      <c r="I92">
        <v>1E-4</v>
      </c>
      <c r="J92" t="b">
        <v>1</v>
      </c>
      <c r="K92">
        <v>4</v>
      </c>
      <c r="L92">
        <v>1500</v>
      </c>
      <c r="M92">
        <v>0.3</v>
      </c>
      <c r="N92">
        <v>0.154</v>
      </c>
      <c r="O92" t="s">
        <v>98</v>
      </c>
      <c r="P92" t="s">
        <v>99</v>
      </c>
      <c r="Q92">
        <v>-1.69078738914124E-4</v>
      </c>
      <c r="R92" s="1">
        <v>7.5555258989345298E-7</v>
      </c>
      <c r="S92">
        <v>5.41152063344551E-4</v>
      </c>
      <c r="T92">
        <v>-3.2646643965712498E-3</v>
      </c>
      <c r="U92">
        <v>4.0204265658769804</v>
      </c>
      <c r="V92" s="1">
        <v>2.5333632897327998E-15</v>
      </c>
      <c r="W92">
        <v>3.8002819355862499E-4</v>
      </c>
      <c r="X92">
        <v>3.76865150877099</v>
      </c>
      <c r="Y92">
        <v>1.8953136854942199E-2</v>
      </c>
      <c r="Z92">
        <v>0.97118615590614399</v>
      </c>
      <c r="AA92">
        <v>5.8064680218131701E-2</v>
      </c>
    </row>
    <row r="93" spans="1:27" x14ac:dyDescent="0.2">
      <c r="A93" t="b">
        <v>0</v>
      </c>
      <c r="B93">
        <v>1000</v>
      </c>
      <c r="C93">
        <v>0.29206519970808698</v>
      </c>
      <c r="D93" t="s">
        <v>52</v>
      </c>
      <c r="E93" t="b">
        <v>1</v>
      </c>
      <c r="F93" t="s">
        <v>53</v>
      </c>
      <c r="G93">
        <v>7.4999999999999997E-2</v>
      </c>
      <c r="H93">
        <v>0.5</v>
      </c>
      <c r="I93">
        <v>1E-4</v>
      </c>
      <c r="J93" t="b">
        <v>1</v>
      </c>
      <c r="K93">
        <v>4</v>
      </c>
      <c r="L93">
        <v>1500</v>
      </c>
      <c r="M93">
        <v>0.3</v>
      </c>
      <c r="N93">
        <v>0.154</v>
      </c>
      <c r="O93" t="s">
        <v>98</v>
      </c>
      <c r="P93" t="s">
        <v>100</v>
      </c>
      <c r="Q93">
        <v>-1.69078740232963E-4</v>
      </c>
      <c r="R93" s="1">
        <v>7.88459218359531E-7</v>
      </c>
      <c r="S93">
        <v>5.4115206334454297E-4</v>
      </c>
      <c r="T93">
        <v>-3.2646643965710599E-3</v>
      </c>
      <c r="U93">
        <v>4.02042656587804</v>
      </c>
      <c r="V93" s="1">
        <v>2.54761907955007E-15</v>
      </c>
      <c r="W93">
        <v>3.9748375578489502E-4</v>
      </c>
      <c r="X93">
        <v>3.7686515558976299</v>
      </c>
      <c r="Y93">
        <v>1.9741992789017102E-2</v>
      </c>
      <c r="Z93">
        <v>0.97118606293267196</v>
      </c>
      <c r="AA93">
        <v>6.06077611242474E-2</v>
      </c>
    </row>
    <row r="94" spans="1:27" x14ac:dyDescent="0.2">
      <c r="A94" t="b">
        <v>0</v>
      </c>
      <c r="B94">
        <v>1000</v>
      </c>
      <c r="C94">
        <v>0.29206519970808698</v>
      </c>
      <c r="D94" t="s">
        <v>52</v>
      </c>
      <c r="E94" t="b">
        <v>1</v>
      </c>
      <c r="F94" t="s">
        <v>53</v>
      </c>
      <c r="G94">
        <v>7.4999999999999997E-2</v>
      </c>
      <c r="H94">
        <v>0.5</v>
      </c>
      <c r="I94">
        <v>1E-4</v>
      </c>
      <c r="J94" t="b">
        <v>1</v>
      </c>
      <c r="K94">
        <v>4</v>
      </c>
      <c r="L94">
        <v>1500</v>
      </c>
      <c r="M94">
        <v>0.3</v>
      </c>
      <c r="N94">
        <v>0.154</v>
      </c>
      <c r="O94" t="s">
        <v>98</v>
      </c>
      <c r="P94" t="s">
        <v>101</v>
      </c>
      <c r="Q94">
        <v>-3.3815163009309198E-4</v>
      </c>
      <c r="R94" s="1">
        <v>1.48928709388252E-6</v>
      </c>
      <c r="S94">
        <v>1.08228255640352E-3</v>
      </c>
      <c r="T94">
        <v>-6.5287266228044299E-3</v>
      </c>
      <c r="U94">
        <v>4.0198174791351402</v>
      </c>
      <c r="V94" s="1">
        <v>2.54482046539929E-15</v>
      </c>
      <c r="W94">
        <v>3.7497063347641002E-4</v>
      </c>
      <c r="X94">
        <v>3.7685282667496098</v>
      </c>
      <c r="Y94">
        <v>1.8673594208092701E-2</v>
      </c>
      <c r="Z94">
        <v>0.97107891060060403</v>
      </c>
      <c r="AA94">
        <v>5.7227028406302699E-2</v>
      </c>
    </row>
    <row r="95" spans="1:27" x14ac:dyDescent="0.2">
      <c r="A95" t="b">
        <v>0</v>
      </c>
      <c r="B95">
        <v>1000</v>
      </c>
      <c r="C95">
        <v>0.29206519970808698</v>
      </c>
      <c r="D95" t="s">
        <v>52</v>
      </c>
      <c r="E95" t="b">
        <v>1</v>
      </c>
      <c r="F95" t="s">
        <v>53</v>
      </c>
      <c r="G95">
        <v>7.4999999999999997E-2</v>
      </c>
      <c r="H95">
        <v>0.5</v>
      </c>
      <c r="I95">
        <v>1E-4</v>
      </c>
      <c r="J95" t="b">
        <v>1</v>
      </c>
      <c r="K95">
        <v>4</v>
      </c>
      <c r="L95">
        <v>1500</v>
      </c>
      <c r="M95">
        <v>0.3</v>
      </c>
      <c r="N95">
        <v>0.154</v>
      </c>
      <c r="O95" t="s">
        <v>99</v>
      </c>
      <c r="P95" t="s">
        <v>100</v>
      </c>
      <c r="Q95" s="1">
        <v>-1E-10</v>
      </c>
      <c r="R95" s="1">
        <v>3.5857869294697699E-12</v>
      </c>
      <c r="S95" s="1">
        <v>9.6674272053555195E-18</v>
      </c>
      <c r="T95" s="1">
        <v>-1.6032682419640099E-16</v>
      </c>
      <c r="U95">
        <v>4.0198175513186696</v>
      </c>
      <c r="V95">
        <v>0</v>
      </c>
      <c r="W95">
        <v>6.8474231617111095E-2</v>
      </c>
      <c r="X95">
        <v>2</v>
      </c>
      <c r="Y95">
        <v>4.0005291079457496E-3</v>
      </c>
      <c r="Z95">
        <v>2.5000000000000001E-4</v>
      </c>
      <c r="AA95">
        <v>4.79330828151763E-3</v>
      </c>
    </row>
    <row r="96" spans="1:27" x14ac:dyDescent="0.2">
      <c r="A96" t="b">
        <v>0</v>
      </c>
      <c r="B96">
        <v>1000</v>
      </c>
      <c r="C96">
        <v>0.29206519970808698</v>
      </c>
      <c r="D96" t="s">
        <v>52</v>
      </c>
      <c r="E96" t="b">
        <v>1</v>
      </c>
      <c r="F96" t="s">
        <v>53</v>
      </c>
      <c r="G96">
        <v>7.4999999999999997E-2</v>
      </c>
      <c r="H96">
        <v>0.5</v>
      </c>
      <c r="I96">
        <v>1E-4</v>
      </c>
      <c r="J96" t="b">
        <v>1</v>
      </c>
      <c r="K96">
        <v>4</v>
      </c>
      <c r="L96">
        <v>1500</v>
      </c>
      <c r="M96">
        <v>0.3</v>
      </c>
      <c r="N96">
        <v>0.154</v>
      </c>
      <c r="O96" t="s">
        <v>99</v>
      </c>
      <c r="P96" t="s">
        <v>101</v>
      </c>
      <c r="Q96">
        <v>-1.6907290725403599E-4</v>
      </c>
      <c r="R96" s="1">
        <v>7.55734331660631E-7</v>
      </c>
      <c r="S96">
        <v>5.4113049305897301E-4</v>
      </c>
      <c r="T96">
        <v>-3.26406222623322E-3</v>
      </c>
      <c r="U96">
        <v>4.0192084645757697</v>
      </c>
      <c r="V96" s="1">
        <v>2.5637473590853899E-15</v>
      </c>
      <c r="W96">
        <v>3.7887866693608598E-4</v>
      </c>
      <c r="X96">
        <v>3.7684056079340098</v>
      </c>
      <c r="Y96">
        <v>1.8986183228108799E-2</v>
      </c>
      <c r="Z96">
        <v>0.97097051228183595</v>
      </c>
      <c r="AA96">
        <v>5.8060789020936802E-2</v>
      </c>
    </row>
    <row r="97" spans="1:27" x14ac:dyDescent="0.2">
      <c r="A97" t="b">
        <v>0</v>
      </c>
      <c r="B97">
        <v>1000</v>
      </c>
      <c r="C97">
        <v>0.29206519970808698</v>
      </c>
      <c r="D97" t="s">
        <v>52</v>
      </c>
      <c r="E97" t="b">
        <v>1</v>
      </c>
      <c r="F97" t="s">
        <v>53</v>
      </c>
      <c r="G97">
        <v>7.4999999999999997E-2</v>
      </c>
      <c r="H97">
        <v>0.5</v>
      </c>
      <c r="I97">
        <v>1E-4</v>
      </c>
      <c r="J97" t="b">
        <v>1</v>
      </c>
      <c r="K97">
        <v>4</v>
      </c>
      <c r="L97">
        <v>1500</v>
      </c>
      <c r="M97">
        <v>0.3</v>
      </c>
      <c r="N97">
        <v>0.154</v>
      </c>
      <c r="O97" t="s">
        <v>100</v>
      </c>
      <c r="P97" t="s">
        <v>101</v>
      </c>
      <c r="Q97">
        <v>-1.69072906029173E-4</v>
      </c>
      <c r="R97" s="1">
        <v>7.5768110835885201E-7</v>
      </c>
      <c r="S97">
        <v>5.4113049305897398E-4</v>
      </c>
      <c r="T97">
        <v>-3.2640622262331701E-3</v>
      </c>
      <c r="U97">
        <v>4.0192084645768196</v>
      </c>
      <c r="V97" s="1">
        <v>2.5593452604015201E-15</v>
      </c>
      <c r="W97">
        <v>3.8297365063483198E-4</v>
      </c>
      <c r="X97">
        <v>3.76840556282239</v>
      </c>
      <c r="Y97">
        <v>1.8966870647700699E-2</v>
      </c>
      <c r="Z97">
        <v>0.97097060023414605</v>
      </c>
      <c r="AA97">
        <v>5.8237225063813403E-2</v>
      </c>
    </row>
    <row r="98" spans="1:27" x14ac:dyDescent="0.2">
      <c r="A98" t="b">
        <v>0</v>
      </c>
      <c r="B98">
        <v>1000</v>
      </c>
      <c r="C98">
        <v>0.31241255757525099</v>
      </c>
      <c r="D98" t="s">
        <v>52</v>
      </c>
      <c r="E98" t="b">
        <v>1</v>
      </c>
      <c r="F98" t="s">
        <v>53</v>
      </c>
      <c r="G98">
        <v>7.4999999999999997E-2</v>
      </c>
      <c r="H98">
        <v>0.5</v>
      </c>
      <c r="I98">
        <v>1E-4</v>
      </c>
      <c r="J98" t="b">
        <v>1</v>
      </c>
      <c r="K98">
        <v>1</v>
      </c>
      <c r="L98">
        <v>1500</v>
      </c>
      <c r="M98">
        <v>0.4</v>
      </c>
      <c r="N98">
        <v>0.154</v>
      </c>
      <c r="O98" t="s">
        <v>102</v>
      </c>
      <c r="P98" t="s">
        <v>103</v>
      </c>
      <c r="Q98" s="1">
        <v>-1.62756807598102E-5</v>
      </c>
      <c r="R98" s="1">
        <v>1.6850823071083201E-7</v>
      </c>
      <c r="S98" s="1">
        <v>4.88061423876395E-5</v>
      </c>
      <c r="T98" s="1">
        <v>-6.3190027648786794E-5</v>
      </c>
      <c r="U98">
        <v>1.2053140262080999</v>
      </c>
      <c r="V98" s="1">
        <v>-2.7285975621841E-17</v>
      </c>
      <c r="W98">
        <v>8.3107780614245297E-4</v>
      </c>
      <c r="X98">
        <v>1.9955294835350199</v>
      </c>
      <c r="Y98">
        <v>4.64332671847709E-2</v>
      </c>
      <c r="Z98">
        <v>1.09459580669025E-3</v>
      </c>
      <c r="AA98">
        <v>4.1254277813035103E-2</v>
      </c>
    </row>
    <row r="99" spans="1:27" x14ac:dyDescent="0.2">
      <c r="A99" t="b">
        <v>0</v>
      </c>
      <c r="B99">
        <v>1000</v>
      </c>
      <c r="C99">
        <v>0.31241255757525099</v>
      </c>
      <c r="D99" t="s">
        <v>52</v>
      </c>
      <c r="E99" t="b">
        <v>1</v>
      </c>
      <c r="F99" t="s">
        <v>53</v>
      </c>
      <c r="G99">
        <v>7.4999999999999997E-2</v>
      </c>
      <c r="H99">
        <v>0.5</v>
      </c>
      <c r="I99">
        <v>1E-4</v>
      </c>
      <c r="J99" t="b">
        <v>1</v>
      </c>
      <c r="K99">
        <v>1</v>
      </c>
      <c r="L99">
        <v>1500</v>
      </c>
      <c r="M99">
        <v>0.4</v>
      </c>
      <c r="N99">
        <v>0.154</v>
      </c>
      <c r="O99" t="s">
        <v>102</v>
      </c>
      <c r="P99" t="s">
        <v>104</v>
      </c>
      <c r="Q99" s="1">
        <v>-1.62756807597414E-5</v>
      </c>
      <c r="R99" s="1">
        <v>1.7038090306312001E-7</v>
      </c>
      <c r="S99" s="1">
        <v>4.8806142387638802E-5</v>
      </c>
      <c r="T99" s="1">
        <v>-6.3190027648743995E-5</v>
      </c>
      <c r="U99">
        <v>1.2053140262920501</v>
      </c>
      <c r="V99" s="1">
        <v>-2.71945675725656E-17</v>
      </c>
      <c r="W99">
        <v>8.4674194403408704E-4</v>
      </c>
      <c r="X99">
        <v>1.9955294832999799</v>
      </c>
      <c r="Y99">
        <v>4.6541595657140403E-2</v>
      </c>
      <c r="Z99">
        <v>1.0945958064763001E-3</v>
      </c>
      <c r="AA99">
        <v>4.1711547361440497E-2</v>
      </c>
    </row>
    <row r="100" spans="1:27" x14ac:dyDescent="0.2">
      <c r="A100" t="b">
        <v>0</v>
      </c>
      <c r="B100">
        <v>1000</v>
      </c>
      <c r="C100">
        <v>0.31241255757525099</v>
      </c>
      <c r="D100" t="s">
        <v>52</v>
      </c>
      <c r="E100" t="b">
        <v>1</v>
      </c>
      <c r="F100" t="s">
        <v>53</v>
      </c>
      <c r="G100">
        <v>7.4999999999999997E-2</v>
      </c>
      <c r="H100">
        <v>0.5</v>
      </c>
      <c r="I100">
        <v>1E-4</v>
      </c>
      <c r="J100" t="b">
        <v>1</v>
      </c>
      <c r="K100">
        <v>1</v>
      </c>
      <c r="L100">
        <v>1500</v>
      </c>
      <c r="M100">
        <v>0.4</v>
      </c>
      <c r="N100">
        <v>0.154</v>
      </c>
      <c r="O100" t="s">
        <v>102</v>
      </c>
      <c r="P100" t="s">
        <v>105</v>
      </c>
      <c r="Q100" s="1">
        <v>-3.25506974798015E-5</v>
      </c>
      <c r="R100" s="1">
        <v>3.3954298340231699E-7</v>
      </c>
      <c r="S100" s="1">
        <v>9.7610248189394704E-5</v>
      </c>
      <c r="T100">
        <v>-1.2637241753248201E-4</v>
      </c>
      <c r="U100">
        <v>1.2052747087012801</v>
      </c>
      <c r="V100" s="1">
        <v>-2.7295624766355001E-17</v>
      </c>
      <c r="W100">
        <v>8.1715408720256695E-4</v>
      </c>
      <c r="X100">
        <v>1.9955231453753099</v>
      </c>
      <c r="Y100">
        <v>4.6589033673334598E-2</v>
      </c>
      <c r="Z100">
        <v>1.09646107822039E-3</v>
      </c>
      <c r="AA100">
        <v>4.1563196406567603E-2</v>
      </c>
    </row>
    <row r="101" spans="1:27" x14ac:dyDescent="0.2">
      <c r="A101" t="b">
        <v>0</v>
      </c>
      <c r="B101">
        <v>1000</v>
      </c>
      <c r="C101">
        <v>0.31241255757525099</v>
      </c>
      <c r="D101" t="s">
        <v>52</v>
      </c>
      <c r="E101" t="b">
        <v>1</v>
      </c>
      <c r="F101" t="s">
        <v>53</v>
      </c>
      <c r="G101">
        <v>7.4999999999999997E-2</v>
      </c>
      <c r="H101">
        <v>0.5</v>
      </c>
      <c r="I101">
        <v>1E-4</v>
      </c>
      <c r="J101" t="b">
        <v>1</v>
      </c>
      <c r="K101">
        <v>1</v>
      </c>
      <c r="L101">
        <v>1500</v>
      </c>
      <c r="M101">
        <v>0.4</v>
      </c>
      <c r="N101">
        <v>0.154</v>
      </c>
      <c r="O101" t="s">
        <v>103</v>
      </c>
      <c r="P101" t="s">
        <v>105</v>
      </c>
      <c r="Q101" s="1">
        <v>-1.6275016723138E-5</v>
      </c>
      <c r="R101" s="1">
        <v>1.6947604844464999E-7</v>
      </c>
      <c r="S101" s="1">
        <v>4.8804105801757298E-5</v>
      </c>
      <c r="T101" s="1">
        <v>-6.3182389883798294E-5</v>
      </c>
      <c r="U101">
        <v>1.2052353890977401</v>
      </c>
      <c r="V101" s="1">
        <v>-2.73762463956328E-17</v>
      </c>
      <c r="W101">
        <v>8.3455259878285003E-4</v>
      </c>
      <c r="X101">
        <v>1.9955168212366801</v>
      </c>
      <c r="Y101">
        <v>4.6587086855401201E-2</v>
      </c>
      <c r="Z101">
        <v>1.0983266946879499E-3</v>
      </c>
      <c r="AA101">
        <v>4.1490748664141999E-2</v>
      </c>
    </row>
    <row r="102" spans="1:27" x14ac:dyDescent="0.2">
      <c r="A102" t="b">
        <v>0</v>
      </c>
      <c r="B102">
        <v>1000</v>
      </c>
      <c r="C102">
        <v>0.31241255757525099</v>
      </c>
      <c r="D102" t="s">
        <v>52</v>
      </c>
      <c r="E102" t="b">
        <v>1</v>
      </c>
      <c r="F102" t="s">
        <v>53</v>
      </c>
      <c r="G102">
        <v>7.4999999999999997E-2</v>
      </c>
      <c r="H102">
        <v>0.5</v>
      </c>
      <c r="I102">
        <v>1E-4</v>
      </c>
      <c r="J102" t="b">
        <v>1</v>
      </c>
      <c r="K102">
        <v>1</v>
      </c>
      <c r="L102">
        <v>1500</v>
      </c>
      <c r="M102">
        <v>0.4</v>
      </c>
      <c r="N102">
        <v>0.154</v>
      </c>
      <c r="O102" t="s">
        <v>104</v>
      </c>
      <c r="P102" t="s">
        <v>105</v>
      </c>
      <c r="Q102" s="1">
        <v>-1.6275016723138302E-5</v>
      </c>
      <c r="R102" s="1">
        <v>1.6985434170198599E-7</v>
      </c>
      <c r="S102" s="1">
        <v>4.8804105801756302E-5</v>
      </c>
      <c r="T102" s="1">
        <v>-6.3182389883637195E-5</v>
      </c>
      <c r="U102">
        <v>1.20523538918169</v>
      </c>
      <c r="V102" s="1">
        <v>-2.73762464054886E-17</v>
      </c>
      <c r="W102">
        <v>8.3890000592096203E-4</v>
      </c>
      <c r="X102">
        <v>1.99551682123626</v>
      </c>
      <c r="Y102">
        <v>4.6606389629086899E-2</v>
      </c>
      <c r="Z102">
        <v>1.0983266947721701E-3</v>
      </c>
      <c r="AA102">
        <v>4.1583730196212802E-2</v>
      </c>
    </row>
    <row r="103" spans="1:27" x14ac:dyDescent="0.2">
      <c r="A103" t="b">
        <v>0</v>
      </c>
      <c r="B103">
        <v>1000</v>
      </c>
      <c r="C103">
        <v>0.36834909388245801</v>
      </c>
      <c r="D103" t="s">
        <v>52</v>
      </c>
      <c r="E103" t="b">
        <v>1</v>
      </c>
      <c r="F103" t="s">
        <v>53</v>
      </c>
      <c r="G103">
        <v>7.4999999999999997E-2</v>
      </c>
      <c r="H103">
        <v>0.5</v>
      </c>
      <c r="I103">
        <v>1E-4</v>
      </c>
      <c r="J103" t="b">
        <v>1</v>
      </c>
      <c r="K103">
        <v>1</v>
      </c>
      <c r="L103">
        <v>1500</v>
      </c>
      <c r="M103">
        <v>0.5</v>
      </c>
      <c r="N103">
        <v>0.154</v>
      </c>
      <c r="O103" t="s">
        <v>106</v>
      </c>
      <c r="P103" t="s">
        <v>107</v>
      </c>
      <c r="Q103" s="1">
        <v>-1.7695196818091399E-5</v>
      </c>
      <c r="R103" s="1">
        <v>5.01174641736321E-8</v>
      </c>
      <c r="S103" s="1">
        <v>5.3239489815201003E-5</v>
      </c>
      <c r="T103" s="1">
        <v>-7.9700524370170602E-5</v>
      </c>
      <c r="U103">
        <v>1.2579751629621601</v>
      </c>
      <c r="V103" s="1">
        <v>1.3856990920324999E-15</v>
      </c>
      <c r="W103">
        <v>2.99206539601217E-4</v>
      </c>
      <c r="X103">
        <v>2.1047027456969198</v>
      </c>
      <c r="Y103">
        <v>1.2377779104280701E-2</v>
      </c>
      <c r="Z103">
        <v>1.29340194378318E-2</v>
      </c>
      <c r="AA103">
        <v>1.2462483015080799E-2</v>
      </c>
    </row>
    <row r="104" spans="1:27" x14ac:dyDescent="0.2">
      <c r="A104" t="b">
        <v>0</v>
      </c>
      <c r="B104">
        <v>1000</v>
      </c>
      <c r="C104">
        <v>0.36834909388245801</v>
      </c>
      <c r="D104" t="s">
        <v>52</v>
      </c>
      <c r="E104" t="b">
        <v>1</v>
      </c>
      <c r="F104" t="s">
        <v>53</v>
      </c>
      <c r="G104">
        <v>7.4999999999999997E-2</v>
      </c>
      <c r="H104">
        <v>0.5</v>
      </c>
      <c r="I104">
        <v>1E-4</v>
      </c>
      <c r="J104" t="b">
        <v>1</v>
      </c>
      <c r="K104">
        <v>1</v>
      </c>
      <c r="L104">
        <v>1500</v>
      </c>
      <c r="M104">
        <v>0.5</v>
      </c>
      <c r="N104">
        <v>0.154</v>
      </c>
      <c r="O104" t="s">
        <v>106</v>
      </c>
      <c r="P104" t="s">
        <v>108</v>
      </c>
      <c r="Q104" s="1">
        <v>-1.7695196811210899E-5</v>
      </c>
      <c r="R104" s="1">
        <v>4.9791675092996203E-8</v>
      </c>
      <c r="S104" s="1">
        <v>5.32394898152033E-5</v>
      </c>
      <c r="T104" s="1">
        <v>-7.97005243701622E-5</v>
      </c>
      <c r="U104">
        <v>1.25797516291611</v>
      </c>
      <c r="V104" s="1">
        <v>1.3044224717285699E-15</v>
      </c>
      <c r="W104">
        <v>2.9345816923913802E-4</v>
      </c>
      <c r="X104">
        <v>2.1047027441080801</v>
      </c>
      <c r="Y104">
        <v>1.2367983470834299E-2</v>
      </c>
      <c r="Z104">
        <v>1.2934021000465E-2</v>
      </c>
      <c r="AA104">
        <v>1.2380224032235701E-2</v>
      </c>
    </row>
    <row r="105" spans="1:27" x14ac:dyDescent="0.2">
      <c r="A105" t="b">
        <v>0</v>
      </c>
      <c r="B105">
        <v>1000</v>
      </c>
      <c r="C105">
        <v>0.36834909388245801</v>
      </c>
      <c r="D105" t="s">
        <v>52</v>
      </c>
      <c r="E105" t="b">
        <v>1</v>
      </c>
      <c r="F105" t="s">
        <v>53</v>
      </c>
      <c r="G105">
        <v>7.4999999999999997E-2</v>
      </c>
      <c r="H105">
        <v>0.5</v>
      </c>
      <c r="I105">
        <v>1E-4</v>
      </c>
      <c r="J105" t="b">
        <v>1</v>
      </c>
      <c r="K105">
        <v>1</v>
      </c>
      <c r="L105">
        <v>1500</v>
      </c>
      <c r="M105">
        <v>0.5</v>
      </c>
      <c r="N105">
        <v>0.154</v>
      </c>
      <c r="O105" t="s">
        <v>106</v>
      </c>
      <c r="P105" t="s">
        <v>109</v>
      </c>
      <c r="Q105" s="1">
        <v>-3.5389439509807098E-5</v>
      </c>
      <c r="R105" s="1">
        <v>9.9783639304194998E-8</v>
      </c>
      <c r="S105">
        <v>1.0647630806737399E-4</v>
      </c>
      <c r="T105">
        <v>-1.59389573149362E-4</v>
      </c>
      <c r="U105">
        <v>1.2579276490657001</v>
      </c>
      <c r="V105" s="1">
        <v>1.37994751348165E-15</v>
      </c>
      <c r="W105">
        <v>2.9047203838775999E-4</v>
      </c>
      <c r="X105">
        <v>2.1046439993626</v>
      </c>
      <c r="Y105">
        <v>1.2380252277003999E-2</v>
      </c>
      <c r="Z105">
        <v>1.29417164578043E-2</v>
      </c>
      <c r="AA105">
        <v>1.2404686490834101E-2</v>
      </c>
    </row>
    <row r="106" spans="1:27" x14ac:dyDescent="0.2">
      <c r="A106" t="b">
        <v>0</v>
      </c>
      <c r="B106">
        <v>1000</v>
      </c>
      <c r="C106">
        <v>0.36834909388245801</v>
      </c>
      <c r="D106" t="s">
        <v>52</v>
      </c>
      <c r="E106" t="b">
        <v>1</v>
      </c>
      <c r="F106" t="s">
        <v>53</v>
      </c>
      <c r="G106">
        <v>7.4999999999999997E-2</v>
      </c>
      <c r="H106">
        <v>0.5</v>
      </c>
      <c r="I106">
        <v>1E-4</v>
      </c>
      <c r="J106" t="b">
        <v>1</v>
      </c>
      <c r="K106">
        <v>1</v>
      </c>
      <c r="L106">
        <v>1500</v>
      </c>
      <c r="M106">
        <v>0.5</v>
      </c>
      <c r="N106">
        <v>0.154</v>
      </c>
      <c r="O106" t="s">
        <v>107</v>
      </c>
      <c r="P106" t="s">
        <v>108</v>
      </c>
      <c r="Q106" s="1">
        <v>-1E-10</v>
      </c>
      <c r="R106" s="1">
        <v>3.5857868241943899E-12</v>
      </c>
      <c r="S106" s="1">
        <v>1.3551967667697E-17</v>
      </c>
      <c r="T106" s="1">
        <v>8.5925714012361806E-17</v>
      </c>
      <c r="U106">
        <v>1.2579276457075199</v>
      </c>
      <c r="V106">
        <v>0</v>
      </c>
      <c r="W106">
        <v>6.8474229606771103E-2</v>
      </c>
      <c r="X106">
        <v>2</v>
      </c>
      <c r="Y106">
        <v>4.0005289904939201E-3</v>
      </c>
      <c r="Z106">
        <v>2.5000000000000001E-4</v>
      </c>
      <c r="AA106">
        <v>4.7933081407905403E-3</v>
      </c>
    </row>
    <row r="107" spans="1:27" x14ac:dyDescent="0.2">
      <c r="A107" t="b">
        <v>0</v>
      </c>
      <c r="B107">
        <v>1000</v>
      </c>
      <c r="C107">
        <v>0.36834909388245801</v>
      </c>
      <c r="D107" t="s">
        <v>52</v>
      </c>
      <c r="E107" t="b">
        <v>1</v>
      </c>
      <c r="F107" t="s">
        <v>53</v>
      </c>
      <c r="G107">
        <v>7.4999999999999997E-2</v>
      </c>
      <c r="H107">
        <v>0.5</v>
      </c>
      <c r="I107">
        <v>1E-4</v>
      </c>
      <c r="J107" t="b">
        <v>1</v>
      </c>
      <c r="K107">
        <v>1</v>
      </c>
      <c r="L107">
        <v>1500</v>
      </c>
      <c r="M107">
        <v>0.5</v>
      </c>
      <c r="N107">
        <v>0.154</v>
      </c>
      <c r="O107" t="s">
        <v>107</v>
      </c>
      <c r="P107" t="s">
        <v>109</v>
      </c>
      <c r="Q107" s="1">
        <v>-1.76942420605572E-5</v>
      </c>
      <c r="R107" s="1">
        <v>4.9470624411088997E-8</v>
      </c>
      <c r="S107" s="1">
        <v>5.3236818252170098E-5</v>
      </c>
      <c r="T107" s="1">
        <v>-7.9689048779319602E-5</v>
      </c>
      <c r="U107">
        <v>1.25788013185711</v>
      </c>
      <c r="V107" s="1">
        <v>1.3500967895215401E-15</v>
      </c>
      <c r="W107">
        <v>2.9012904794257301E-4</v>
      </c>
      <c r="X107">
        <v>2.1045850704124698</v>
      </c>
      <c r="Y107">
        <v>1.2354613638886999E-2</v>
      </c>
      <c r="Z107">
        <v>1.2949571758473E-2</v>
      </c>
      <c r="AA107">
        <v>1.22991378656653E-2</v>
      </c>
    </row>
    <row r="108" spans="1:27" x14ac:dyDescent="0.2">
      <c r="A108" t="b">
        <v>0</v>
      </c>
      <c r="B108">
        <v>1000</v>
      </c>
      <c r="C108">
        <v>0.36834909388245801</v>
      </c>
      <c r="D108" t="s">
        <v>52</v>
      </c>
      <c r="E108" t="b">
        <v>1</v>
      </c>
      <c r="F108" t="s">
        <v>53</v>
      </c>
      <c r="G108">
        <v>7.4999999999999997E-2</v>
      </c>
      <c r="H108">
        <v>0.5</v>
      </c>
      <c r="I108">
        <v>1E-4</v>
      </c>
      <c r="J108" t="b">
        <v>1</v>
      </c>
      <c r="K108">
        <v>1</v>
      </c>
      <c r="L108">
        <v>1500</v>
      </c>
      <c r="M108">
        <v>0.5</v>
      </c>
      <c r="N108">
        <v>0.154</v>
      </c>
      <c r="O108" t="s">
        <v>108</v>
      </c>
      <c r="P108" t="s">
        <v>109</v>
      </c>
      <c r="Q108" s="1">
        <v>-1.7694242706981402E-5</v>
      </c>
      <c r="R108" s="1">
        <v>5.0580853856340302E-8</v>
      </c>
      <c r="S108" s="1">
        <v>5.3236818252170403E-5</v>
      </c>
      <c r="T108" s="1">
        <v>-7.9689048779470496E-5</v>
      </c>
      <c r="U108">
        <v>1.25788013181106</v>
      </c>
      <c r="V108" s="1">
        <v>1.24287597759615E-15</v>
      </c>
      <c r="W108">
        <v>2.96391732355014E-4</v>
      </c>
      <c r="X108">
        <v>2.1045852543158898</v>
      </c>
      <c r="Y108">
        <v>1.24193255800931E-2</v>
      </c>
      <c r="Z108">
        <v>1.29494085595016E-2</v>
      </c>
      <c r="AA108">
        <v>1.2576346965063699E-2</v>
      </c>
    </row>
    <row r="109" spans="1:27" x14ac:dyDescent="0.2">
      <c r="A109" t="b">
        <v>0</v>
      </c>
      <c r="B109">
        <v>1000</v>
      </c>
      <c r="C109">
        <v>0.38942026627743997</v>
      </c>
      <c r="D109" t="s">
        <v>52</v>
      </c>
      <c r="E109" t="b">
        <v>1</v>
      </c>
      <c r="F109" t="s">
        <v>53</v>
      </c>
      <c r="G109">
        <v>7.4999999999999997E-2</v>
      </c>
      <c r="H109">
        <v>0.5</v>
      </c>
      <c r="I109">
        <v>1E-4</v>
      </c>
      <c r="J109" t="b">
        <v>1</v>
      </c>
      <c r="K109">
        <v>4</v>
      </c>
      <c r="L109">
        <v>1500</v>
      </c>
      <c r="M109">
        <v>0.4</v>
      </c>
      <c r="N109">
        <v>0.154</v>
      </c>
      <c r="O109" t="s">
        <v>110</v>
      </c>
      <c r="P109" t="s">
        <v>111</v>
      </c>
      <c r="Q109">
        <v>-1.6941573839609101E-4</v>
      </c>
      <c r="R109" s="1">
        <v>2.82677805832907E-7</v>
      </c>
      <c r="S109">
        <v>5.4415976639302305E-4</v>
      </c>
      <c r="T109">
        <v>-3.4057293207639902E-3</v>
      </c>
      <c r="U109">
        <v>4.0274049581602798</v>
      </c>
      <c r="V109" s="1">
        <v>3.62418875640075E-15</v>
      </c>
      <c r="W109">
        <v>1.3584634498583199E-4</v>
      </c>
      <c r="X109">
        <v>3.8182069028524799</v>
      </c>
      <c r="Y109">
        <v>7.1825132917086301E-3</v>
      </c>
      <c r="Z109">
        <v>1.0547820818601299</v>
      </c>
      <c r="AA109">
        <v>2.21203781537181E-2</v>
      </c>
    </row>
    <row r="110" spans="1:27" x14ac:dyDescent="0.2">
      <c r="A110" t="b">
        <v>0</v>
      </c>
      <c r="B110">
        <v>1000</v>
      </c>
      <c r="C110">
        <v>0.38942026627743997</v>
      </c>
      <c r="D110" t="s">
        <v>52</v>
      </c>
      <c r="E110" t="b">
        <v>1</v>
      </c>
      <c r="F110" t="s">
        <v>53</v>
      </c>
      <c r="G110">
        <v>7.4999999999999997E-2</v>
      </c>
      <c r="H110">
        <v>0.5</v>
      </c>
      <c r="I110">
        <v>1E-4</v>
      </c>
      <c r="J110" t="b">
        <v>1</v>
      </c>
      <c r="K110">
        <v>4</v>
      </c>
      <c r="L110">
        <v>1500</v>
      </c>
      <c r="M110">
        <v>0.4</v>
      </c>
      <c r="N110">
        <v>0.154</v>
      </c>
      <c r="O110" t="s">
        <v>110</v>
      </c>
      <c r="P110" t="s">
        <v>112</v>
      </c>
      <c r="Q110">
        <v>-1.6941573857744301E-4</v>
      </c>
      <c r="R110" s="1">
        <v>2.8226052488951401E-7</v>
      </c>
      <c r="S110">
        <v>5.4415976639302598E-4</v>
      </c>
      <c r="T110">
        <v>-3.40572932076406E-3</v>
      </c>
      <c r="U110">
        <v>4.0274049581789901</v>
      </c>
      <c r="V110" s="1">
        <v>3.6939222449919799E-15</v>
      </c>
      <c r="W110">
        <v>1.3507420929447601E-4</v>
      </c>
      <c r="X110">
        <v>3.81820691004001</v>
      </c>
      <c r="Y110">
        <v>7.1886843199709602E-3</v>
      </c>
      <c r="Z110">
        <v>1.05478206749301</v>
      </c>
      <c r="AA110">
        <v>2.2079348412533201E-2</v>
      </c>
    </row>
    <row r="111" spans="1:27" x14ac:dyDescent="0.2">
      <c r="A111" t="b">
        <v>0</v>
      </c>
      <c r="B111">
        <v>1000</v>
      </c>
      <c r="C111">
        <v>0.38942026627743997</v>
      </c>
      <c r="D111" t="s">
        <v>52</v>
      </c>
      <c r="E111" t="b">
        <v>1</v>
      </c>
      <c r="F111" t="s">
        <v>53</v>
      </c>
      <c r="G111">
        <v>7.4999999999999997E-2</v>
      </c>
      <c r="H111">
        <v>0.5</v>
      </c>
      <c r="I111">
        <v>1E-4</v>
      </c>
      <c r="J111" t="b">
        <v>1</v>
      </c>
      <c r="K111">
        <v>4</v>
      </c>
      <c r="L111">
        <v>1500</v>
      </c>
      <c r="M111">
        <v>0.4</v>
      </c>
      <c r="N111">
        <v>0.154</v>
      </c>
      <c r="O111" t="s">
        <v>110</v>
      </c>
      <c r="P111" t="s">
        <v>113</v>
      </c>
      <c r="Q111">
        <v>-3.3882395214522001E-4</v>
      </c>
      <c r="R111" s="1">
        <v>5.6383523217396301E-7</v>
      </c>
      <c r="S111">
        <v>1.0882911064318799E-3</v>
      </c>
      <c r="T111">
        <v>-6.8106986709475801E-3</v>
      </c>
      <c r="U111">
        <v>4.0267706709164397</v>
      </c>
      <c r="V111" s="1">
        <v>3.6737853701694198E-15</v>
      </c>
      <c r="W111">
        <v>1.3496680571640701E-4</v>
      </c>
      <c r="X111">
        <v>3.81806362997236</v>
      </c>
      <c r="Y111">
        <v>7.17074011288247E-3</v>
      </c>
      <c r="Z111">
        <v>1.0546366713977999</v>
      </c>
      <c r="AA111">
        <v>2.2058864815941499E-2</v>
      </c>
    </row>
    <row r="112" spans="1:27" x14ac:dyDescent="0.2">
      <c r="A112" t="b">
        <v>0</v>
      </c>
      <c r="B112">
        <v>1000</v>
      </c>
      <c r="C112">
        <v>0.38942026627743997</v>
      </c>
      <c r="D112" t="s">
        <v>52</v>
      </c>
      <c r="E112" t="b">
        <v>1</v>
      </c>
      <c r="F112" t="s">
        <v>53</v>
      </c>
      <c r="G112">
        <v>7.4999999999999997E-2</v>
      </c>
      <c r="H112">
        <v>0.5</v>
      </c>
      <c r="I112">
        <v>1E-4</v>
      </c>
      <c r="J112" t="b">
        <v>1</v>
      </c>
      <c r="K112">
        <v>4</v>
      </c>
      <c r="L112">
        <v>1500</v>
      </c>
      <c r="M112">
        <v>0.4</v>
      </c>
      <c r="N112">
        <v>0.154</v>
      </c>
      <c r="O112" t="s">
        <v>111</v>
      </c>
      <c r="P112" t="s">
        <v>112</v>
      </c>
      <c r="Q112" s="1">
        <v>-1E-10</v>
      </c>
      <c r="R112" s="1">
        <v>3.5857868376345299E-12</v>
      </c>
      <c r="S112" s="1">
        <v>1.6033019582479401E-17</v>
      </c>
      <c r="T112" s="1">
        <v>-1.0150430501655699E-16</v>
      </c>
      <c r="U112">
        <v>4.0267707291805204</v>
      </c>
      <c r="V112">
        <v>0</v>
      </c>
      <c r="W112">
        <v>6.8474229863424205E-2</v>
      </c>
      <c r="X112">
        <v>2</v>
      </c>
      <c r="Y112">
        <v>4.0005290054885897E-3</v>
      </c>
      <c r="Z112">
        <v>2.5000000000000001E-4</v>
      </c>
      <c r="AA112">
        <v>4.7933081587566801E-3</v>
      </c>
    </row>
    <row r="113" spans="1:27" x14ac:dyDescent="0.2">
      <c r="A113" t="b">
        <v>0</v>
      </c>
      <c r="B113">
        <v>1000</v>
      </c>
      <c r="C113">
        <v>0.38942026627743997</v>
      </c>
      <c r="D113" t="s">
        <v>52</v>
      </c>
      <c r="E113" t="b">
        <v>1</v>
      </c>
      <c r="F113" t="s">
        <v>53</v>
      </c>
      <c r="G113">
        <v>7.4999999999999997E-2</v>
      </c>
      <c r="H113">
        <v>0.5</v>
      </c>
      <c r="I113">
        <v>1E-4</v>
      </c>
      <c r="J113" t="b">
        <v>1</v>
      </c>
      <c r="K113">
        <v>4</v>
      </c>
      <c r="L113">
        <v>1500</v>
      </c>
      <c r="M113">
        <v>0.4</v>
      </c>
      <c r="N113">
        <v>0.154</v>
      </c>
      <c r="O113" t="s">
        <v>111</v>
      </c>
      <c r="P113" t="s">
        <v>113</v>
      </c>
      <c r="Q113">
        <v>-1.6940822725751301E-4</v>
      </c>
      <c r="R113" s="1">
        <v>2.7686277993833E-7</v>
      </c>
      <c r="S113">
        <v>5.4413134003885504E-4</v>
      </c>
      <c r="T113">
        <v>-3.4049693501834E-3</v>
      </c>
      <c r="U113">
        <v>4.0261364419179699</v>
      </c>
      <c r="V113" s="1">
        <v>3.5087730686962199E-15</v>
      </c>
      <c r="W113">
        <v>1.3217751991445801E-4</v>
      </c>
      <c r="X113">
        <v>3.8179208362992698</v>
      </c>
      <c r="Y113">
        <v>7.0574647183075804E-3</v>
      </c>
      <c r="Z113">
        <v>1.05449027898687</v>
      </c>
      <c r="AA113">
        <v>2.1653471358682799E-2</v>
      </c>
    </row>
    <row r="114" spans="1:27" x14ac:dyDescent="0.2">
      <c r="A114" t="b">
        <v>0</v>
      </c>
      <c r="B114">
        <v>1000</v>
      </c>
      <c r="C114">
        <v>0.38942026627743997</v>
      </c>
      <c r="D114" t="s">
        <v>52</v>
      </c>
      <c r="E114" t="b">
        <v>1</v>
      </c>
      <c r="F114" t="s">
        <v>53</v>
      </c>
      <c r="G114">
        <v>7.4999999999999997E-2</v>
      </c>
      <c r="H114">
        <v>0.5</v>
      </c>
      <c r="I114">
        <v>1E-4</v>
      </c>
      <c r="J114" t="b">
        <v>1</v>
      </c>
      <c r="K114">
        <v>4</v>
      </c>
      <c r="L114">
        <v>1500</v>
      </c>
      <c r="M114">
        <v>0.4</v>
      </c>
      <c r="N114">
        <v>0.154</v>
      </c>
      <c r="O114" t="s">
        <v>112</v>
      </c>
      <c r="P114" t="s">
        <v>113</v>
      </c>
      <c r="Q114">
        <v>-1.6940822722942499E-4</v>
      </c>
      <c r="R114" s="1">
        <v>2.7674131985671702E-7</v>
      </c>
      <c r="S114">
        <v>5.4413134003885395E-4</v>
      </c>
      <c r="T114">
        <v>-3.4049693501833202E-3</v>
      </c>
      <c r="U114">
        <v>4.0261364419366803</v>
      </c>
      <c r="V114" s="1">
        <v>3.6853109524433899E-15</v>
      </c>
      <c r="W114">
        <v>1.32819196765613E-4</v>
      </c>
      <c r="X114">
        <v>3.8179208350734899</v>
      </c>
      <c r="Y114">
        <v>7.0362683536576102E-3</v>
      </c>
      <c r="Z114">
        <v>1.0544902810960499</v>
      </c>
      <c r="AA114">
        <v>2.1651674466998901E-2</v>
      </c>
    </row>
    <row r="115" spans="1:27" x14ac:dyDescent="0.2">
      <c r="A115" t="b">
        <v>0</v>
      </c>
      <c r="B115">
        <v>1000</v>
      </c>
      <c r="C115">
        <v>0.38942026627744297</v>
      </c>
      <c r="D115" t="s">
        <v>52</v>
      </c>
      <c r="E115" t="b">
        <v>1</v>
      </c>
      <c r="F115" t="s">
        <v>53</v>
      </c>
      <c r="G115">
        <v>7.4999999999999997E-2</v>
      </c>
      <c r="H115">
        <v>0.5</v>
      </c>
      <c r="I115">
        <v>1E-4</v>
      </c>
      <c r="J115" t="b">
        <v>1</v>
      </c>
      <c r="K115">
        <v>2</v>
      </c>
      <c r="L115">
        <v>1500</v>
      </c>
      <c r="M115">
        <v>0.4</v>
      </c>
      <c r="N115">
        <v>0.154</v>
      </c>
      <c r="O115" t="s">
        <v>114</v>
      </c>
      <c r="P115" t="s">
        <v>115</v>
      </c>
      <c r="Q115" s="1">
        <v>-4.8137288151121999E-5</v>
      </c>
      <c r="R115" s="1">
        <v>1.5298417010519799E-7</v>
      </c>
      <c r="S115">
        <v>1.46012515719177E-4</v>
      </c>
      <c r="T115">
        <v>-3.4725044142840198E-4</v>
      </c>
      <c r="U115">
        <v>2.0848475268861302</v>
      </c>
      <c r="V115" s="1">
        <v>3.6359709393740101E-15</v>
      </c>
      <c r="W115">
        <v>4.8724498669682902E-4</v>
      </c>
      <c r="X115">
        <v>2.6051233087982202</v>
      </c>
      <c r="Y115">
        <v>1.14127099790872E-2</v>
      </c>
      <c r="Z115">
        <v>7.5771430678813506E-2</v>
      </c>
      <c r="AA115">
        <v>2.1268585222770101E-2</v>
      </c>
    </row>
    <row r="116" spans="1:27" x14ac:dyDescent="0.2">
      <c r="A116" t="b">
        <v>0</v>
      </c>
      <c r="B116">
        <v>1000</v>
      </c>
      <c r="C116">
        <v>0.38942026627744297</v>
      </c>
      <c r="D116" t="s">
        <v>52</v>
      </c>
      <c r="E116" t="b">
        <v>1</v>
      </c>
      <c r="F116" t="s">
        <v>53</v>
      </c>
      <c r="G116">
        <v>7.4999999999999997E-2</v>
      </c>
      <c r="H116">
        <v>0.5</v>
      </c>
      <c r="I116">
        <v>1E-4</v>
      </c>
      <c r="J116" t="b">
        <v>1</v>
      </c>
      <c r="K116">
        <v>2</v>
      </c>
      <c r="L116">
        <v>1500</v>
      </c>
      <c r="M116">
        <v>0.4</v>
      </c>
      <c r="N116">
        <v>0.154</v>
      </c>
      <c r="O116" t="s">
        <v>114</v>
      </c>
      <c r="P116" t="s">
        <v>116</v>
      </c>
      <c r="Q116" s="1">
        <v>-4.8137287920995798E-5</v>
      </c>
      <c r="R116" s="1">
        <v>1.4494844783860401E-7</v>
      </c>
      <c r="S116">
        <v>1.4601251571917599E-4</v>
      </c>
      <c r="T116">
        <v>-3.4725044142834902E-4</v>
      </c>
      <c r="U116">
        <v>2.0848475268384101</v>
      </c>
      <c r="V116" s="1">
        <v>3.6461885938808198E-15</v>
      </c>
      <c r="W116">
        <v>4.6836265830499699E-4</v>
      </c>
      <c r="X116">
        <v>2.6051232817007701</v>
      </c>
      <c r="Y116">
        <v>1.10963584503561E-2</v>
      </c>
      <c r="Z116">
        <v>7.5771462298414596E-2</v>
      </c>
      <c r="AA116">
        <v>2.0147730468033701E-2</v>
      </c>
    </row>
    <row r="117" spans="1:27" x14ac:dyDescent="0.2">
      <c r="A117" t="b">
        <v>0</v>
      </c>
      <c r="B117">
        <v>1000</v>
      </c>
      <c r="C117">
        <v>0.38942026627744297</v>
      </c>
      <c r="D117" t="s">
        <v>52</v>
      </c>
      <c r="E117" t="b">
        <v>1</v>
      </c>
      <c r="F117" t="s">
        <v>53</v>
      </c>
      <c r="G117">
        <v>7.4999999999999997E-2</v>
      </c>
      <c r="H117">
        <v>0.5</v>
      </c>
      <c r="I117">
        <v>1E-4</v>
      </c>
      <c r="J117" t="b">
        <v>1</v>
      </c>
      <c r="K117">
        <v>2</v>
      </c>
      <c r="L117">
        <v>1500</v>
      </c>
      <c r="M117">
        <v>0.4</v>
      </c>
      <c r="N117">
        <v>0.154</v>
      </c>
      <c r="O117" t="s">
        <v>114</v>
      </c>
      <c r="P117" t="s">
        <v>117</v>
      </c>
      <c r="Q117" s="1">
        <v>-9.6272295285822394E-5</v>
      </c>
      <c r="R117" s="1">
        <v>2.9504225510815001E-7</v>
      </c>
      <c r="S117">
        <v>2.9201783849988101E-4</v>
      </c>
      <c r="T117">
        <v>-6.9444623540254895E-4</v>
      </c>
      <c r="U117">
        <v>2.0847226121231199</v>
      </c>
      <c r="V117" s="1">
        <v>3.6153985091822903E-15</v>
      </c>
      <c r="W117">
        <v>4.7866467057482902E-4</v>
      </c>
      <c r="X117">
        <v>2.60505798598756</v>
      </c>
      <c r="Y117">
        <v>1.11597550848169E-2</v>
      </c>
      <c r="Z117">
        <v>7.5761225688619205E-2</v>
      </c>
      <c r="AA117">
        <v>2.0509641836448701E-2</v>
      </c>
    </row>
    <row r="118" spans="1:27" x14ac:dyDescent="0.2">
      <c r="A118" t="b">
        <v>0</v>
      </c>
      <c r="B118">
        <v>1000</v>
      </c>
      <c r="C118">
        <v>0.38942026627744297</v>
      </c>
      <c r="D118" t="s">
        <v>52</v>
      </c>
      <c r="E118" t="b">
        <v>1</v>
      </c>
      <c r="F118" t="s">
        <v>53</v>
      </c>
      <c r="G118">
        <v>7.4999999999999997E-2</v>
      </c>
      <c r="H118">
        <v>0.5</v>
      </c>
      <c r="I118">
        <v>1E-4</v>
      </c>
      <c r="J118" t="b">
        <v>1</v>
      </c>
      <c r="K118">
        <v>2</v>
      </c>
      <c r="L118">
        <v>1500</v>
      </c>
      <c r="M118">
        <v>0.4</v>
      </c>
      <c r="N118">
        <v>0.154</v>
      </c>
      <c r="O118" t="s">
        <v>115</v>
      </c>
      <c r="P118" t="s">
        <v>116</v>
      </c>
      <c r="Q118" s="1">
        <v>-1E-10</v>
      </c>
      <c r="R118" s="1">
        <v>3.5857868559157599E-12</v>
      </c>
      <c r="S118" s="1">
        <v>1.20775450255543E-17</v>
      </c>
      <c r="T118" s="1">
        <v>2.76516303022949E-17</v>
      </c>
      <c r="U118">
        <v>2.0847226075421701</v>
      </c>
      <c r="V118">
        <v>0</v>
      </c>
      <c r="W118">
        <v>6.8474230212522705E-2</v>
      </c>
      <c r="X118">
        <v>2</v>
      </c>
      <c r="Y118">
        <v>4.0005290258842696E-3</v>
      </c>
      <c r="Z118">
        <v>2.5000000000000001E-4</v>
      </c>
      <c r="AA118">
        <v>4.7933081831941504E-3</v>
      </c>
    </row>
    <row r="119" spans="1:27" x14ac:dyDescent="0.2">
      <c r="A119" t="b">
        <v>0</v>
      </c>
      <c r="B119">
        <v>1000</v>
      </c>
      <c r="C119">
        <v>0.38942026627744297</v>
      </c>
      <c r="D119" t="s">
        <v>52</v>
      </c>
      <c r="E119" t="b">
        <v>1</v>
      </c>
      <c r="F119" t="s">
        <v>53</v>
      </c>
      <c r="G119">
        <v>7.4999999999999997E-2</v>
      </c>
      <c r="H119">
        <v>0.5</v>
      </c>
      <c r="I119">
        <v>1E-4</v>
      </c>
      <c r="J119" t="b">
        <v>1</v>
      </c>
      <c r="K119">
        <v>2</v>
      </c>
      <c r="L119">
        <v>1500</v>
      </c>
      <c r="M119">
        <v>0.4</v>
      </c>
      <c r="N119">
        <v>0.154</v>
      </c>
      <c r="O119" t="s">
        <v>115</v>
      </c>
      <c r="P119" t="s">
        <v>117</v>
      </c>
      <c r="Q119" s="1">
        <v>-4.8135006686827903E-5</v>
      </c>
      <c r="R119" s="1">
        <v>1.52820078982945E-7</v>
      </c>
      <c r="S119">
        <v>1.4600532278070201E-4</v>
      </c>
      <c r="T119">
        <v>-3.47195793974112E-4</v>
      </c>
      <c r="U119">
        <v>2.0845976928268799</v>
      </c>
      <c r="V119" s="1">
        <v>3.6691216279366803E-15</v>
      </c>
      <c r="W119">
        <v>4.9307284076034795E-4</v>
      </c>
      <c r="X119">
        <v>2.6049926012462201</v>
      </c>
      <c r="Y119">
        <v>1.13585817000497E-2</v>
      </c>
      <c r="Z119">
        <v>7.5751084956426504E-2</v>
      </c>
      <c r="AA119">
        <v>2.1249242186021401E-2</v>
      </c>
    </row>
    <row r="120" spans="1:27" x14ac:dyDescent="0.2">
      <c r="A120" t="b">
        <v>0</v>
      </c>
      <c r="B120">
        <v>1000</v>
      </c>
      <c r="C120">
        <v>0.38942026627744297</v>
      </c>
      <c r="D120" t="s">
        <v>52</v>
      </c>
      <c r="E120" t="b">
        <v>1</v>
      </c>
      <c r="F120" t="s">
        <v>53</v>
      </c>
      <c r="G120">
        <v>7.4999999999999997E-2</v>
      </c>
      <c r="H120">
        <v>0.5</v>
      </c>
      <c r="I120">
        <v>1E-4</v>
      </c>
      <c r="J120" t="b">
        <v>1</v>
      </c>
      <c r="K120">
        <v>2</v>
      </c>
      <c r="L120">
        <v>1500</v>
      </c>
      <c r="M120">
        <v>0.4</v>
      </c>
      <c r="N120">
        <v>0.154</v>
      </c>
      <c r="O120" t="s">
        <v>116</v>
      </c>
      <c r="P120" t="s">
        <v>117</v>
      </c>
      <c r="Q120" s="1">
        <v>-4.81350070664588E-5</v>
      </c>
      <c r="R120" s="1">
        <v>1.47651018828448E-7</v>
      </c>
      <c r="S120">
        <v>1.4600532278070201E-4</v>
      </c>
      <c r="T120">
        <v>-3.4719579397404099E-4</v>
      </c>
      <c r="U120">
        <v>2.0845976927791598</v>
      </c>
      <c r="V120" s="1">
        <v>3.6141539875965103E-15</v>
      </c>
      <c r="W120">
        <v>4.78002375871108E-4</v>
      </c>
      <c r="X120">
        <v>2.60499264718359</v>
      </c>
      <c r="Y120">
        <v>1.11774794440004E-2</v>
      </c>
      <c r="Z120">
        <v>7.5751032318431596E-2</v>
      </c>
      <c r="AA120">
        <v>2.0526855492651701E-2</v>
      </c>
    </row>
    <row r="121" spans="1:27" x14ac:dyDescent="0.2">
      <c r="A121" t="b">
        <v>0</v>
      </c>
      <c r="B121">
        <v>1000</v>
      </c>
      <c r="C121">
        <v>0.47208114098693799</v>
      </c>
      <c r="D121" t="s">
        <v>52</v>
      </c>
      <c r="E121" t="b">
        <v>1</v>
      </c>
      <c r="F121" t="s">
        <v>53</v>
      </c>
      <c r="G121">
        <v>7.4999999999999997E-2</v>
      </c>
      <c r="H121">
        <v>0.5</v>
      </c>
      <c r="I121">
        <v>1E-4</v>
      </c>
      <c r="J121" t="b">
        <v>1</v>
      </c>
      <c r="K121">
        <v>1</v>
      </c>
      <c r="L121">
        <v>1500</v>
      </c>
      <c r="M121">
        <v>0.7</v>
      </c>
      <c r="N121">
        <v>0.154</v>
      </c>
      <c r="O121" t="s">
        <v>118</v>
      </c>
      <c r="P121" t="s">
        <v>119</v>
      </c>
      <c r="Q121" s="1">
        <v>-2.0636184955836E-5</v>
      </c>
      <c r="R121" s="1">
        <v>6.9387593980725906E-8</v>
      </c>
      <c r="S121" s="1">
        <v>6.2109425574352002E-5</v>
      </c>
      <c r="T121">
        <v>-1.16830670743373E-4</v>
      </c>
      <c r="U121">
        <v>1.35689515055636</v>
      </c>
      <c r="V121" s="1">
        <v>1.34253519899979E-15</v>
      </c>
      <c r="W121">
        <v>4.6018442418373402E-4</v>
      </c>
      <c r="X121">
        <v>2.3575917224654899</v>
      </c>
      <c r="Y121">
        <v>1.44454682579147E-2</v>
      </c>
      <c r="Z121">
        <v>1.8108128829798301E-2</v>
      </c>
      <c r="AA121">
        <v>1.85923396996573E-2</v>
      </c>
    </row>
    <row r="122" spans="1:27" x14ac:dyDescent="0.2">
      <c r="A122" t="b">
        <v>0</v>
      </c>
      <c r="B122">
        <v>1000</v>
      </c>
      <c r="C122">
        <v>0.47208114098693799</v>
      </c>
      <c r="D122" t="s">
        <v>52</v>
      </c>
      <c r="E122" t="b">
        <v>1</v>
      </c>
      <c r="F122" t="s">
        <v>53</v>
      </c>
      <c r="G122">
        <v>7.4999999999999997E-2</v>
      </c>
      <c r="H122">
        <v>0.5</v>
      </c>
      <c r="I122">
        <v>1E-4</v>
      </c>
      <c r="J122" t="b">
        <v>1</v>
      </c>
      <c r="K122">
        <v>1</v>
      </c>
      <c r="L122">
        <v>1500</v>
      </c>
      <c r="M122">
        <v>0.7</v>
      </c>
      <c r="N122">
        <v>0.154</v>
      </c>
      <c r="O122" t="s">
        <v>118</v>
      </c>
      <c r="P122" t="s">
        <v>120</v>
      </c>
      <c r="Q122" s="1">
        <v>-2.0636184997303999E-5</v>
      </c>
      <c r="R122" s="1">
        <v>7.0823618977648502E-8</v>
      </c>
      <c r="S122" s="1">
        <v>6.2109425574357396E-5</v>
      </c>
      <c r="T122">
        <v>-1.16830670743575E-4</v>
      </c>
      <c r="U122">
        <v>1.3568951506526099</v>
      </c>
      <c r="V122" s="1">
        <v>1.3412299107277099E-15</v>
      </c>
      <c r="W122">
        <v>4.7147911524398099E-4</v>
      </c>
      <c r="X122">
        <v>2.3575917335922298</v>
      </c>
      <c r="Y122">
        <v>1.4521565803708E-2</v>
      </c>
      <c r="Z122">
        <v>1.81081176545871E-2</v>
      </c>
      <c r="AA122">
        <v>1.89790179664323E-2</v>
      </c>
    </row>
    <row r="123" spans="1:27" x14ac:dyDescent="0.2">
      <c r="A123" t="b">
        <v>0</v>
      </c>
      <c r="B123">
        <v>1000</v>
      </c>
      <c r="C123">
        <v>0.47208114098693799</v>
      </c>
      <c r="D123" t="s">
        <v>52</v>
      </c>
      <c r="E123" t="b">
        <v>1</v>
      </c>
      <c r="F123" t="s">
        <v>53</v>
      </c>
      <c r="G123">
        <v>7.4999999999999997E-2</v>
      </c>
      <c r="H123">
        <v>0.5</v>
      </c>
      <c r="I123">
        <v>1E-4</v>
      </c>
      <c r="J123" t="b">
        <v>1</v>
      </c>
      <c r="K123">
        <v>1</v>
      </c>
      <c r="L123">
        <v>1500</v>
      </c>
      <c r="M123">
        <v>0.7</v>
      </c>
      <c r="N123">
        <v>0.154</v>
      </c>
      <c r="O123" t="s">
        <v>118</v>
      </c>
      <c r="P123" t="s">
        <v>121</v>
      </c>
      <c r="Q123" s="1">
        <v>-4.1271033933049701E-5</v>
      </c>
      <c r="R123" s="1">
        <v>1.4177625163643101E-7</v>
      </c>
      <c r="S123">
        <v>1.24214736959338E-4</v>
      </c>
      <c r="T123">
        <v>-2.3363941749941501E-4</v>
      </c>
      <c r="U123">
        <v>1.3568305805880601</v>
      </c>
      <c r="V123" s="1">
        <v>1.34324337222822E-15</v>
      </c>
      <c r="W123">
        <v>4.7478011711459499E-4</v>
      </c>
      <c r="X123">
        <v>2.3575242050669698</v>
      </c>
      <c r="Y123">
        <v>1.4514462375411499E-2</v>
      </c>
      <c r="Z123">
        <v>1.81028897884273E-2</v>
      </c>
      <c r="AA123">
        <v>1.8995370468135101E-2</v>
      </c>
    </row>
    <row r="124" spans="1:27" x14ac:dyDescent="0.2">
      <c r="A124" t="b">
        <v>0</v>
      </c>
      <c r="B124">
        <v>1000</v>
      </c>
      <c r="C124">
        <v>0.47208114098693799</v>
      </c>
      <c r="D124" t="s">
        <v>52</v>
      </c>
      <c r="E124" t="b">
        <v>1</v>
      </c>
      <c r="F124" t="s">
        <v>53</v>
      </c>
      <c r="G124">
        <v>7.4999999999999997E-2</v>
      </c>
      <c r="H124">
        <v>0.5</v>
      </c>
      <c r="I124">
        <v>1E-4</v>
      </c>
      <c r="J124" t="b">
        <v>1</v>
      </c>
      <c r="K124">
        <v>1</v>
      </c>
      <c r="L124">
        <v>1500</v>
      </c>
      <c r="M124">
        <v>0.7</v>
      </c>
      <c r="N124">
        <v>0.154</v>
      </c>
      <c r="O124" t="s">
        <v>119</v>
      </c>
      <c r="P124" t="s">
        <v>120</v>
      </c>
      <c r="Q124" s="1">
        <v>-1E-10</v>
      </c>
      <c r="R124" s="1">
        <v>3.5857868242039598E-12</v>
      </c>
      <c r="S124" s="1">
        <v>1.7720597897189301E-17</v>
      </c>
      <c r="T124" s="1">
        <v>-1.32548882562109E-16</v>
      </c>
      <c r="U124">
        <v>1.35683057449003</v>
      </c>
      <c r="V124">
        <v>0</v>
      </c>
      <c r="W124">
        <v>6.8474229606953901E-2</v>
      </c>
      <c r="X124">
        <v>2</v>
      </c>
      <c r="Y124">
        <v>4.0005289905045999E-3</v>
      </c>
      <c r="Z124">
        <v>2.5000000000000001E-4</v>
      </c>
      <c r="AA124">
        <v>4.7933081408033304E-3</v>
      </c>
    </row>
    <row r="125" spans="1:27" x14ac:dyDescent="0.2">
      <c r="A125" t="b">
        <v>0</v>
      </c>
      <c r="B125">
        <v>1000</v>
      </c>
      <c r="C125">
        <v>0.47208114098693799</v>
      </c>
      <c r="D125" t="s">
        <v>52</v>
      </c>
      <c r="E125" t="b">
        <v>1</v>
      </c>
      <c r="F125" t="s">
        <v>53</v>
      </c>
      <c r="G125">
        <v>7.4999999999999997E-2</v>
      </c>
      <c r="H125">
        <v>0.5</v>
      </c>
      <c r="I125">
        <v>1E-4</v>
      </c>
      <c r="J125" t="b">
        <v>1</v>
      </c>
      <c r="K125">
        <v>1</v>
      </c>
      <c r="L125">
        <v>1500</v>
      </c>
      <c r="M125">
        <v>0.7</v>
      </c>
      <c r="N125">
        <v>0.154</v>
      </c>
      <c r="O125" t="s">
        <v>119</v>
      </c>
      <c r="P125" t="s">
        <v>121</v>
      </c>
      <c r="Q125" s="1">
        <v>-2.0634848958772699E-5</v>
      </c>
      <c r="R125" s="1">
        <v>6.9494563720496698E-8</v>
      </c>
      <c r="S125" s="1">
        <v>6.2105311384984098E-5</v>
      </c>
      <c r="T125">
        <v>-1.1680874675596E-4</v>
      </c>
      <c r="U125">
        <v>1.3567660044254799</v>
      </c>
      <c r="V125" s="1">
        <v>1.34223925529904E-15</v>
      </c>
      <c r="W125">
        <v>4.6266287479026098E-4</v>
      </c>
      <c r="X125">
        <v>2.3574566760681002</v>
      </c>
      <c r="Y125">
        <v>1.44455236542249E-2</v>
      </c>
      <c r="Z125">
        <v>1.8097655748975601E-2</v>
      </c>
      <c r="AA125">
        <v>1.8619705781491899E-2</v>
      </c>
    </row>
    <row r="126" spans="1:27" x14ac:dyDescent="0.2">
      <c r="A126" t="b">
        <v>0</v>
      </c>
      <c r="B126">
        <v>1000</v>
      </c>
      <c r="C126">
        <v>0.47208114098693799</v>
      </c>
      <c r="D126" t="s">
        <v>52</v>
      </c>
      <c r="E126" t="b">
        <v>1</v>
      </c>
      <c r="F126" t="s">
        <v>53</v>
      </c>
      <c r="G126">
        <v>7.4999999999999997E-2</v>
      </c>
      <c r="H126">
        <v>0.5</v>
      </c>
      <c r="I126">
        <v>1E-4</v>
      </c>
      <c r="J126" t="b">
        <v>1</v>
      </c>
      <c r="K126">
        <v>1</v>
      </c>
      <c r="L126">
        <v>1500</v>
      </c>
      <c r="M126">
        <v>0.7</v>
      </c>
      <c r="N126">
        <v>0.154</v>
      </c>
      <c r="O126" t="s">
        <v>120</v>
      </c>
      <c r="P126" t="s">
        <v>121</v>
      </c>
      <c r="Q126" s="1">
        <v>-2.0634848948894899E-5</v>
      </c>
      <c r="R126" s="1">
        <v>6.9636398768192196E-8</v>
      </c>
      <c r="S126" s="1">
        <v>6.2105311384982295E-5</v>
      </c>
      <c r="T126">
        <v>-1.16808746755857E-4</v>
      </c>
      <c r="U126">
        <v>1.35676600452173</v>
      </c>
      <c r="V126" s="1">
        <v>1.3396234278872199E-15</v>
      </c>
      <c r="W126">
        <v>4.6007959118190699E-4</v>
      </c>
      <c r="X126">
        <v>2.3574566735084601</v>
      </c>
      <c r="Y126">
        <v>1.4465782970930799E-2</v>
      </c>
      <c r="Z126">
        <v>1.8097658359837801E-2</v>
      </c>
      <c r="AA126">
        <v>1.86576358104911E-2</v>
      </c>
    </row>
    <row r="127" spans="1:27" x14ac:dyDescent="0.2">
      <c r="A127" t="b">
        <v>0</v>
      </c>
      <c r="B127">
        <v>1000</v>
      </c>
      <c r="C127">
        <v>0.48307886441849202</v>
      </c>
      <c r="D127" t="s">
        <v>52</v>
      </c>
      <c r="E127" t="b">
        <v>1</v>
      </c>
      <c r="F127" t="s">
        <v>53</v>
      </c>
      <c r="G127">
        <v>7.4999999999999997E-2</v>
      </c>
      <c r="H127">
        <v>0.5</v>
      </c>
      <c r="I127">
        <v>1E-4</v>
      </c>
      <c r="J127" t="b">
        <v>1</v>
      </c>
      <c r="K127">
        <v>2</v>
      </c>
      <c r="L127">
        <v>1500</v>
      </c>
      <c r="M127">
        <v>0.5</v>
      </c>
      <c r="N127">
        <v>0.154</v>
      </c>
      <c r="O127" t="s">
        <v>122</v>
      </c>
      <c r="P127" t="s">
        <v>123</v>
      </c>
      <c r="Q127" s="1">
        <v>-4.9119543636426798E-5</v>
      </c>
      <c r="R127" s="1">
        <v>1.92037097971987E-7</v>
      </c>
      <c r="S127">
        <v>1.4936899378065199E-4</v>
      </c>
      <c r="T127">
        <v>-3.9100665302939098E-4</v>
      </c>
      <c r="U127">
        <v>2.1065000297815799</v>
      </c>
      <c r="V127" s="1">
        <v>3.4492820053789699E-15</v>
      </c>
      <c r="W127">
        <v>6.2469350774806999E-4</v>
      </c>
      <c r="X127">
        <v>2.71865672786085</v>
      </c>
      <c r="Y127">
        <v>1.34638418694915E-2</v>
      </c>
      <c r="Z127">
        <v>0.101512032903052</v>
      </c>
      <c r="AA127">
        <v>2.8470178189019701E-2</v>
      </c>
    </row>
    <row r="128" spans="1:27" x14ac:dyDescent="0.2">
      <c r="A128" t="b">
        <v>0</v>
      </c>
      <c r="B128">
        <v>1000</v>
      </c>
      <c r="C128">
        <v>0.48307886441849202</v>
      </c>
      <c r="D128" t="s">
        <v>52</v>
      </c>
      <c r="E128" t="b">
        <v>1</v>
      </c>
      <c r="F128" t="s">
        <v>53</v>
      </c>
      <c r="G128">
        <v>7.4999999999999997E-2</v>
      </c>
      <c r="H128">
        <v>0.5</v>
      </c>
      <c r="I128">
        <v>1E-4</v>
      </c>
      <c r="J128" t="b">
        <v>1</v>
      </c>
      <c r="K128">
        <v>2</v>
      </c>
      <c r="L128">
        <v>1500</v>
      </c>
      <c r="M128">
        <v>0.5</v>
      </c>
      <c r="N128">
        <v>0.154</v>
      </c>
      <c r="O128" t="s">
        <v>122</v>
      </c>
      <c r="P128" t="s">
        <v>124</v>
      </c>
      <c r="Q128" s="1">
        <v>-4.9119543860967602E-5</v>
      </c>
      <c r="R128" s="1">
        <v>1.9367346798581201E-7</v>
      </c>
      <c r="S128">
        <v>1.4936899378065099E-4</v>
      </c>
      <c r="T128">
        <v>-3.9100665302938198E-4</v>
      </c>
      <c r="U128">
        <v>2.10650002980256</v>
      </c>
      <c r="V128" s="1">
        <v>3.4394615122971001E-15</v>
      </c>
      <c r="W128">
        <v>6.23614573921269E-4</v>
      </c>
      <c r="X128">
        <v>2.7186567550954899</v>
      </c>
      <c r="Y128">
        <v>1.3581053356266999E-2</v>
      </c>
      <c r="Z128">
        <v>0.101511999980287</v>
      </c>
      <c r="AA128">
        <v>2.8711344876331799E-2</v>
      </c>
    </row>
    <row r="129" spans="1:27" x14ac:dyDescent="0.2">
      <c r="A129" t="b">
        <v>0</v>
      </c>
      <c r="B129">
        <v>1000</v>
      </c>
      <c r="C129">
        <v>0.48307886441849202</v>
      </c>
      <c r="D129" t="s">
        <v>52</v>
      </c>
      <c r="E129" t="b">
        <v>1</v>
      </c>
      <c r="F129" t="s">
        <v>53</v>
      </c>
      <c r="G129">
        <v>7.4999999999999997E-2</v>
      </c>
      <c r="H129">
        <v>0.5</v>
      </c>
      <c r="I129">
        <v>1E-4</v>
      </c>
      <c r="J129" t="b">
        <v>1</v>
      </c>
      <c r="K129">
        <v>2</v>
      </c>
      <c r="L129">
        <v>1500</v>
      </c>
      <c r="M129">
        <v>0.5</v>
      </c>
      <c r="N129">
        <v>0.154</v>
      </c>
      <c r="O129" t="s">
        <v>122</v>
      </c>
      <c r="P129" t="s">
        <v>125</v>
      </c>
      <c r="Q129" s="1">
        <v>-9.8236302867167095E-5</v>
      </c>
      <c r="R129" s="1">
        <v>3.9163675617372298E-7</v>
      </c>
      <c r="S129">
        <v>2.9872892556529899E-4</v>
      </c>
      <c r="T129">
        <v>-7.8193980257489505E-4</v>
      </c>
      <c r="U129">
        <v>2.1063608232795699</v>
      </c>
      <c r="V129" s="1">
        <v>3.4350591888607298E-15</v>
      </c>
      <c r="W129">
        <v>6.3166162239865296E-4</v>
      </c>
      <c r="X129">
        <v>2.71858153326317</v>
      </c>
      <c r="Y129">
        <v>1.36436453632312E-2</v>
      </c>
      <c r="Z129">
        <v>0.10149138641543599</v>
      </c>
      <c r="AA129">
        <v>2.9029812095914698E-2</v>
      </c>
    </row>
    <row r="130" spans="1:27" x14ac:dyDescent="0.2">
      <c r="A130" t="b">
        <v>0</v>
      </c>
      <c r="B130">
        <v>1000</v>
      </c>
      <c r="C130">
        <v>0.48307886441849202</v>
      </c>
      <c r="D130" t="s">
        <v>52</v>
      </c>
      <c r="E130" t="b">
        <v>1</v>
      </c>
      <c r="F130" t="s">
        <v>53</v>
      </c>
      <c r="G130">
        <v>7.4999999999999997E-2</v>
      </c>
      <c r="H130">
        <v>0.5</v>
      </c>
      <c r="I130">
        <v>1E-4</v>
      </c>
      <c r="J130" t="b">
        <v>1</v>
      </c>
      <c r="K130">
        <v>2</v>
      </c>
      <c r="L130">
        <v>1500</v>
      </c>
      <c r="M130">
        <v>0.5</v>
      </c>
      <c r="N130">
        <v>0.154</v>
      </c>
      <c r="O130" t="s">
        <v>123</v>
      </c>
      <c r="P130" t="s">
        <v>124</v>
      </c>
      <c r="Q130" s="1">
        <v>-1E-10</v>
      </c>
      <c r="R130" s="1">
        <v>3.5857870090734602E-12</v>
      </c>
      <c r="S130" s="1">
        <v>-5.0232805740767703E-18</v>
      </c>
      <c r="T130" s="1">
        <v>2.6934200224903198E-16</v>
      </c>
      <c r="U130">
        <v>2.1063608154296598</v>
      </c>
      <c r="V130">
        <v>0</v>
      </c>
      <c r="W130">
        <v>6.8474233137224103E-2</v>
      </c>
      <c r="X130">
        <v>2</v>
      </c>
      <c r="Y130">
        <v>4.0005291967566197E-3</v>
      </c>
      <c r="Z130">
        <v>2.5000000000000001E-4</v>
      </c>
      <c r="AA130">
        <v>4.7933083879280296E-3</v>
      </c>
    </row>
    <row r="131" spans="1:27" x14ac:dyDescent="0.2">
      <c r="A131" t="b">
        <v>0</v>
      </c>
      <c r="B131">
        <v>1000</v>
      </c>
      <c r="C131">
        <v>0.48307886441849202</v>
      </c>
      <c r="D131" t="s">
        <v>52</v>
      </c>
      <c r="E131" t="b">
        <v>1</v>
      </c>
      <c r="F131" t="s">
        <v>53</v>
      </c>
      <c r="G131">
        <v>7.4999999999999997E-2</v>
      </c>
      <c r="H131">
        <v>0.5</v>
      </c>
      <c r="I131">
        <v>1E-4</v>
      </c>
      <c r="J131" t="b">
        <v>1</v>
      </c>
      <c r="K131">
        <v>2</v>
      </c>
      <c r="L131">
        <v>1500</v>
      </c>
      <c r="M131">
        <v>0.5</v>
      </c>
      <c r="N131">
        <v>0.154</v>
      </c>
      <c r="O131" t="s">
        <v>123</v>
      </c>
      <c r="P131" t="s">
        <v>125</v>
      </c>
      <c r="Q131" s="1">
        <v>-4.9116758389736802E-5</v>
      </c>
      <c r="R131" s="1">
        <v>1.93073414535018E-7</v>
      </c>
      <c r="S131">
        <v>1.49359931784645E-4</v>
      </c>
      <c r="T131">
        <v>-3.90933149545538E-4</v>
      </c>
      <c r="U131">
        <v>2.1062216089066599</v>
      </c>
      <c r="V131" s="1">
        <v>3.4431973308568699E-15</v>
      </c>
      <c r="W131">
        <v>6.1825291411134902E-4</v>
      </c>
      <c r="X131">
        <v>2.71850622664518</v>
      </c>
      <c r="Y131">
        <v>1.35996088134584E-2</v>
      </c>
      <c r="Z131">
        <v>0.101470865637077</v>
      </c>
      <c r="AA131">
        <v>2.86131620173216E-2</v>
      </c>
    </row>
    <row r="132" spans="1:27" x14ac:dyDescent="0.2">
      <c r="A132" t="b">
        <v>0</v>
      </c>
      <c r="B132">
        <v>1000</v>
      </c>
      <c r="C132">
        <v>0.48307886441849202</v>
      </c>
      <c r="D132" t="s">
        <v>52</v>
      </c>
      <c r="E132" t="b">
        <v>1</v>
      </c>
      <c r="F132" t="s">
        <v>53</v>
      </c>
      <c r="G132">
        <v>7.4999999999999997E-2</v>
      </c>
      <c r="H132">
        <v>0.5</v>
      </c>
      <c r="I132">
        <v>1E-4</v>
      </c>
      <c r="J132" t="b">
        <v>1</v>
      </c>
      <c r="K132">
        <v>2</v>
      </c>
      <c r="L132">
        <v>1500</v>
      </c>
      <c r="M132">
        <v>0.5</v>
      </c>
      <c r="N132">
        <v>0.154</v>
      </c>
      <c r="O132" t="s">
        <v>124</v>
      </c>
      <c r="P132" t="s">
        <v>125</v>
      </c>
      <c r="Q132" s="1">
        <v>-4.9116758143059103E-5</v>
      </c>
      <c r="R132" s="1">
        <v>1.9490477340015301E-7</v>
      </c>
      <c r="S132">
        <v>1.4935993178464801E-4</v>
      </c>
      <c r="T132">
        <v>-3.9093314954569602E-4</v>
      </c>
      <c r="U132">
        <v>2.1062216089276502</v>
      </c>
      <c r="V132" s="1">
        <v>3.43729722656367E-15</v>
      </c>
      <c r="W132">
        <v>6.2617775548052298E-4</v>
      </c>
      <c r="X132">
        <v>2.7185061973789399</v>
      </c>
      <c r="Y132">
        <v>1.36403379830035E-2</v>
      </c>
      <c r="Z132">
        <v>0.101470900855735</v>
      </c>
      <c r="AA132">
        <v>2.8889535087452001E-2</v>
      </c>
    </row>
    <row r="133" spans="1:27" x14ac:dyDescent="0.2">
      <c r="A133" t="b">
        <v>0</v>
      </c>
      <c r="B133">
        <v>1000</v>
      </c>
      <c r="C133">
        <v>0.48677533284681102</v>
      </c>
      <c r="D133" t="s">
        <v>52</v>
      </c>
      <c r="E133" t="b">
        <v>1</v>
      </c>
      <c r="F133" t="s">
        <v>53</v>
      </c>
      <c r="G133">
        <v>7.4999999999999997E-2</v>
      </c>
      <c r="H133">
        <v>0.5</v>
      </c>
      <c r="I133">
        <v>1E-4</v>
      </c>
      <c r="J133" t="b">
        <v>1</v>
      </c>
      <c r="K133">
        <v>4</v>
      </c>
      <c r="L133">
        <v>1500</v>
      </c>
      <c r="M133">
        <v>0.5</v>
      </c>
      <c r="N133">
        <v>0.154</v>
      </c>
      <c r="O133" t="s">
        <v>126</v>
      </c>
      <c r="P133" t="s">
        <v>127</v>
      </c>
      <c r="Q133">
        <v>-1.69442145204446E-4</v>
      </c>
      <c r="R133" s="1">
        <v>3.8134279517085202E-7</v>
      </c>
      <c r="S133">
        <v>5.4715795668342903E-4</v>
      </c>
      <c r="T133">
        <v>-3.54613696151418E-3</v>
      </c>
      <c r="U133">
        <v>4.0343647622735501</v>
      </c>
      <c r="V133" s="1">
        <v>9.8291863669873896E-15</v>
      </c>
      <c r="W133">
        <v>1.7017514429468501E-4</v>
      </c>
      <c r="X133">
        <v>3.85410560410156</v>
      </c>
      <c r="Y133">
        <v>9.8322681865228908E-3</v>
      </c>
      <c r="Z133">
        <v>1.1631391995515501</v>
      </c>
      <c r="AA133">
        <v>3.0112210105444601E-2</v>
      </c>
    </row>
    <row r="134" spans="1:27" x14ac:dyDescent="0.2">
      <c r="A134" t="b">
        <v>0</v>
      </c>
      <c r="B134">
        <v>1000</v>
      </c>
      <c r="C134">
        <v>0.48677533284681102</v>
      </c>
      <c r="D134" t="s">
        <v>52</v>
      </c>
      <c r="E134" t="b">
        <v>1</v>
      </c>
      <c r="F134" t="s">
        <v>53</v>
      </c>
      <c r="G134">
        <v>7.4999999999999997E-2</v>
      </c>
      <c r="H134">
        <v>0.5</v>
      </c>
      <c r="I134">
        <v>1E-4</v>
      </c>
      <c r="J134" t="b">
        <v>1</v>
      </c>
      <c r="K134">
        <v>4</v>
      </c>
      <c r="L134">
        <v>1500</v>
      </c>
      <c r="M134">
        <v>0.5</v>
      </c>
      <c r="N134">
        <v>0.154</v>
      </c>
      <c r="O134" t="s">
        <v>126</v>
      </c>
      <c r="P134" t="s">
        <v>128</v>
      </c>
      <c r="Q134">
        <v>-1.6944214248676E-4</v>
      </c>
      <c r="R134" s="1">
        <v>3.8616063102903298E-7</v>
      </c>
      <c r="S134">
        <v>5.4715795668343001E-4</v>
      </c>
      <c r="T134">
        <v>-3.54613696151416E-3</v>
      </c>
      <c r="U134">
        <v>4.0343647622106902</v>
      </c>
      <c r="V134" s="1">
        <v>9.8290776063004108E-15</v>
      </c>
      <c r="W134">
        <v>1.7225005173967099E-4</v>
      </c>
      <c r="X134">
        <v>3.8541055074658601</v>
      </c>
      <c r="Y134">
        <v>9.9602473526449707E-3</v>
      </c>
      <c r="Z134">
        <v>1.1631393990518299</v>
      </c>
      <c r="AA134">
        <v>3.0491149285282501E-2</v>
      </c>
    </row>
    <row r="135" spans="1:27" x14ac:dyDescent="0.2">
      <c r="A135" t="b">
        <v>0</v>
      </c>
      <c r="B135">
        <v>1000</v>
      </c>
      <c r="C135">
        <v>0.48677533284681102</v>
      </c>
      <c r="D135" t="s">
        <v>52</v>
      </c>
      <c r="E135" t="b">
        <v>1</v>
      </c>
      <c r="F135" t="s">
        <v>53</v>
      </c>
      <c r="G135">
        <v>7.4999999999999997E-2</v>
      </c>
      <c r="H135">
        <v>0.5</v>
      </c>
      <c r="I135">
        <v>1E-4</v>
      </c>
      <c r="J135" t="b">
        <v>1</v>
      </c>
      <c r="K135">
        <v>4</v>
      </c>
      <c r="L135">
        <v>1500</v>
      </c>
      <c r="M135">
        <v>0.5</v>
      </c>
      <c r="N135">
        <v>0.154</v>
      </c>
      <c r="O135" t="s">
        <v>126</v>
      </c>
      <c r="P135" t="s">
        <v>129</v>
      </c>
      <c r="Q135">
        <v>-3.3743749434517097E-4</v>
      </c>
      <c r="R135" s="1">
        <v>4.61574270282465E-7</v>
      </c>
      <c r="S135">
        <v>1.09428062573655E-3</v>
      </c>
      <c r="T135">
        <v>-7.0913513386971199E-3</v>
      </c>
      <c r="U135">
        <v>4.0337054812289903</v>
      </c>
      <c r="V135" s="1">
        <v>9.8634181368664804E-15</v>
      </c>
      <c r="W135" s="1">
        <v>9.7107189326102705E-5</v>
      </c>
      <c r="X135">
        <v>3.8282060140065801</v>
      </c>
      <c r="Y135">
        <v>5.9732417714212201E-3</v>
      </c>
      <c r="Z135">
        <v>1.21543583098966</v>
      </c>
      <c r="AA135">
        <v>1.7914812053410101E-2</v>
      </c>
    </row>
    <row r="136" spans="1:27" x14ac:dyDescent="0.2">
      <c r="A136" t="b">
        <v>0</v>
      </c>
      <c r="B136">
        <v>1000</v>
      </c>
      <c r="C136">
        <v>0.48677533284681102</v>
      </c>
      <c r="D136" t="s">
        <v>52</v>
      </c>
      <c r="E136" t="b">
        <v>1</v>
      </c>
      <c r="F136" t="s">
        <v>53</v>
      </c>
      <c r="G136">
        <v>7.4999999999999997E-2</v>
      </c>
      <c r="H136">
        <v>0.5</v>
      </c>
      <c r="I136">
        <v>1E-4</v>
      </c>
      <c r="J136" t="b">
        <v>1</v>
      </c>
      <c r="K136">
        <v>4</v>
      </c>
      <c r="L136">
        <v>1500</v>
      </c>
      <c r="M136">
        <v>0.5</v>
      </c>
      <c r="N136">
        <v>0.154</v>
      </c>
      <c r="O136" t="s">
        <v>127</v>
      </c>
      <c r="P136" t="s">
        <v>128</v>
      </c>
      <c r="Q136" s="1">
        <v>-1E-10</v>
      </c>
      <c r="R136" s="1">
        <v>3.5857868831126199E-12</v>
      </c>
      <c r="S136" s="1">
        <v>1.6502653807696701E-18</v>
      </c>
      <c r="T136" s="1">
        <v>4.5783326990132404E-16</v>
      </c>
      <c r="U136">
        <v>4.0337055252001397</v>
      </c>
      <c r="V136">
        <v>0</v>
      </c>
      <c r="W136">
        <v>6.8474230731874405E-2</v>
      </c>
      <c r="X136">
        <v>2</v>
      </c>
      <c r="Y136">
        <v>4.0005290562268002E-3</v>
      </c>
      <c r="Z136">
        <v>2.5000000000000001E-4</v>
      </c>
      <c r="AA136">
        <v>4.7933082195496099E-3</v>
      </c>
    </row>
    <row r="137" spans="1:27" x14ac:dyDescent="0.2">
      <c r="A137" t="b">
        <v>0</v>
      </c>
      <c r="B137">
        <v>1000</v>
      </c>
      <c r="C137">
        <v>0.48677533284681102</v>
      </c>
      <c r="D137" t="s">
        <v>52</v>
      </c>
      <c r="E137" t="b">
        <v>1</v>
      </c>
      <c r="F137" t="s">
        <v>53</v>
      </c>
      <c r="G137">
        <v>7.4999999999999997E-2</v>
      </c>
      <c r="H137">
        <v>0.5</v>
      </c>
      <c r="I137">
        <v>1E-4</v>
      </c>
      <c r="J137" t="b">
        <v>1</v>
      </c>
      <c r="K137">
        <v>4</v>
      </c>
      <c r="L137">
        <v>1500</v>
      </c>
      <c r="M137">
        <v>0.5</v>
      </c>
      <c r="N137">
        <v>0.154</v>
      </c>
      <c r="O137" t="s">
        <v>127</v>
      </c>
      <c r="P137" t="s">
        <v>129</v>
      </c>
      <c r="Q137">
        <v>-1.6942931475478701E-4</v>
      </c>
      <c r="R137" s="1">
        <v>3.97573836158373E-7</v>
      </c>
      <c r="S137">
        <v>5.4712266905312099E-4</v>
      </c>
      <c r="T137">
        <v>-3.5452143771828601E-3</v>
      </c>
      <c r="U137">
        <v>4.0330462442184398</v>
      </c>
      <c r="V137" s="1">
        <v>9.8280245040914396E-15</v>
      </c>
      <c r="W137">
        <v>1.7773747269567299E-4</v>
      </c>
      <c r="X137">
        <v>3.8536474561525398</v>
      </c>
      <c r="Y137">
        <v>1.02408987070618E-2</v>
      </c>
      <c r="Z137">
        <v>1.1630364339835999</v>
      </c>
      <c r="AA137">
        <v>3.1395141512016098E-2</v>
      </c>
    </row>
    <row r="138" spans="1:27" x14ac:dyDescent="0.2">
      <c r="A138" t="b">
        <v>0</v>
      </c>
      <c r="B138">
        <v>1000</v>
      </c>
      <c r="C138">
        <v>0.48677533284681102</v>
      </c>
      <c r="D138" t="s">
        <v>52</v>
      </c>
      <c r="E138" t="b">
        <v>1</v>
      </c>
      <c r="F138" t="s">
        <v>53</v>
      </c>
      <c r="G138">
        <v>7.4999999999999997E-2</v>
      </c>
      <c r="H138">
        <v>0.5</v>
      </c>
      <c r="I138">
        <v>1E-4</v>
      </c>
      <c r="J138" t="b">
        <v>1</v>
      </c>
      <c r="K138">
        <v>4</v>
      </c>
      <c r="L138">
        <v>1500</v>
      </c>
      <c r="M138">
        <v>0.5</v>
      </c>
      <c r="N138">
        <v>0.154</v>
      </c>
      <c r="O138" t="s">
        <v>128</v>
      </c>
      <c r="P138" t="s">
        <v>129</v>
      </c>
      <c r="Q138">
        <v>-1.6942931368070399E-4</v>
      </c>
      <c r="R138" s="1">
        <v>3.9567018131456598E-7</v>
      </c>
      <c r="S138">
        <v>5.4712266905312099E-4</v>
      </c>
      <c r="T138">
        <v>-3.5452143771828501E-3</v>
      </c>
      <c r="U138">
        <v>4.0330462441555701</v>
      </c>
      <c r="V138" s="1">
        <v>9.8275828314360192E-15</v>
      </c>
      <c r="W138">
        <v>1.76874461515035E-4</v>
      </c>
      <c r="X138">
        <v>3.8536474169742401</v>
      </c>
      <c r="Y138">
        <v>1.01952024717852E-2</v>
      </c>
      <c r="Z138">
        <v>1.1630365138390699</v>
      </c>
      <c r="AA138">
        <v>3.1242580052559098E-2</v>
      </c>
    </row>
    <row r="139" spans="1:27" x14ac:dyDescent="0.2">
      <c r="A139" t="b">
        <v>0</v>
      </c>
      <c r="B139">
        <v>1000</v>
      </c>
      <c r="C139">
        <v>0.52139942755477198</v>
      </c>
      <c r="D139" t="s">
        <v>52</v>
      </c>
      <c r="E139" t="b">
        <v>1</v>
      </c>
      <c r="F139" t="s">
        <v>53</v>
      </c>
      <c r="G139">
        <v>7.4999999999999997E-2</v>
      </c>
      <c r="H139">
        <v>0.5</v>
      </c>
      <c r="I139">
        <v>1E-4</v>
      </c>
      <c r="J139" t="b">
        <v>1</v>
      </c>
      <c r="K139">
        <v>1</v>
      </c>
      <c r="L139">
        <v>1500</v>
      </c>
      <c r="M139">
        <v>0.8</v>
      </c>
      <c r="N139">
        <v>0.154</v>
      </c>
      <c r="O139" t="s">
        <v>130</v>
      </c>
      <c r="P139" t="s">
        <v>131</v>
      </c>
      <c r="Q139" s="1">
        <v>-2.2062523742237002E-5</v>
      </c>
      <c r="R139" s="1">
        <v>7.9512800544856201E-8</v>
      </c>
      <c r="S139" s="1">
        <v>6.6509921101982403E-5</v>
      </c>
      <c r="T139">
        <v>-1.3735641112594599E-4</v>
      </c>
      <c r="U139">
        <v>1.40322339616139</v>
      </c>
      <c r="V139" s="1">
        <v>1.6237100652826001E-15</v>
      </c>
      <c r="W139">
        <v>5.1078720275080504E-4</v>
      </c>
      <c r="X139">
        <v>2.4612034691337099</v>
      </c>
      <c r="Y139">
        <v>1.54776214321748E-2</v>
      </c>
      <c r="Z139">
        <v>2.9627179745093799E-2</v>
      </c>
      <c r="AA139">
        <v>2.1662700517246201E-2</v>
      </c>
    </row>
    <row r="140" spans="1:27" x14ac:dyDescent="0.2">
      <c r="A140" t="b">
        <v>0</v>
      </c>
      <c r="B140">
        <v>1000</v>
      </c>
      <c r="C140">
        <v>0.52139942755477198</v>
      </c>
      <c r="D140" t="s">
        <v>52</v>
      </c>
      <c r="E140" t="b">
        <v>1</v>
      </c>
      <c r="F140" t="s">
        <v>53</v>
      </c>
      <c r="G140">
        <v>7.4999999999999997E-2</v>
      </c>
      <c r="H140">
        <v>0.5</v>
      </c>
      <c r="I140">
        <v>1E-4</v>
      </c>
      <c r="J140" t="b">
        <v>1</v>
      </c>
      <c r="K140">
        <v>1</v>
      </c>
      <c r="L140">
        <v>1500</v>
      </c>
      <c r="M140">
        <v>0.8</v>
      </c>
      <c r="N140">
        <v>0.154</v>
      </c>
      <c r="O140" t="s">
        <v>130</v>
      </c>
      <c r="P140" t="s">
        <v>132</v>
      </c>
      <c r="Q140" s="1">
        <v>-2.2062523755019E-5</v>
      </c>
      <c r="R140" s="1">
        <v>7.8257523195955595E-8</v>
      </c>
      <c r="S140" s="1">
        <v>6.6509921101985304E-5</v>
      </c>
      <c r="T140">
        <v>-1.37356411126267E-4</v>
      </c>
      <c r="U140">
        <v>1.4032233961145899</v>
      </c>
      <c r="V140" s="1">
        <v>1.62104084312362E-15</v>
      </c>
      <c r="W140">
        <v>4.8689658913329901E-4</v>
      </c>
      <c r="X140">
        <v>2.4612034724737502</v>
      </c>
      <c r="Y140">
        <v>1.54794162502203E-2</v>
      </c>
      <c r="Z140">
        <v>2.9627176296001E-2</v>
      </c>
      <c r="AA140">
        <v>2.1311641877502299E-2</v>
      </c>
    </row>
    <row r="141" spans="1:27" x14ac:dyDescent="0.2">
      <c r="A141" t="b">
        <v>0</v>
      </c>
      <c r="B141">
        <v>1000</v>
      </c>
      <c r="C141">
        <v>0.52139942755477198</v>
      </c>
      <c r="D141" t="s">
        <v>52</v>
      </c>
      <c r="E141" t="b">
        <v>1</v>
      </c>
      <c r="F141" t="s">
        <v>53</v>
      </c>
      <c r="G141">
        <v>7.4999999999999997E-2</v>
      </c>
      <c r="H141">
        <v>0.5</v>
      </c>
      <c r="I141">
        <v>1E-4</v>
      </c>
      <c r="J141" t="b">
        <v>1</v>
      </c>
      <c r="K141">
        <v>1</v>
      </c>
      <c r="L141">
        <v>1500</v>
      </c>
      <c r="M141">
        <v>0.8</v>
      </c>
      <c r="N141">
        <v>0.154</v>
      </c>
      <c r="O141" t="s">
        <v>130</v>
      </c>
      <c r="P141" t="s">
        <v>133</v>
      </c>
      <c r="Q141" s="1">
        <v>-4.4123480774465301E-5</v>
      </c>
      <c r="R141" s="1">
        <v>1.5718784805022399E-7</v>
      </c>
      <c r="S141">
        <v>1.33014921621492E-4</v>
      </c>
      <c r="T141">
        <v>-2.74684175089742E-4</v>
      </c>
      <c r="U141">
        <v>1.4031499888163801</v>
      </c>
      <c r="V141" s="1">
        <v>1.62349875040312E-15</v>
      </c>
      <c r="W141">
        <v>4.98273880151491E-4</v>
      </c>
      <c r="X141">
        <v>2.4611289511847101</v>
      </c>
      <c r="Y141">
        <v>1.5458608070911701E-2</v>
      </c>
      <c r="Z141">
        <v>2.9616301619131102E-2</v>
      </c>
      <c r="AA141">
        <v>2.1406092695577202E-2</v>
      </c>
    </row>
    <row r="142" spans="1:27" x14ac:dyDescent="0.2">
      <c r="A142" t="b">
        <v>0</v>
      </c>
      <c r="B142">
        <v>1000</v>
      </c>
      <c r="C142">
        <v>0.52139942755477198</v>
      </c>
      <c r="D142" t="s">
        <v>52</v>
      </c>
      <c r="E142" t="b">
        <v>1</v>
      </c>
      <c r="F142" t="s">
        <v>53</v>
      </c>
      <c r="G142">
        <v>7.4999999999999997E-2</v>
      </c>
      <c r="H142">
        <v>0.5</v>
      </c>
      <c r="I142">
        <v>1E-4</v>
      </c>
      <c r="J142" t="b">
        <v>1</v>
      </c>
      <c r="K142">
        <v>1</v>
      </c>
      <c r="L142">
        <v>1500</v>
      </c>
      <c r="M142">
        <v>0.8</v>
      </c>
      <c r="N142">
        <v>0.154</v>
      </c>
      <c r="O142" t="s">
        <v>131</v>
      </c>
      <c r="P142" t="s">
        <v>132</v>
      </c>
      <c r="Q142" s="1">
        <v>-1E-10</v>
      </c>
      <c r="R142" s="1">
        <v>3.5857868758218298E-12</v>
      </c>
      <c r="S142" s="1">
        <v>1.5796991401084999E-17</v>
      </c>
      <c r="T142" s="1">
        <v>-2.5229587614352802E-16</v>
      </c>
      <c r="U142">
        <v>1.4031499815708199</v>
      </c>
      <c r="V142">
        <v>0</v>
      </c>
      <c r="W142">
        <v>6.8474230592649399E-2</v>
      </c>
      <c r="X142">
        <v>2</v>
      </c>
      <c r="Y142">
        <v>4.0005290480927399E-3</v>
      </c>
      <c r="Z142">
        <v>2.5000000000000001E-4</v>
      </c>
      <c r="AA142">
        <v>4.7933082098036298E-3</v>
      </c>
    </row>
    <row r="143" spans="1:27" x14ac:dyDescent="0.2">
      <c r="A143" t="b">
        <v>0</v>
      </c>
      <c r="B143">
        <v>1000</v>
      </c>
      <c r="C143">
        <v>0.52139942755477198</v>
      </c>
      <c r="D143" t="s">
        <v>52</v>
      </c>
      <c r="E143" t="b">
        <v>1</v>
      </c>
      <c r="F143" t="s">
        <v>53</v>
      </c>
      <c r="G143">
        <v>7.4999999999999997E-2</v>
      </c>
      <c r="H143">
        <v>0.5</v>
      </c>
      <c r="I143">
        <v>1E-4</v>
      </c>
      <c r="J143" t="b">
        <v>1</v>
      </c>
      <c r="K143">
        <v>1</v>
      </c>
      <c r="L143">
        <v>1500</v>
      </c>
      <c r="M143">
        <v>0.8</v>
      </c>
      <c r="N143">
        <v>0.154</v>
      </c>
      <c r="O143" t="s">
        <v>131</v>
      </c>
      <c r="P143" t="s">
        <v>133</v>
      </c>
      <c r="Q143" s="1">
        <v>-2.20609570380726E-5</v>
      </c>
      <c r="R143" s="1">
        <v>8.1009781996642704E-8</v>
      </c>
      <c r="S143" s="1">
        <v>6.6505000519513998E-5</v>
      </c>
      <c r="T143">
        <v>-1.3732776396381901E-4</v>
      </c>
      <c r="U143">
        <v>1.4030765742726099</v>
      </c>
      <c r="V143" s="1">
        <v>1.6221787385968901E-15</v>
      </c>
      <c r="W143">
        <v>5.0886997272484805E-4</v>
      </c>
      <c r="X143">
        <v>2.4610544260625802</v>
      </c>
      <c r="Y143">
        <v>1.56145886117245E-2</v>
      </c>
      <c r="Z143">
        <v>2.96054221246441E-2</v>
      </c>
      <c r="AA143">
        <v>2.2067797899807701E-2</v>
      </c>
    </row>
    <row r="144" spans="1:27" x14ac:dyDescent="0.2">
      <c r="A144" t="b">
        <v>0</v>
      </c>
      <c r="B144">
        <v>1000</v>
      </c>
      <c r="C144">
        <v>0.52139942755477198</v>
      </c>
      <c r="D144" t="s">
        <v>52</v>
      </c>
      <c r="E144" t="b">
        <v>1</v>
      </c>
      <c r="F144" t="s">
        <v>53</v>
      </c>
      <c r="G144">
        <v>7.4999999999999997E-2</v>
      </c>
      <c r="H144">
        <v>0.5</v>
      </c>
      <c r="I144">
        <v>1E-4</v>
      </c>
      <c r="J144" t="b">
        <v>1</v>
      </c>
      <c r="K144">
        <v>1</v>
      </c>
      <c r="L144">
        <v>1500</v>
      </c>
      <c r="M144">
        <v>0.8</v>
      </c>
      <c r="N144">
        <v>0.154</v>
      </c>
      <c r="O144" t="s">
        <v>132</v>
      </c>
      <c r="P144" t="s">
        <v>133</v>
      </c>
      <c r="Q144" s="1">
        <v>-2.2060957046217801E-5</v>
      </c>
      <c r="R144" s="1">
        <v>7.95300111168195E-8</v>
      </c>
      <c r="S144" s="1">
        <v>6.6505000519511898E-5</v>
      </c>
      <c r="T144">
        <v>-1.3732776396346399E-4</v>
      </c>
      <c r="U144">
        <v>1.40307657422581</v>
      </c>
      <c r="V144" s="1">
        <v>1.62046431887305E-15</v>
      </c>
      <c r="W144">
        <v>5.0016734578397495E-4</v>
      </c>
      <c r="X144">
        <v>2.4610544282213</v>
      </c>
      <c r="Y144">
        <v>1.5527059892793099E-2</v>
      </c>
      <c r="Z144">
        <v>2.96054198183015E-2</v>
      </c>
      <c r="AA144">
        <v>2.16627873652812E-2</v>
      </c>
    </row>
    <row r="145" spans="1:27" x14ac:dyDescent="0.2">
      <c r="A145" t="b">
        <v>0</v>
      </c>
      <c r="B145">
        <v>1000</v>
      </c>
      <c r="C145">
        <v>0.61680646013290097</v>
      </c>
      <c r="D145" t="s">
        <v>52</v>
      </c>
      <c r="E145" t="b">
        <v>1</v>
      </c>
      <c r="F145" t="s">
        <v>53</v>
      </c>
      <c r="G145">
        <v>7.4999999999999997E-2</v>
      </c>
      <c r="H145">
        <v>0.5</v>
      </c>
      <c r="I145">
        <v>1E-4</v>
      </c>
      <c r="J145" t="b">
        <v>1</v>
      </c>
      <c r="K145">
        <v>1</v>
      </c>
      <c r="L145">
        <v>1500</v>
      </c>
      <c r="M145">
        <v>1</v>
      </c>
      <c r="N145">
        <v>0.154</v>
      </c>
      <c r="O145" t="s">
        <v>134</v>
      </c>
      <c r="P145" t="s">
        <v>135</v>
      </c>
      <c r="Q145" s="1">
        <v>-2.4753077859638501E-5</v>
      </c>
      <c r="R145" s="1">
        <v>1.4121589056567101E-7</v>
      </c>
      <c r="S145" s="1">
        <v>7.5216592574835805E-5</v>
      </c>
      <c r="T145">
        <v>-1.82126324958158E-4</v>
      </c>
      <c r="U145">
        <v>1.4903470334117199</v>
      </c>
      <c r="V145" s="1">
        <v>4.1517476498932404E-15</v>
      </c>
      <c r="W145">
        <v>8.7677784780694902E-4</v>
      </c>
      <c r="X145">
        <v>2.6183875316684402</v>
      </c>
      <c r="Y145">
        <v>1.9771602956412799E-2</v>
      </c>
      <c r="Z145">
        <v>8.9143093026168796E-2</v>
      </c>
      <c r="AA145">
        <v>3.8508462917975703E-2</v>
      </c>
    </row>
    <row r="146" spans="1:27" x14ac:dyDescent="0.2">
      <c r="A146" t="b">
        <v>0</v>
      </c>
      <c r="B146">
        <v>1000</v>
      </c>
      <c r="C146">
        <v>0.61680646013290097</v>
      </c>
      <c r="D146" t="s">
        <v>52</v>
      </c>
      <c r="E146" t="b">
        <v>1</v>
      </c>
      <c r="F146" t="s">
        <v>53</v>
      </c>
      <c r="G146">
        <v>7.4999999999999997E-2</v>
      </c>
      <c r="H146">
        <v>0.5</v>
      </c>
      <c r="I146">
        <v>1E-4</v>
      </c>
      <c r="J146" t="b">
        <v>1</v>
      </c>
      <c r="K146">
        <v>1</v>
      </c>
      <c r="L146">
        <v>1500</v>
      </c>
      <c r="M146">
        <v>1</v>
      </c>
      <c r="N146">
        <v>0.154</v>
      </c>
      <c r="O146" t="s">
        <v>134</v>
      </c>
      <c r="P146" t="s">
        <v>136</v>
      </c>
      <c r="Q146" s="1">
        <v>-2.4753077216368399E-5</v>
      </c>
      <c r="R146" s="1">
        <v>1.3757933335444701E-7</v>
      </c>
      <c r="S146" s="1">
        <v>7.5216592574842907E-5</v>
      </c>
      <c r="T146">
        <v>-1.8212632495834001E-4</v>
      </c>
      <c r="U146">
        <v>1.49034703334802</v>
      </c>
      <c r="V146" s="1">
        <v>4.1236101369952998E-15</v>
      </c>
      <c r="W146">
        <v>8.6226531391852504E-4</v>
      </c>
      <c r="X146">
        <v>2.6183873777246101</v>
      </c>
      <c r="Y146">
        <v>1.94607306978117E-2</v>
      </c>
      <c r="Z146">
        <v>8.9143270220704396E-2</v>
      </c>
      <c r="AA146">
        <v>3.7517106346273497E-2</v>
      </c>
    </row>
    <row r="147" spans="1:27" x14ac:dyDescent="0.2">
      <c r="A147" t="b">
        <v>0</v>
      </c>
      <c r="B147">
        <v>1000</v>
      </c>
      <c r="C147">
        <v>0.61680646013290097</v>
      </c>
      <c r="D147" t="s">
        <v>52</v>
      </c>
      <c r="E147" t="b">
        <v>1</v>
      </c>
      <c r="F147" t="s">
        <v>53</v>
      </c>
      <c r="G147">
        <v>7.4999999999999997E-2</v>
      </c>
      <c r="H147">
        <v>0.5</v>
      </c>
      <c r="I147">
        <v>1E-4</v>
      </c>
      <c r="J147" t="b">
        <v>1</v>
      </c>
      <c r="K147">
        <v>1</v>
      </c>
      <c r="L147">
        <v>1500</v>
      </c>
      <c r="M147">
        <v>1</v>
      </c>
      <c r="N147">
        <v>0.154</v>
      </c>
      <c r="O147" t="s">
        <v>134</v>
      </c>
      <c r="P147" t="s">
        <v>137</v>
      </c>
      <c r="Q147" s="1">
        <v>-4.9504009225312597E-5</v>
      </c>
      <c r="R147" s="1">
        <v>2.7823201841938601E-7</v>
      </c>
      <c r="S147">
        <v>1.5042648594377201E-4</v>
      </c>
      <c r="T147">
        <v>-3.64207303486867E-4</v>
      </c>
      <c r="U147">
        <v>1.49025539190153</v>
      </c>
      <c r="V147" s="1">
        <v>4.0964409886024601E-15</v>
      </c>
      <c r="W147">
        <v>8.6738358488927796E-4</v>
      </c>
      <c r="X147">
        <v>2.6182889577114699</v>
      </c>
      <c r="Y147">
        <v>1.9601470442187099E-2</v>
      </c>
      <c r="Z147">
        <v>8.9128392107470394E-2</v>
      </c>
      <c r="AA147">
        <v>3.7935983373997402E-2</v>
      </c>
    </row>
    <row r="148" spans="1:27" x14ac:dyDescent="0.2">
      <c r="A148" t="b">
        <v>0</v>
      </c>
      <c r="B148">
        <v>1000</v>
      </c>
      <c r="C148">
        <v>0.61680646013290097</v>
      </c>
      <c r="D148" t="s">
        <v>52</v>
      </c>
      <c r="E148" t="b">
        <v>1</v>
      </c>
      <c r="F148" t="s">
        <v>53</v>
      </c>
      <c r="G148">
        <v>7.4999999999999997E-2</v>
      </c>
      <c r="H148">
        <v>0.5</v>
      </c>
      <c r="I148">
        <v>1E-4</v>
      </c>
      <c r="J148" t="b">
        <v>1</v>
      </c>
      <c r="K148">
        <v>1</v>
      </c>
      <c r="L148">
        <v>1500</v>
      </c>
      <c r="M148">
        <v>1</v>
      </c>
      <c r="N148">
        <v>0.154</v>
      </c>
      <c r="O148" t="s">
        <v>135</v>
      </c>
      <c r="P148" t="s">
        <v>136</v>
      </c>
      <c r="Q148" s="1">
        <v>-1E-10</v>
      </c>
      <c r="R148" s="1">
        <v>3.5857869338625202E-12</v>
      </c>
      <c r="S148" s="1">
        <v>2.7258831714761599E-18</v>
      </c>
      <c r="T148" s="1">
        <v>1.8463719096329301E-16</v>
      </c>
      <c r="U148">
        <v>1.4902553804249501</v>
      </c>
      <c r="V148">
        <v>0</v>
      </c>
      <c r="W148">
        <v>6.8474231700995203E-2</v>
      </c>
      <c r="X148">
        <v>2</v>
      </c>
      <c r="Y148">
        <v>4.0005291128465898E-3</v>
      </c>
      <c r="Z148">
        <v>2.5000000000000001E-4</v>
      </c>
      <c r="AA148">
        <v>4.7933082873896603E-3</v>
      </c>
    </row>
    <row r="149" spans="1:27" x14ac:dyDescent="0.2">
      <c r="A149" t="b">
        <v>0</v>
      </c>
      <c r="B149">
        <v>1000</v>
      </c>
      <c r="C149">
        <v>0.61680646013290097</v>
      </c>
      <c r="D149" t="s">
        <v>52</v>
      </c>
      <c r="E149" t="b">
        <v>1</v>
      </c>
      <c r="F149" t="s">
        <v>53</v>
      </c>
      <c r="G149">
        <v>7.4999999999999997E-2</v>
      </c>
      <c r="H149">
        <v>0.5</v>
      </c>
      <c r="I149">
        <v>1E-4</v>
      </c>
      <c r="J149" t="b">
        <v>1</v>
      </c>
      <c r="K149">
        <v>1</v>
      </c>
      <c r="L149">
        <v>1500</v>
      </c>
      <c r="M149">
        <v>1</v>
      </c>
      <c r="N149">
        <v>0.154</v>
      </c>
      <c r="O149" t="s">
        <v>135</v>
      </c>
      <c r="P149" t="s">
        <v>137</v>
      </c>
      <c r="Q149" s="1">
        <v>-2.47509314640335E-5</v>
      </c>
      <c r="R149" s="1">
        <v>1.3718062032297201E-7</v>
      </c>
      <c r="S149" s="1">
        <v>7.5209893368940407E-5</v>
      </c>
      <c r="T149">
        <v>-1.8208097852886101E-4</v>
      </c>
      <c r="U149">
        <v>1.4901637389784601</v>
      </c>
      <c r="V149" s="1">
        <v>4.1534659024111099E-15</v>
      </c>
      <c r="W149">
        <v>8.7238785732344701E-4</v>
      </c>
      <c r="X149">
        <v>2.6181903996479701</v>
      </c>
      <c r="Y149">
        <v>1.9320085609687E-2</v>
      </c>
      <c r="Z149">
        <v>8.9113659772700193E-2</v>
      </c>
      <c r="AA149">
        <v>3.74163742163423E-2</v>
      </c>
    </row>
    <row r="150" spans="1:27" x14ac:dyDescent="0.2">
      <c r="A150" t="b">
        <v>0</v>
      </c>
      <c r="B150">
        <v>1000</v>
      </c>
      <c r="C150">
        <v>0.61680646013290097</v>
      </c>
      <c r="D150" t="s">
        <v>52</v>
      </c>
      <c r="E150" t="b">
        <v>1</v>
      </c>
      <c r="F150" t="s">
        <v>53</v>
      </c>
      <c r="G150">
        <v>7.4999999999999997E-2</v>
      </c>
      <c r="H150">
        <v>0.5</v>
      </c>
      <c r="I150">
        <v>1E-4</v>
      </c>
      <c r="J150" t="b">
        <v>1</v>
      </c>
      <c r="K150">
        <v>1</v>
      </c>
      <c r="L150">
        <v>1500</v>
      </c>
      <c r="M150">
        <v>1</v>
      </c>
      <c r="N150">
        <v>0.154</v>
      </c>
      <c r="O150" t="s">
        <v>136</v>
      </c>
      <c r="P150" t="s">
        <v>137</v>
      </c>
      <c r="Q150" s="1">
        <v>-2.4750931311779701E-5</v>
      </c>
      <c r="R150" s="1">
        <v>1.3709190996713201E-7</v>
      </c>
      <c r="S150" s="1">
        <v>7.5209893368935094E-5</v>
      </c>
      <c r="T150">
        <v>-1.8208097852882499E-4</v>
      </c>
      <c r="U150">
        <v>1.4901637389147599</v>
      </c>
      <c r="V150" s="1">
        <v>4.12657748455147E-15</v>
      </c>
      <c r="W150">
        <v>8.5037688849426603E-4</v>
      </c>
      <c r="X150">
        <v>2.6181903627878</v>
      </c>
      <c r="Y150">
        <v>1.9511027705876201E-2</v>
      </c>
      <c r="Z150">
        <v>8.9113702270275999E-2</v>
      </c>
      <c r="AA150">
        <v>3.7368481946284803E-2</v>
      </c>
    </row>
    <row r="151" spans="1:27" x14ac:dyDescent="0.2">
      <c r="A151" t="b">
        <v>0</v>
      </c>
      <c r="B151">
        <v>1000</v>
      </c>
      <c r="C151">
        <v>0.65191967266997697</v>
      </c>
      <c r="D151" t="s">
        <v>52</v>
      </c>
      <c r="E151" t="b">
        <v>1</v>
      </c>
      <c r="F151" t="s">
        <v>53</v>
      </c>
      <c r="G151">
        <v>7.4999999999999997E-2</v>
      </c>
      <c r="H151">
        <v>0.5</v>
      </c>
      <c r="I151">
        <v>1E-4</v>
      </c>
      <c r="J151" t="b">
        <v>1</v>
      </c>
      <c r="K151">
        <v>2</v>
      </c>
      <c r="L151">
        <v>1500</v>
      </c>
      <c r="M151">
        <v>0.7</v>
      </c>
      <c r="N151">
        <v>0.154</v>
      </c>
      <c r="O151" t="s">
        <v>138</v>
      </c>
      <c r="P151" t="s">
        <v>139</v>
      </c>
      <c r="Q151" s="1">
        <v>-5.0834826367845397E-5</v>
      </c>
      <c r="R151" s="1">
        <v>3.7515157621286898E-7</v>
      </c>
      <c r="S151">
        <v>1.56721987815447E-4</v>
      </c>
      <c r="T151">
        <v>-4.81286147019013E-4</v>
      </c>
      <c r="U151">
        <v>2.1536129496750198</v>
      </c>
      <c r="V151" s="1">
        <v>3.9360385857295498E-15</v>
      </c>
      <c r="W151">
        <v>1.01883070044991E-3</v>
      </c>
      <c r="X151">
        <v>2.86198223687482</v>
      </c>
      <c r="Y151">
        <v>2.3873611114873201E-2</v>
      </c>
      <c r="Z151">
        <v>0.229561699507002</v>
      </c>
      <c r="AA151">
        <v>5.8624078882090799E-2</v>
      </c>
    </row>
    <row r="152" spans="1:27" x14ac:dyDescent="0.2">
      <c r="A152" t="b">
        <v>0</v>
      </c>
      <c r="B152">
        <v>1000</v>
      </c>
      <c r="C152">
        <v>0.65191967266997697</v>
      </c>
      <c r="D152" t="s">
        <v>52</v>
      </c>
      <c r="E152" t="b">
        <v>1</v>
      </c>
      <c r="F152" t="s">
        <v>53</v>
      </c>
      <c r="G152">
        <v>7.4999999999999997E-2</v>
      </c>
      <c r="H152">
        <v>0.5</v>
      </c>
      <c r="I152">
        <v>1E-4</v>
      </c>
      <c r="J152" t="b">
        <v>1</v>
      </c>
      <c r="K152">
        <v>2</v>
      </c>
      <c r="L152">
        <v>1500</v>
      </c>
      <c r="M152">
        <v>0.7</v>
      </c>
      <c r="N152">
        <v>0.154</v>
      </c>
      <c r="O152" t="s">
        <v>138</v>
      </c>
      <c r="P152" t="s">
        <v>140</v>
      </c>
      <c r="Q152" s="1">
        <v>-5.08348259715957E-5</v>
      </c>
      <c r="R152" s="1">
        <v>3.67450882304794E-7</v>
      </c>
      <c r="S152">
        <v>1.5672198781545001E-4</v>
      </c>
      <c r="T152">
        <v>-4.8128614701916999E-4</v>
      </c>
      <c r="U152">
        <v>2.1536129495996299</v>
      </c>
      <c r="V152" s="1">
        <v>3.9339025926396396E-15</v>
      </c>
      <c r="W152">
        <v>1.00551446630045E-3</v>
      </c>
      <c r="X152">
        <v>2.86198218633707</v>
      </c>
      <c r="Y152">
        <v>2.3396381283761598E-2</v>
      </c>
      <c r="Z152">
        <v>0.229561765655137</v>
      </c>
      <c r="AA152">
        <v>5.7427285620551403E-2</v>
      </c>
    </row>
    <row r="153" spans="1:27" x14ac:dyDescent="0.2">
      <c r="A153" t="b">
        <v>0</v>
      </c>
      <c r="B153">
        <v>1000</v>
      </c>
      <c r="C153">
        <v>0.65191967266997697</v>
      </c>
      <c r="D153" t="s">
        <v>52</v>
      </c>
      <c r="E153" t="b">
        <v>1</v>
      </c>
      <c r="F153" t="s">
        <v>53</v>
      </c>
      <c r="G153">
        <v>7.4999999999999997E-2</v>
      </c>
      <c r="H153">
        <v>0.5</v>
      </c>
      <c r="I153">
        <v>1E-4</v>
      </c>
      <c r="J153" t="b">
        <v>1</v>
      </c>
      <c r="K153">
        <v>2</v>
      </c>
      <c r="L153">
        <v>1500</v>
      </c>
      <c r="M153">
        <v>0.7</v>
      </c>
      <c r="N153">
        <v>0.154</v>
      </c>
      <c r="O153" t="s">
        <v>138</v>
      </c>
      <c r="P153" t="s">
        <v>141</v>
      </c>
      <c r="Q153">
        <v>-1.0161816908174299E-4</v>
      </c>
      <c r="R153" s="1">
        <v>7.0742519753866904E-7</v>
      </c>
      <c r="S153">
        <v>3.1343111080704797E-4</v>
      </c>
      <c r="T153">
        <v>-9.6245470026024005E-4</v>
      </c>
      <c r="U153">
        <v>2.1534453557185702</v>
      </c>
      <c r="V153" s="1">
        <v>4.2554967637119302E-15</v>
      </c>
      <c r="W153">
        <v>9.5607033482645904E-4</v>
      </c>
      <c r="X153">
        <v>2.8600388375432302</v>
      </c>
      <c r="Y153">
        <v>2.2477159873630401E-2</v>
      </c>
      <c r="Z153">
        <v>0.23185826742200299</v>
      </c>
      <c r="AA153">
        <v>5.5207001914292599E-2</v>
      </c>
    </row>
    <row r="154" spans="1:27" x14ac:dyDescent="0.2">
      <c r="A154" t="b">
        <v>0</v>
      </c>
      <c r="B154">
        <v>1000</v>
      </c>
      <c r="C154">
        <v>0.65191967266997697</v>
      </c>
      <c r="D154" t="s">
        <v>52</v>
      </c>
      <c r="E154" t="b">
        <v>1</v>
      </c>
      <c r="F154" t="s">
        <v>53</v>
      </c>
      <c r="G154">
        <v>7.4999999999999997E-2</v>
      </c>
      <c r="H154">
        <v>0.5</v>
      </c>
      <c r="I154">
        <v>1E-4</v>
      </c>
      <c r="J154" t="b">
        <v>1</v>
      </c>
      <c r="K154">
        <v>2</v>
      </c>
      <c r="L154">
        <v>1500</v>
      </c>
      <c r="M154">
        <v>0.7</v>
      </c>
      <c r="N154">
        <v>0.154</v>
      </c>
      <c r="O154" t="s">
        <v>139</v>
      </c>
      <c r="P154" t="s">
        <v>140</v>
      </c>
      <c r="Q154" s="1">
        <v>-1E-10</v>
      </c>
      <c r="R154" s="1">
        <v>3.5857870180909801E-12</v>
      </c>
      <c r="S154" s="1">
        <v>3.9959792642879901E-19</v>
      </c>
      <c r="T154" s="1">
        <v>-5.3341935735039099E-17</v>
      </c>
      <c r="U154">
        <v>2.1534453407892</v>
      </c>
      <c r="V154">
        <v>0</v>
      </c>
      <c r="W154">
        <v>6.8474233309422802E-2</v>
      </c>
      <c r="X154">
        <v>2</v>
      </c>
      <c r="Y154">
        <v>4.0005292068171399E-3</v>
      </c>
      <c r="Z154">
        <v>2.5000000000000001E-4</v>
      </c>
      <c r="AA154">
        <v>4.7933083999822197E-3</v>
      </c>
    </row>
    <row r="155" spans="1:27" x14ac:dyDescent="0.2">
      <c r="A155" t="b">
        <v>0</v>
      </c>
      <c r="B155">
        <v>1000</v>
      </c>
      <c r="C155">
        <v>0.65191967266997697</v>
      </c>
      <c r="D155" t="s">
        <v>52</v>
      </c>
      <c r="E155" t="b">
        <v>1</v>
      </c>
      <c r="F155" t="s">
        <v>53</v>
      </c>
      <c r="G155">
        <v>7.4999999999999997E-2</v>
      </c>
      <c r="H155">
        <v>0.5</v>
      </c>
      <c r="I155">
        <v>1E-4</v>
      </c>
      <c r="J155" t="b">
        <v>1</v>
      </c>
      <c r="K155">
        <v>2</v>
      </c>
      <c r="L155">
        <v>1500</v>
      </c>
      <c r="M155">
        <v>0.7</v>
      </c>
      <c r="N155">
        <v>0.154</v>
      </c>
      <c r="O155" t="s">
        <v>139</v>
      </c>
      <c r="P155" t="s">
        <v>141</v>
      </c>
      <c r="Q155" s="1">
        <v>-5.0830690874174201E-5</v>
      </c>
      <c r="R155" s="1">
        <v>3.6868841982679001E-7</v>
      </c>
      <c r="S155">
        <v>1.56709122991601E-4</v>
      </c>
      <c r="T155">
        <v>-4.8116855324145398E-4</v>
      </c>
      <c r="U155">
        <v>2.1532777469081399</v>
      </c>
      <c r="V155" s="1">
        <v>3.9237027094829298E-15</v>
      </c>
      <c r="W155">
        <v>1.00523184434135E-3</v>
      </c>
      <c r="X155">
        <v>2.8617502215472999</v>
      </c>
      <c r="Y155">
        <v>2.3495427103862099E-2</v>
      </c>
      <c r="Z155">
        <v>0.22952104526773201</v>
      </c>
      <c r="AA155">
        <v>5.7615346475040401E-2</v>
      </c>
    </row>
    <row r="156" spans="1:27" x14ac:dyDescent="0.2">
      <c r="A156" t="b">
        <v>0</v>
      </c>
      <c r="B156">
        <v>1000</v>
      </c>
      <c r="C156">
        <v>0.65191967266997697</v>
      </c>
      <c r="D156" t="s">
        <v>52</v>
      </c>
      <c r="E156" t="b">
        <v>1</v>
      </c>
      <c r="F156" t="s">
        <v>53</v>
      </c>
      <c r="G156">
        <v>7.4999999999999997E-2</v>
      </c>
      <c r="H156">
        <v>0.5</v>
      </c>
      <c r="I156">
        <v>1E-4</v>
      </c>
      <c r="J156" t="b">
        <v>1</v>
      </c>
      <c r="K156">
        <v>2</v>
      </c>
      <c r="L156">
        <v>1500</v>
      </c>
      <c r="M156">
        <v>0.7</v>
      </c>
      <c r="N156">
        <v>0.154</v>
      </c>
      <c r="O156" t="s">
        <v>140</v>
      </c>
      <c r="P156" t="s">
        <v>141</v>
      </c>
      <c r="Q156" s="1">
        <v>-5.0830693127122097E-5</v>
      </c>
      <c r="R156" s="1">
        <v>3.6634407931571799E-7</v>
      </c>
      <c r="S156">
        <v>1.567091229916E-4</v>
      </c>
      <c r="T156">
        <v>-4.8116855324140399E-4</v>
      </c>
      <c r="U156">
        <v>2.15327774683275</v>
      </c>
      <c r="V156" s="1">
        <v>3.94009135365465E-15</v>
      </c>
      <c r="W156">
        <v>9.9430232431945808E-4</v>
      </c>
      <c r="X156">
        <v>2.8617504776583398</v>
      </c>
      <c r="Y156">
        <v>2.34772802870396E-2</v>
      </c>
      <c r="Z156">
        <v>0.22952070609172701</v>
      </c>
      <c r="AA156">
        <v>5.7228004424722499E-2</v>
      </c>
    </row>
    <row r="157" spans="1:27" x14ac:dyDescent="0.2">
      <c r="A157" t="b">
        <v>0</v>
      </c>
      <c r="B157">
        <v>1000</v>
      </c>
      <c r="C157">
        <v>0.68148546598552695</v>
      </c>
      <c r="D157" t="s">
        <v>52</v>
      </c>
      <c r="E157" t="b">
        <v>1</v>
      </c>
      <c r="F157" t="s">
        <v>53</v>
      </c>
      <c r="G157">
        <v>7.4999999999999997E-2</v>
      </c>
      <c r="H157">
        <v>0.5</v>
      </c>
      <c r="I157">
        <v>1E-4</v>
      </c>
      <c r="J157" t="b">
        <v>1</v>
      </c>
      <c r="K157">
        <v>4</v>
      </c>
      <c r="L157">
        <v>1500</v>
      </c>
      <c r="M157">
        <v>0.7</v>
      </c>
      <c r="N157">
        <v>0.154</v>
      </c>
      <c r="O157" t="s">
        <v>142</v>
      </c>
      <c r="P157" t="s">
        <v>143</v>
      </c>
      <c r="Q157">
        <v>-1.6836938832320901E-4</v>
      </c>
      <c r="R157" s="1">
        <v>2.34615882344108E-6</v>
      </c>
      <c r="S157">
        <v>5.5312610786821504E-4</v>
      </c>
      <c r="T157">
        <v>-3.8250093560612199E-3</v>
      </c>
      <c r="U157">
        <v>4.0482289187913301</v>
      </c>
      <c r="V157" s="1">
        <v>9.9851417916466202E-15</v>
      </c>
      <c r="W157">
        <v>8.0373998008016496E-4</v>
      </c>
      <c r="X157">
        <v>3.88126369830551</v>
      </c>
      <c r="Y157">
        <v>6.2575193733742193E-2</v>
      </c>
      <c r="Z157">
        <v>1.4689980474650901</v>
      </c>
      <c r="AA157">
        <v>0.182997741503172</v>
      </c>
    </row>
    <row r="158" spans="1:27" x14ac:dyDescent="0.2">
      <c r="A158" t="b">
        <v>0</v>
      </c>
      <c r="B158">
        <v>1000</v>
      </c>
      <c r="C158">
        <v>0.68148546598552695</v>
      </c>
      <c r="D158" t="s">
        <v>52</v>
      </c>
      <c r="E158" t="b">
        <v>1</v>
      </c>
      <c r="F158" t="s">
        <v>53</v>
      </c>
      <c r="G158">
        <v>7.4999999999999997E-2</v>
      </c>
      <c r="H158">
        <v>0.5</v>
      </c>
      <c r="I158">
        <v>1E-4</v>
      </c>
      <c r="J158" t="b">
        <v>1</v>
      </c>
      <c r="K158">
        <v>4</v>
      </c>
      <c r="L158">
        <v>1500</v>
      </c>
      <c r="M158">
        <v>0.7</v>
      </c>
      <c r="N158">
        <v>0.154</v>
      </c>
      <c r="O158" t="s">
        <v>142</v>
      </c>
      <c r="P158" t="s">
        <v>144</v>
      </c>
      <c r="Q158">
        <v>-1.6836938256480899E-4</v>
      </c>
      <c r="R158" s="1">
        <v>2.4428076888224898E-6</v>
      </c>
      <c r="S158">
        <v>5.5312610786821602E-4</v>
      </c>
      <c r="T158">
        <v>-3.8250093560612299E-3</v>
      </c>
      <c r="U158">
        <v>4.0482289188237699</v>
      </c>
      <c r="V158" s="1">
        <v>9.9851072839956901E-15</v>
      </c>
      <c r="W158">
        <v>8.3575921984817205E-4</v>
      </c>
      <c r="X158">
        <v>3.8812635011774002</v>
      </c>
      <c r="Y158">
        <v>6.5170818879092401E-2</v>
      </c>
      <c r="Z158">
        <v>1.4689984674754499</v>
      </c>
      <c r="AA158">
        <v>0.19052665925968701</v>
      </c>
    </row>
    <row r="159" spans="1:27" x14ac:dyDescent="0.2">
      <c r="A159" t="b">
        <v>0</v>
      </c>
      <c r="B159">
        <v>1000</v>
      </c>
      <c r="C159">
        <v>0.68148546598552695</v>
      </c>
      <c r="D159" t="s">
        <v>52</v>
      </c>
      <c r="E159" t="b">
        <v>1</v>
      </c>
      <c r="F159" t="s">
        <v>53</v>
      </c>
      <c r="G159">
        <v>7.4999999999999997E-2</v>
      </c>
      <c r="H159">
        <v>0.5</v>
      </c>
      <c r="I159">
        <v>1E-4</v>
      </c>
      <c r="J159" t="b">
        <v>1</v>
      </c>
      <c r="K159">
        <v>4</v>
      </c>
      <c r="L159">
        <v>1500</v>
      </c>
      <c r="M159">
        <v>0.7</v>
      </c>
      <c r="N159">
        <v>0.154</v>
      </c>
      <c r="O159" t="s">
        <v>142</v>
      </c>
      <c r="P159" t="s">
        <v>145</v>
      </c>
      <c r="Q159">
        <v>-3.3672397940557702E-4</v>
      </c>
      <c r="R159" s="1">
        <v>4.6115339334248997E-6</v>
      </c>
      <c r="S159">
        <v>1.1062031932118101E-3</v>
      </c>
      <c r="T159">
        <v>-7.6487569352311404E-3</v>
      </c>
      <c r="U159">
        <v>4.0475202594877997</v>
      </c>
      <c r="V159" s="1">
        <v>9.9852064515910996E-15</v>
      </c>
      <c r="W159">
        <v>7.8944998540038402E-4</v>
      </c>
      <c r="X159">
        <v>3.8810237162755001</v>
      </c>
      <c r="Y159">
        <v>6.1509082587979401E-2</v>
      </c>
      <c r="Z159">
        <v>1.46880092830731</v>
      </c>
      <c r="AA159">
        <v>0.179828257774378</v>
      </c>
    </row>
    <row r="160" spans="1:27" x14ac:dyDescent="0.2">
      <c r="A160" t="b">
        <v>0</v>
      </c>
      <c r="B160">
        <v>1000</v>
      </c>
      <c r="C160">
        <v>0.68148546598552695</v>
      </c>
      <c r="D160" t="s">
        <v>52</v>
      </c>
      <c r="E160" t="b">
        <v>1</v>
      </c>
      <c r="F160" t="s">
        <v>53</v>
      </c>
      <c r="G160">
        <v>7.4999999999999997E-2</v>
      </c>
      <c r="H160">
        <v>0.5</v>
      </c>
      <c r="I160">
        <v>1E-4</v>
      </c>
      <c r="J160" t="b">
        <v>1</v>
      </c>
      <c r="K160">
        <v>4</v>
      </c>
      <c r="L160">
        <v>1500</v>
      </c>
      <c r="M160">
        <v>0.7</v>
      </c>
      <c r="N160">
        <v>0.154</v>
      </c>
      <c r="O160" t="s">
        <v>143</v>
      </c>
      <c r="P160" t="s">
        <v>144</v>
      </c>
      <c r="Q160" s="1">
        <v>-1E-10</v>
      </c>
      <c r="R160" s="1">
        <v>3.5857869768664499E-12</v>
      </c>
      <c r="S160" s="1">
        <v>4.7554814420432402E-18</v>
      </c>
      <c r="T160" s="1">
        <v>-1.054510597407E-16</v>
      </c>
      <c r="U160">
        <v>4.0475202738659801</v>
      </c>
      <c r="V160">
        <v>0</v>
      </c>
      <c r="W160">
        <v>6.8474232522198697E-2</v>
      </c>
      <c r="X160">
        <v>2</v>
      </c>
      <c r="Y160">
        <v>4.0005291608244701E-3</v>
      </c>
      <c r="Z160">
        <v>2.5000000000000001E-4</v>
      </c>
      <c r="AA160">
        <v>4.7933083448752503E-3</v>
      </c>
    </row>
    <row r="161" spans="1:27" x14ac:dyDescent="0.2">
      <c r="A161" t="b">
        <v>0</v>
      </c>
      <c r="B161">
        <v>1000</v>
      </c>
      <c r="C161">
        <v>0.68148546598552695</v>
      </c>
      <c r="D161" t="s">
        <v>52</v>
      </c>
      <c r="E161" t="b">
        <v>1</v>
      </c>
      <c r="F161" t="s">
        <v>53</v>
      </c>
      <c r="G161">
        <v>7.4999999999999997E-2</v>
      </c>
      <c r="H161">
        <v>0.5</v>
      </c>
      <c r="I161">
        <v>1E-4</v>
      </c>
      <c r="J161" t="b">
        <v>1</v>
      </c>
      <c r="K161">
        <v>4</v>
      </c>
      <c r="L161">
        <v>1500</v>
      </c>
      <c r="M161">
        <v>0.7</v>
      </c>
      <c r="N161">
        <v>0.154</v>
      </c>
      <c r="O161" t="s">
        <v>143</v>
      </c>
      <c r="P161" t="s">
        <v>145</v>
      </c>
      <c r="Q161">
        <v>-1.6835457150844E-4</v>
      </c>
      <c r="R161" s="1">
        <v>2.38113422500431E-6</v>
      </c>
      <c r="S161">
        <v>5.5307708534360503E-4</v>
      </c>
      <c r="T161">
        <v>-3.8237475791701898E-3</v>
      </c>
      <c r="U161">
        <v>4.0468116145300099</v>
      </c>
      <c r="V161" s="1">
        <v>9.9844316563698208E-15</v>
      </c>
      <c r="W161">
        <v>8.1554246174047999E-4</v>
      </c>
      <c r="X161">
        <v>3.88078302939341</v>
      </c>
      <c r="Y161">
        <v>6.3507267614112795E-2</v>
      </c>
      <c r="Z161">
        <v>1.4686052219763699</v>
      </c>
      <c r="AA161">
        <v>0.18570219898575899</v>
      </c>
    </row>
    <row r="162" spans="1:27" x14ac:dyDescent="0.2">
      <c r="A162" t="b">
        <v>0</v>
      </c>
      <c r="B162">
        <v>1000</v>
      </c>
      <c r="C162">
        <v>0.68148546598552695</v>
      </c>
      <c r="D162" t="s">
        <v>52</v>
      </c>
      <c r="E162" t="b">
        <v>1</v>
      </c>
      <c r="F162" t="s">
        <v>53</v>
      </c>
      <c r="G162">
        <v>7.4999999999999997E-2</v>
      </c>
      <c r="H162">
        <v>0.5</v>
      </c>
      <c r="I162">
        <v>1E-4</v>
      </c>
      <c r="J162" t="b">
        <v>1</v>
      </c>
      <c r="K162">
        <v>4</v>
      </c>
      <c r="L162">
        <v>1500</v>
      </c>
      <c r="M162">
        <v>0.7</v>
      </c>
      <c r="N162">
        <v>0.154</v>
      </c>
      <c r="O162" t="s">
        <v>144</v>
      </c>
      <c r="P162" t="s">
        <v>145</v>
      </c>
      <c r="Q162">
        <v>-1.6835456251855599E-4</v>
      </c>
      <c r="R162" s="1">
        <v>2.3642789289060599E-6</v>
      </c>
      <c r="S162">
        <v>5.5307708534360601E-4</v>
      </c>
      <c r="T162">
        <v>-3.8237475791702401E-3</v>
      </c>
      <c r="U162">
        <v>4.0468116145624498</v>
      </c>
      <c r="V162" s="1">
        <v>9.9847835651478703E-15</v>
      </c>
      <c r="W162">
        <v>8.0774570545600396E-4</v>
      </c>
      <c r="X162">
        <v>3.8807827207790901</v>
      </c>
      <c r="Y162">
        <v>6.3104653478180395E-2</v>
      </c>
      <c r="Z162">
        <v>1.4686058789873799</v>
      </c>
      <c r="AA162">
        <v>0.18435757691976401</v>
      </c>
    </row>
    <row r="163" spans="1:27" x14ac:dyDescent="0.2">
      <c r="A163" t="b">
        <v>0</v>
      </c>
      <c r="B163">
        <v>1000</v>
      </c>
      <c r="C163">
        <v>0.72950718729363395</v>
      </c>
      <c r="D163" t="s">
        <v>52</v>
      </c>
      <c r="E163" t="b">
        <v>1</v>
      </c>
      <c r="F163" t="s">
        <v>53</v>
      </c>
      <c r="G163">
        <v>7.4999999999999997E-2</v>
      </c>
      <c r="H163">
        <v>0.5</v>
      </c>
      <c r="I163">
        <v>1E-4</v>
      </c>
      <c r="J163" t="b">
        <v>1</v>
      </c>
      <c r="K163">
        <v>2</v>
      </c>
      <c r="L163">
        <v>1500</v>
      </c>
      <c r="M163">
        <v>0.8</v>
      </c>
      <c r="N163">
        <v>0.154</v>
      </c>
      <c r="O163" t="s">
        <v>146</v>
      </c>
      <c r="P163" t="s">
        <v>147</v>
      </c>
      <c r="Q163" s="1">
        <v>-5.2021454670631503E-5</v>
      </c>
      <c r="R163" s="1">
        <v>4.2904794675791498E-7</v>
      </c>
      <c r="S163">
        <v>1.6061193761566001E-4</v>
      </c>
      <c r="T163">
        <v>-5.2789914390936204E-4</v>
      </c>
      <c r="U163">
        <v>2.1782322343350402</v>
      </c>
      <c r="V163" s="1">
        <v>4.0056679108804302E-15</v>
      </c>
      <c r="W163">
        <v>1.1325726218964099E-3</v>
      </c>
      <c r="X163">
        <v>2.9537497353520101</v>
      </c>
      <c r="Y163">
        <v>2.6629244313299799E-2</v>
      </c>
      <c r="Z163">
        <v>0.25691510982937099</v>
      </c>
      <c r="AA163">
        <v>6.9753421225523596E-2</v>
      </c>
    </row>
    <row r="164" spans="1:27" x14ac:dyDescent="0.2">
      <c r="A164" t="b">
        <v>0</v>
      </c>
      <c r="B164">
        <v>1000</v>
      </c>
      <c r="C164">
        <v>0.72950718729363395</v>
      </c>
      <c r="D164" t="s">
        <v>52</v>
      </c>
      <c r="E164" t="b">
        <v>1</v>
      </c>
      <c r="F164" t="s">
        <v>53</v>
      </c>
      <c r="G164">
        <v>7.4999999999999997E-2</v>
      </c>
      <c r="H164">
        <v>0.5</v>
      </c>
      <c r="I164">
        <v>1E-4</v>
      </c>
      <c r="J164" t="b">
        <v>1</v>
      </c>
      <c r="K164">
        <v>2</v>
      </c>
      <c r="L164">
        <v>1500</v>
      </c>
      <c r="M164">
        <v>0.8</v>
      </c>
      <c r="N164">
        <v>0.154</v>
      </c>
      <c r="O164" t="s">
        <v>146</v>
      </c>
      <c r="P164" t="s">
        <v>148</v>
      </c>
      <c r="Q164" s="1">
        <v>-5.2021454843547499E-5</v>
      </c>
      <c r="R164" s="1">
        <v>4.3464409243676502E-7</v>
      </c>
      <c r="S164">
        <v>1.6061193761566001E-4</v>
      </c>
      <c r="T164">
        <v>-5.2789914390941896E-4</v>
      </c>
      <c r="U164">
        <v>2.1782322343986902</v>
      </c>
      <c r="V164" s="1">
        <v>4.0084516282240402E-15</v>
      </c>
      <c r="W164">
        <v>1.1356798335273399E-3</v>
      </c>
      <c r="X164">
        <v>2.9537497596125699</v>
      </c>
      <c r="Y164">
        <v>2.7097819278753599E-2</v>
      </c>
      <c r="Z164">
        <v>0.25691507847297002</v>
      </c>
      <c r="AA164">
        <v>7.0639269576226196E-2</v>
      </c>
    </row>
    <row r="165" spans="1:27" x14ac:dyDescent="0.2">
      <c r="A165" t="b">
        <v>0</v>
      </c>
      <c r="B165">
        <v>1000</v>
      </c>
      <c r="C165">
        <v>0.72950718729363395</v>
      </c>
      <c r="D165" t="s">
        <v>52</v>
      </c>
      <c r="E165" t="b">
        <v>1</v>
      </c>
      <c r="F165" t="s">
        <v>53</v>
      </c>
      <c r="G165">
        <v>7.4999999999999997E-2</v>
      </c>
      <c r="H165">
        <v>0.5</v>
      </c>
      <c r="I165">
        <v>1E-4</v>
      </c>
      <c r="J165" t="b">
        <v>1</v>
      </c>
      <c r="K165">
        <v>2</v>
      </c>
      <c r="L165">
        <v>1500</v>
      </c>
      <c r="M165">
        <v>0.8</v>
      </c>
      <c r="N165">
        <v>0.154</v>
      </c>
      <c r="O165" t="s">
        <v>146</v>
      </c>
      <c r="P165" t="s">
        <v>149</v>
      </c>
      <c r="Q165">
        <v>-1.03900288709986E-4</v>
      </c>
      <c r="R165" s="1">
        <v>9.2971994423365298E-7</v>
      </c>
      <c r="S165">
        <v>3.2120905928580303E-4</v>
      </c>
      <c r="T165">
        <v>-1.0556554021046601E-3</v>
      </c>
      <c r="U165">
        <v>2.17805048914571</v>
      </c>
      <c r="V165" s="1">
        <v>4.9861696174938303E-15</v>
      </c>
      <c r="W165">
        <v>1.2158132512991499E-3</v>
      </c>
      <c r="X165">
        <v>2.9461600761818301</v>
      </c>
      <c r="Y165">
        <v>2.84130266498877E-2</v>
      </c>
      <c r="Z165">
        <v>0.26706001015833303</v>
      </c>
      <c r="AA165">
        <v>7.5209765632296005E-2</v>
      </c>
    </row>
    <row r="166" spans="1:27" x14ac:dyDescent="0.2">
      <c r="A166" t="b">
        <v>0</v>
      </c>
      <c r="B166">
        <v>1000</v>
      </c>
      <c r="C166">
        <v>0.72950718729363395</v>
      </c>
      <c r="D166" t="s">
        <v>52</v>
      </c>
      <c r="E166" t="b">
        <v>1</v>
      </c>
      <c r="F166" t="s">
        <v>53</v>
      </c>
      <c r="G166">
        <v>7.4999999999999997E-2</v>
      </c>
      <c r="H166">
        <v>0.5</v>
      </c>
      <c r="I166">
        <v>1E-4</v>
      </c>
      <c r="J166" t="b">
        <v>1</v>
      </c>
      <c r="K166">
        <v>2</v>
      </c>
      <c r="L166">
        <v>1500</v>
      </c>
      <c r="M166">
        <v>0.8</v>
      </c>
      <c r="N166">
        <v>0.154</v>
      </c>
      <c r="O166" t="s">
        <v>147</v>
      </c>
      <c r="P166" t="s">
        <v>148</v>
      </c>
      <c r="Q166" s="1">
        <v>-1E-10</v>
      </c>
      <c r="R166" s="1">
        <v>3.5857870058687698E-12</v>
      </c>
      <c r="S166" s="1">
        <v>4.74362303024512E-18</v>
      </c>
      <c r="T166" s="1">
        <v>-2.28745041886393E-16</v>
      </c>
      <c r="U166">
        <v>2.1780504702960002</v>
      </c>
      <c r="V166">
        <v>0</v>
      </c>
      <c r="W166">
        <v>6.8474233076027402E-2</v>
      </c>
      <c r="X166">
        <v>2</v>
      </c>
      <c r="Y166">
        <v>4.0005291931812801E-3</v>
      </c>
      <c r="Z166">
        <v>2.5000000000000001E-4</v>
      </c>
      <c r="AA166">
        <v>4.7933083836441603E-3</v>
      </c>
    </row>
    <row r="167" spans="1:27" x14ac:dyDescent="0.2">
      <c r="A167" t="b">
        <v>0</v>
      </c>
      <c r="B167">
        <v>1000</v>
      </c>
      <c r="C167">
        <v>0.72950718729363395</v>
      </c>
      <c r="D167" t="s">
        <v>52</v>
      </c>
      <c r="E167" t="b">
        <v>1</v>
      </c>
      <c r="F167" t="s">
        <v>53</v>
      </c>
      <c r="G167">
        <v>7.4999999999999997E-2</v>
      </c>
      <c r="H167">
        <v>0.5</v>
      </c>
      <c r="I167">
        <v>1E-4</v>
      </c>
      <c r="J167" t="b">
        <v>1</v>
      </c>
      <c r="K167">
        <v>2</v>
      </c>
      <c r="L167">
        <v>1500</v>
      </c>
      <c r="M167">
        <v>0.8</v>
      </c>
      <c r="N167">
        <v>0.154</v>
      </c>
      <c r="O167" t="s">
        <v>147</v>
      </c>
      <c r="P167" t="s">
        <v>149</v>
      </c>
      <c r="Q167" s="1">
        <v>-5.2016934085279101E-5</v>
      </c>
      <c r="R167" s="1">
        <v>4.3919124058873602E-7</v>
      </c>
      <c r="S167">
        <v>1.6059712167014001E-4</v>
      </c>
      <c r="T167">
        <v>-5.2775625819510602E-4</v>
      </c>
      <c r="U167">
        <v>2.17786872504302</v>
      </c>
      <c r="V167" s="1">
        <v>4.0130889708552097E-15</v>
      </c>
      <c r="W167">
        <v>1.1572079301656901E-3</v>
      </c>
      <c r="X167">
        <v>2.95351427041855</v>
      </c>
      <c r="Y167">
        <v>2.7171137726993599E-2</v>
      </c>
      <c r="Z167">
        <v>0.25682657889608901</v>
      </c>
      <c r="AA167">
        <v>7.1399996052919898E-2</v>
      </c>
    </row>
    <row r="168" spans="1:27" x14ac:dyDescent="0.2">
      <c r="A168" t="b">
        <v>0</v>
      </c>
      <c r="B168">
        <v>1000</v>
      </c>
      <c r="C168">
        <v>0.72950718729363395</v>
      </c>
      <c r="D168" t="s">
        <v>52</v>
      </c>
      <c r="E168" t="b">
        <v>1</v>
      </c>
      <c r="F168" t="s">
        <v>53</v>
      </c>
      <c r="G168">
        <v>7.4999999999999997E-2</v>
      </c>
      <c r="H168">
        <v>0.5</v>
      </c>
      <c r="I168">
        <v>1E-4</v>
      </c>
      <c r="J168" t="b">
        <v>1</v>
      </c>
      <c r="K168">
        <v>2</v>
      </c>
      <c r="L168">
        <v>1500</v>
      </c>
      <c r="M168">
        <v>0.8</v>
      </c>
      <c r="N168">
        <v>0.154</v>
      </c>
      <c r="O168" t="s">
        <v>148</v>
      </c>
      <c r="P168" t="s">
        <v>149</v>
      </c>
      <c r="Q168" s="1">
        <v>-5.2016933877011798E-5</v>
      </c>
      <c r="R168" s="1">
        <v>4.43048836713165E-7</v>
      </c>
      <c r="S168">
        <v>1.6059712167014101E-4</v>
      </c>
      <c r="T168">
        <v>-5.2775625819508E-4</v>
      </c>
      <c r="U168">
        <v>2.17786872510667</v>
      </c>
      <c r="V168" s="1">
        <v>4.0079038315637302E-15</v>
      </c>
      <c r="W168">
        <v>1.16602593818352E-3</v>
      </c>
      <c r="X168">
        <v>2.9535142459144001</v>
      </c>
      <c r="Y168">
        <v>2.7373268805743499E-2</v>
      </c>
      <c r="Z168">
        <v>0.256826611884372</v>
      </c>
      <c r="AA168">
        <v>7.2031741045668202E-2</v>
      </c>
    </row>
    <row r="169" spans="1:27" x14ac:dyDescent="0.2">
      <c r="A169" t="b">
        <v>0</v>
      </c>
      <c r="B169">
        <v>1000</v>
      </c>
      <c r="C169">
        <v>0.77884053255487995</v>
      </c>
      <c r="D169" t="s">
        <v>52</v>
      </c>
      <c r="E169" t="b">
        <v>1</v>
      </c>
      <c r="F169" t="s">
        <v>53</v>
      </c>
      <c r="G169">
        <v>7.4999999999999997E-2</v>
      </c>
      <c r="H169">
        <v>0.5</v>
      </c>
      <c r="I169">
        <v>1E-4</v>
      </c>
      <c r="J169" t="b">
        <v>1</v>
      </c>
      <c r="K169">
        <v>4</v>
      </c>
      <c r="L169">
        <v>1500</v>
      </c>
      <c r="M169">
        <v>0.8</v>
      </c>
      <c r="N169">
        <v>0.154</v>
      </c>
      <c r="O169" t="s">
        <v>150</v>
      </c>
      <c r="P169" t="s">
        <v>151</v>
      </c>
      <c r="Q169">
        <v>-1.79657064479113E-4</v>
      </c>
      <c r="R169" s="1">
        <v>3.8237632355178601E-6</v>
      </c>
      <c r="S169">
        <v>5.5609622091489397E-4</v>
      </c>
      <c r="T169">
        <v>-3.9634883669357798E-3</v>
      </c>
      <c r="U169">
        <v>4.0551334266550603</v>
      </c>
      <c r="V169" s="1">
        <v>9.3536434708342295E-15</v>
      </c>
      <c r="W169">
        <v>3.0116511935871599E-3</v>
      </c>
      <c r="X169">
        <v>4.3508847135679396</v>
      </c>
      <c r="Y169">
        <v>8.5512265769178294E-2</v>
      </c>
      <c r="Z169">
        <v>0.62790427901937496</v>
      </c>
      <c r="AA169">
        <v>0.39155385801006098</v>
      </c>
    </row>
    <row r="170" spans="1:27" x14ac:dyDescent="0.2">
      <c r="A170" t="b">
        <v>0</v>
      </c>
      <c r="B170">
        <v>1000</v>
      </c>
      <c r="C170">
        <v>0.77884053255487995</v>
      </c>
      <c r="D170" t="s">
        <v>52</v>
      </c>
      <c r="E170" t="b">
        <v>1</v>
      </c>
      <c r="F170" t="s">
        <v>53</v>
      </c>
      <c r="G170">
        <v>7.4999999999999997E-2</v>
      </c>
      <c r="H170">
        <v>0.5</v>
      </c>
      <c r="I170">
        <v>1E-4</v>
      </c>
      <c r="J170" t="b">
        <v>1</v>
      </c>
      <c r="K170">
        <v>4</v>
      </c>
      <c r="L170">
        <v>1500</v>
      </c>
      <c r="M170">
        <v>0.8</v>
      </c>
      <c r="N170">
        <v>0.154</v>
      </c>
      <c r="O170" t="s">
        <v>150</v>
      </c>
      <c r="P170" t="s">
        <v>152</v>
      </c>
      <c r="Q170">
        <v>-1.79657064369678E-4</v>
      </c>
      <c r="R170" s="1">
        <v>3.7518877285810701E-6</v>
      </c>
      <c r="S170">
        <v>5.5609622091489202E-4</v>
      </c>
      <c r="T170">
        <v>-3.9634883669357503E-3</v>
      </c>
      <c r="U170">
        <v>4.0551334265925796</v>
      </c>
      <c r="V170" s="1">
        <v>9.3530065173587903E-15</v>
      </c>
      <c r="W170">
        <v>2.9540347898510799E-3</v>
      </c>
      <c r="X170">
        <v>4.35088470795771</v>
      </c>
      <c r="Y170">
        <v>8.4001607065264702E-2</v>
      </c>
      <c r="Z170">
        <v>0.627904291464774</v>
      </c>
      <c r="AA170">
        <v>0.38415139564328898</v>
      </c>
    </row>
    <row r="171" spans="1:27" x14ac:dyDescent="0.2">
      <c r="A171" t="b">
        <v>0</v>
      </c>
      <c r="B171">
        <v>1000</v>
      </c>
      <c r="C171">
        <v>0.77884053255487995</v>
      </c>
      <c r="D171" t="s">
        <v>52</v>
      </c>
      <c r="E171" t="b">
        <v>1</v>
      </c>
      <c r="F171" t="s">
        <v>53</v>
      </c>
      <c r="G171">
        <v>7.4999999999999997E-2</v>
      </c>
      <c r="H171">
        <v>0.5</v>
      </c>
      <c r="I171">
        <v>1E-4</v>
      </c>
      <c r="J171" t="b">
        <v>1</v>
      </c>
      <c r="K171">
        <v>4</v>
      </c>
      <c r="L171">
        <v>1500</v>
      </c>
      <c r="M171">
        <v>0.8</v>
      </c>
      <c r="N171">
        <v>0.154</v>
      </c>
      <c r="O171" t="s">
        <v>150</v>
      </c>
      <c r="P171" t="s">
        <v>153</v>
      </c>
      <c r="Q171">
        <v>-3.3007813326817902E-4</v>
      </c>
      <c r="R171" s="1">
        <v>8.3473594983260901E-6</v>
      </c>
      <c r="S171">
        <v>1.11213654727797E-3</v>
      </c>
      <c r="T171">
        <v>-7.9255386101301107E-3</v>
      </c>
      <c r="U171">
        <v>4.0544003774868402</v>
      </c>
      <c r="V171" s="1">
        <v>9.9998632485744299E-15</v>
      </c>
      <c r="W171">
        <v>9.5157296591689598E-4</v>
      </c>
      <c r="X171">
        <v>3.8025509674849598</v>
      </c>
      <c r="Y171">
        <v>0.111502322876822</v>
      </c>
      <c r="Z171">
        <v>1.82220442498033</v>
      </c>
      <c r="AA171">
        <v>0.30486980061757002</v>
      </c>
    </row>
    <row r="172" spans="1:27" x14ac:dyDescent="0.2">
      <c r="A172" t="b">
        <v>0</v>
      </c>
      <c r="B172">
        <v>1000</v>
      </c>
      <c r="C172">
        <v>0.77884053255487995</v>
      </c>
      <c r="D172" t="s">
        <v>52</v>
      </c>
      <c r="E172" t="b">
        <v>1</v>
      </c>
      <c r="F172" t="s">
        <v>53</v>
      </c>
      <c r="G172">
        <v>7.4999999999999997E-2</v>
      </c>
      <c r="H172">
        <v>0.5</v>
      </c>
      <c r="I172">
        <v>1E-4</v>
      </c>
      <c r="J172" t="b">
        <v>1</v>
      </c>
      <c r="K172">
        <v>4</v>
      </c>
      <c r="L172">
        <v>1500</v>
      </c>
      <c r="M172">
        <v>0.8</v>
      </c>
      <c r="N172">
        <v>0.154</v>
      </c>
      <c r="O172" t="s">
        <v>151</v>
      </c>
      <c r="P172" t="s">
        <v>152</v>
      </c>
      <c r="Q172" s="1">
        <v>-1E-10</v>
      </c>
      <c r="R172" s="1">
        <v>3.5857869896257E-12</v>
      </c>
      <c r="S172" s="1">
        <v>4.4252632718654899E-18</v>
      </c>
      <c r="T172" s="1">
        <v>-1.42662968338427E-16</v>
      </c>
      <c r="U172">
        <v>4.0544003764426897</v>
      </c>
      <c r="V172">
        <v>0</v>
      </c>
      <c r="W172">
        <v>6.8474232765849505E-2</v>
      </c>
      <c r="X172">
        <v>2</v>
      </c>
      <c r="Y172">
        <v>4.0005291750594904E-3</v>
      </c>
      <c r="Z172">
        <v>2.5000000000000001E-4</v>
      </c>
      <c r="AA172">
        <v>4.7933083619311999E-3</v>
      </c>
    </row>
    <row r="173" spans="1:27" x14ac:dyDescent="0.2">
      <c r="A173" t="b">
        <v>0</v>
      </c>
      <c r="B173">
        <v>1000</v>
      </c>
      <c r="C173">
        <v>0.77884053255487995</v>
      </c>
      <c r="D173" t="s">
        <v>52</v>
      </c>
      <c r="E173" t="b">
        <v>1</v>
      </c>
      <c r="F173" t="s">
        <v>53</v>
      </c>
      <c r="G173">
        <v>7.4999999999999997E-2</v>
      </c>
      <c r="H173">
        <v>0.5</v>
      </c>
      <c r="I173">
        <v>1E-4</v>
      </c>
      <c r="J173" t="b">
        <v>1</v>
      </c>
      <c r="K173">
        <v>4</v>
      </c>
      <c r="L173">
        <v>1500</v>
      </c>
      <c r="M173">
        <v>0.8</v>
      </c>
      <c r="N173">
        <v>0.154</v>
      </c>
      <c r="O173" t="s">
        <v>151</v>
      </c>
      <c r="P173" t="s">
        <v>153</v>
      </c>
      <c r="Q173">
        <v>-1.7963958039246E-4</v>
      </c>
      <c r="R173" s="1">
        <v>3.75640349312515E-6</v>
      </c>
      <c r="S173">
        <v>5.5604032636307702E-4</v>
      </c>
      <c r="T173">
        <v>-3.9620502431943396E-3</v>
      </c>
      <c r="U173">
        <v>4.0536673273369503</v>
      </c>
      <c r="V173" s="1">
        <v>9.35292432819398E-15</v>
      </c>
      <c r="W173">
        <v>2.9545517970590699E-3</v>
      </c>
      <c r="X173">
        <v>4.3503303542213496</v>
      </c>
      <c r="Y173">
        <v>8.4123680301218307E-2</v>
      </c>
      <c r="Z173">
        <v>0.62766626949797399</v>
      </c>
      <c r="AA173">
        <v>0.38456739217125302</v>
      </c>
    </row>
    <row r="174" spans="1:27" x14ac:dyDescent="0.2">
      <c r="A174" t="b">
        <v>0</v>
      </c>
      <c r="B174">
        <v>1000</v>
      </c>
      <c r="C174">
        <v>0.77884053255487995</v>
      </c>
      <c r="D174" t="s">
        <v>52</v>
      </c>
      <c r="E174" t="b">
        <v>1</v>
      </c>
      <c r="F174" t="s">
        <v>53</v>
      </c>
      <c r="G174">
        <v>7.4999999999999997E-2</v>
      </c>
      <c r="H174">
        <v>0.5</v>
      </c>
      <c r="I174">
        <v>1E-4</v>
      </c>
      <c r="J174" t="b">
        <v>1</v>
      </c>
      <c r="K174">
        <v>4</v>
      </c>
      <c r="L174">
        <v>1500</v>
      </c>
      <c r="M174">
        <v>0.8</v>
      </c>
      <c r="N174">
        <v>0.154</v>
      </c>
      <c r="O174" t="s">
        <v>152</v>
      </c>
      <c r="P174" t="s">
        <v>153</v>
      </c>
      <c r="Q174">
        <v>-1.7963958035119499E-4</v>
      </c>
      <c r="R174" s="1">
        <v>3.7375158680257E-6</v>
      </c>
      <c r="S174">
        <v>5.5604032636308201E-4</v>
      </c>
      <c r="T174">
        <v>-3.9620502431944402E-3</v>
      </c>
      <c r="U174">
        <v>4.0536673272744697</v>
      </c>
      <c r="V174" s="1">
        <v>9.35291715841449E-15</v>
      </c>
      <c r="W174">
        <v>2.9395636059527802E-3</v>
      </c>
      <c r="X174">
        <v>4.3503303529343897</v>
      </c>
      <c r="Y174">
        <v>8.37077833067216E-2</v>
      </c>
      <c r="Z174">
        <v>0.62766627325750102</v>
      </c>
      <c r="AA174">
        <v>0.38265032225930101</v>
      </c>
    </row>
    <row r="175" spans="1:27" x14ac:dyDescent="0.2">
      <c r="A175" t="b">
        <v>0</v>
      </c>
      <c r="B175">
        <v>1000</v>
      </c>
      <c r="C175">
        <v>0.87369834790399103</v>
      </c>
      <c r="D175" t="s">
        <v>52</v>
      </c>
      <c r="E175" t="b">
        <v>1</v>
      </c>
      <c r="F175" t="s">
        <v>53</v>
      </c>
      <c r="G175">
        <v>7.4999999999999997E-2</v>
      </c>
      <c r="H175">
        <v>0.5</v>
      </c>
      <c r="I175">
        <v>1E-4</v>
      </c>
      <c r="J175" t="b">
        <v>1</v>
      </c>
      <c r="K175">
        <v>2</v>
      </c>
      <c r="L175">
        <v>1500</v>
      </c>
      <c r="M175">
        <v>1</v>
      </c>
      <c r="N175">
        <v>0.154</v>
      </c>
      <c r="O175" t="s">
        <v>154</v>
      </c>
      <c r="P175" t="s">
        <v>155</v>
      </c>
      <c r="Q175" s="1">
        <v>-5.4140477854443799E-5</v>
      </c>
      <c r="R175" s="1">
        <v>8.2110061734098505E-7</v>
      </c>
      <c r="S175">
        <v>1.6871028419382299E-4</v>
      </c>
      <c r="T175">
        <v>-6.2427464199803803E-4</v>
      </c>
      <c r="U175">
        <v>2.2287200380929701</v>
      </c>
      <c r="V175" s="1">
        <v>7.8110832552998398E-15</v>
      </c>
      <c r="W175">
        <v>1.89055958011818E-3</v>
      </c>
      <c r="X175">
        <v>3.0802497924897199</v>
      </c>
      <c r="Y175">
        <v>4.8953252939038398E-2</v>
      </c>
      <c r="Z175">
        <v>0.37154907372714202</v>
      </c>
      <c r="AA175">
        <v>0.138000652005275</v>
      </c>
    </row>
    <row r="176" spans="1:27" x14ac:dyDescent="0.2">
      <c r="A176" t="b">
        <v>0</v>
      </c>
      <c r="B176">
        <v>1000</v>
      </c>
      <c r="C176">
        <v>0.87369834790399103</v>
      </c>
      <c r="D176" t="s">
        <v>52</v>
      </c>
      <c r="E176" t="b">
        <v>1</v>
      </c>
      <c r="F176" t="s">
        <v>53</v>
      </c>
      <c r="G176">
        <v>7.4999999999999997E-2</v>
      </c>
      <c r="H176">
        <v>0.5</v>
      </c>
      <c r="I176">
        <v>1E-4</v>
      </c>
      <c r="J176" t="b">
        <v>1</v>
      </c>
      <c r="K176">
        <v>2</v>
      </c>
      <c r="L176">
        <v>1500</v>
      </c>
      <c r="M176">
        <v>1</v>
      </c>
      <c r="N176">
        <v>0.154</v>
      </c>
      <c r="O176" t="s">
        <v>154</v>
      </c>
      <c r="P176" t="s">
        <v>156</v>
      </c>
      <c r="Q176" s="1">
        <v>-5.4140472258540698E-5</v>
      </c>
      <c r="R176" s="1">
        <v>8.3642943865976498E-7</v>
      </c>
      <c r="S176">
        <v>1.6871028419382801E-4</v>
      </c>
      <c r="T176">
        <v>-6.2427464199833196E-4</v>
      </c>
      <c r="U176">
        <v>2.2287200381330701</v>
      </c>
      <c r="V176" s="1">
        <v>7.7969624645748205E-15</v>
      </c>
      <c r="W176">
        <v>1.92813740464187E-3</v>
      </c>
      <c r="X176">
        <v>3.0802491720153098</v>
      </c>
      <c r="Y176">
        <v>4.9735669801006202E-2</v>
      </c>
      <c r="Z176">
        <v>0.371549976667161</v>
      </c>
      <c r="AA176">
        <v>0.14059970318293399</v>
      </c>
    </row>
    <row r="177" spans="1:27" x14ac:dyDescent="0.2">
      <c r="A177" t="b">
        <v>0</v>
      </c>
      <c r="B177">
        <v>1000</v>
      </c>
      <c r="C177">
        <v>0.87369834790399103</v>
      </c>
      <c r="D177" t="s">
        <v>52</v>
      </c>
      <c r="E177" t="b">
        <v>1</v>
      </c>
      <c r="F177" t="s">
        <v>53</v>
      </c>
      <c r="G177">
        <v>7.4999999999999997E-2</v>
      </c>
      <c r="H177">
        <v>0.5</v>
      </c>
      <c r="I177">
        <v>1E-4</v>
      </c>
      <c r="J177" t="b">
        <v>1</v>
      </c>
      <c r="K177">
        <v>2</v>
      </c>
      <c r="L177">
        <v>1500</v>
      </c>
      <c r="M177">
        <v>1</v>
      </c>
      <c r="N177">
        <v>0.154</v>
      </c>
      <c r="O177" t="s">
        <v>154</v>
      </c>
      <c r="P177" t="s">
        <v>157</v>
      </c>
      <c r="Q177">
        <v>-1.0789944707800001E-4</v>
      </c>
      <c r="R177" s="1">
        <v>1.76769340653607E-6</v>
      </c>
      <c r="S177">
        <v>3.3740172957942203E-4</v>
      </c>
      <c r="T177">
        <v>-1.24834918230545E-3</v>
      </c>
      <c r="U177">
        <v>2.22850998738364</v>
      </c>
      <c r="V177" s="1">
        <v>8.4189391490362396E-15</v>
      </c>
      <c r="W177">
        <v>1.9425593464976799E-3</v>
      </c>
      <c r="X177">
        <v>3.0599989088803499</v>
      </c>
      <c r="Y177">
        <v>5.3352409212989699E-2</v>
      </c>
      <c r="Z177">
        <v>0.400640955767114</v>
      </c>
      <c r="AA177">
        <v>0.146257277495392</v>
      </c>
    </row>
    <row r="178" spans="1:27" x14ac:dyDescent="0.2">
      <c r="A178" t="b">
        <v>0</v>
      </c>
      <c r="B178">
        <v>1000</v>
      </c>
      <c r="C178">
        <v>0.87369834790399103</v>
      </c>
      <c r="D178" t="s">
        <v>52</v>
      </c>
      <c r="E178" t="b">
        <v>1</v>
      </c>
      <c r="F178" t="s">
        <v>53</v>
      </c>
      <c r="G178">
        <v>7.4999999999999997E-2</v>
      </c>
      <c r="H178">
        <v>0.5</v>
      </c>
      <c r="I178">
        <v>1E-4</v>
      </c>
      <c r="J178" t="b">
        <v>1</v>
      </c>
      <c r="K178">
        <v>2</v>
      </c>
      <c r="L178">
        <v>1500</v>
      </c>
      <c r="M178">
        <v>1</v>
      </c>
      <c r="N178">
        <v>0.154</v>
      </c>
      <c r="O178" t="s">
        <v>155</v>
      </c>
      <c r="P178" t="s">
        <v>156</v>
      </c>
      <c r="Q178" s="1">
        <v>-1E-10</v>
      </c>
      <c r="R178" s="1">
        <v>3.5857869701662801E-12</v>
      </c>
      <c r="S178" s="1">
        <v>9.72212517147849E-18</v>
      </c>
      <c r="T178" s="1">
        <v>-3.3707275024983799E-16</v>
      </c>
      <c r="U178">
        <v>2.2285099598143798</v>
      </c>
      <c r="V178">
        <v>0</v>
      </c>
      <c r="W178">
        <v>6.8474232394252196E-2</v>
      </c>
      <c r="X178">
        <v>2</v>
      </c>
      <c r="Y178">
        <v>4.0005291533493402E-3</v>
      </c>
      <c r="Z178">
        <v>2.5000000000000001E-4</v>
      </c>
      <c r="AA178">
        <v>4.7933083359187802E-3</v>
      </c>
    </row>
    <row r="179" spans="1:27" x14ac:dyDescent="0.2">
      <c r="A179" t="b">
        <v>0</v>
      </c>
      <c r="B179">
        <v>1000</v>
      </c>
      <c r="C179">
        <v>0.87369834790399103</v>
      </c>
      <c r="D179" t="s">
        <v>52</v>
      </c>
      <c r="E179" t="b">
        <v>1</v>
      </c>
      <c r="F179" t="s">
        <v>53</v>
      </c>
      <c r="G179">
        <v>7.4999999999999997E-2</v>
      </c>
      <c r="H179">
        <v>0.5</v>
      </c>
      <c r="I179">
        <v>1E-4</v>
      </c>
      <c r="J179" t="b">
        <v>1</v>
      </c>
      <c r="K179">
        <v>2</v>
      </c>
      <c r="L179">
        <v>1500</v>
      </c>
      <c r="M179">
        <v>1</v>
      </c>
      <c r="N179">
        <v>0.154</v>
      </c>
      <c r="O179" t="s">
        <v>155</v>
      </c>
      <c r="P179" t="s">
        <v>157</v>
      </c>
      <c r="Q179" s="1">
        <v>-5.41337618191336E-5</v>
      </c>
      <c r="R179" s="1">
        <v>8.2255740576745805E-7</v>
      </c>
      <c r="S179">
        <v>1.68691445385597E-4</v>
      </c>
      <c r="T179">
        <v>-6.2407454030732998E-4</v>
      </c>
      <c r="U179">
        <v>2.2282999090649498</v>
      </c>
      <c r="V179" s="1">
        <v>7.79868789297455E-15</v>
      </c>
      <c r="W179">
        <v>1.88066460966411E-3</v>
      </c>
      <c r="X179">
        <v>3.0798486145854702</v>
      </c>
      <c r="Y179">
        <v>4.9303884630439797E-2</v>
      </c>
      <c r="Z179">
        <v>0.37157881280709598</v>
      </c>
      <c r="AA179">
        <v>0.138159783810158</v>
      </c>
    </row>
    <row r="180" spans="1:27" x14ac:dyDescent="0.2">
      <c r="A180" t="b">
        <v>0</v>
      </c>
      <c r="B180">
        <v>1000</v>
      </c>
      <c r="C180">
        <v>0.87369834790399103</v>
      </c>
      <c r="D180" t="s">
        <v>52</v>
      </c>
      <c r="E180" t="b">
        <v>1</v>
      </c>
      <c r="F180" t="s">
        <v>53</v>
      </c>
      <c r="G180">
        <v>7.4999999999999997E-2</v>
      </c>
      <c r="H180">
        <v>0.5</v>
      </c>
      <c r="I180">
        <v>1E-4</v>
      </c>
      <c r="J180" t="b">
        <v>1</v>
      </c>
      <c r="K180">
        <v>2</v>
      </c>
      <c r="L180">
        <v>1500</v>
      </c>
      <c r="M180">
        <v>1</v>
      </c>
      <c r="N180">
        <v>0.154</v>
      </c>
      <c r="O180" t="s">
        <v>156</v>
      </c>
      <c r="P180" t="s">
        <v>157</v>
      </c>
      <c r="Q180" s="1">
        <v>-5.4133775749132301E-5</v>
      </c>
      <c r="R180" s="1">
        <v>8.2085077473792896E-7</v>
      </c>
      <c r="S180">
        <v>1.68691445385588E-4</v>
      </c>
      <c r="T180">
        <v>-6.2407454030683602E-4</v>
      </c>
      <c r="U180">
        <v>2.2282999091050502</v>
      </c>
      <c r="V180" s="1">
        <v>7.7948863359632597E-15</v>
      </c>
      <c r="W180">
        <v>1.90872614131362E-3</v>
      </c>
      <c r="X180">
        <v>3.07985015110975</v>
      </c>
      <c r="Y180">
        <v>4.8548528186737501E-2</v>
      </c>
      <c r="Z180">
        <v>0.37157657414067702</v>
      </c>
      <c r="AA180">
        <v>0.13802978287950399</v>
      </c>
    </row>
    <row r="181" spans="1:27" x14ac:dyDescent="0.2">
      <c r="A181" t="b">
        <v>0</v>
      </c>
      <c r="B181">
        <v>1000</v>
      </c>
      <c r="C181">
        <v>0.97355066569361104</v>
      </c>
      <c r="D181" t="s">
        <v>52</v>
      </c>
      <c r="E181" t="b">
        <v>1</v>
      </c>
      <c r="F181" t="s">
        <v>53</v>
      </c>
      <c r="G181">
        <v>7.4999999999999997E-2</v>
      </c>
      <c r="H181">
        <v>0.5</v>
      </c>
      <c r="I181">
        <v>1E-4</v>
      </c>
      <c r="J181" t="b">
        <v>1</v>
      </c>
      <c r="K181">
        <v>4</v>
      </c>
      <c r="L181">
        <v>1500</v>
      </c>
      <c r="M181">
        <v>1</v>
      </c>
      <c r="N181">
        <v>0.154</v>
      </c>
      <c r="O181" t="s">
        <v>158</v>
      </c>
      <c r="P181" t="s">
        <v>159</v>
      </c>
      <c r="Q181">
        <v>-1.8143196957150399E-4</v>
      </c>
      <c r="R181" s="1">
        <v>5.2568031856763501E-6</v>
      </c>
      <c r="S181">
        <v>5.6200889555699902E-4</v>
      </c>
      <c r="T181">
        <v>-4.2385669963031503E-3</v>
      </c>
      <c r="U181">
        <v>4.0688876862957999</v>
      </c>
      <c r="V181" s="1">
        <v>9.4904388093188698E-15</v>
      </c>
      <c r="W181">
        <v>4.0626546830757797E-3</v>
      </c>
      <c r="X181">
        <v>4.4717325517737203</v>
      </c>
      <c r="Y181">
        <v>0.120040616747134</v>
      </c>
      <c r="Z181">
        <v>0.68322552875197495</v>
      </c>
      <c r="AA181">
        <v>0.56239354161966804</v>
      </c>
    </row>
    <row r="182" spans="1:27" x14ac:dyDescent="0.2">
      <c r="A182" t="b">
        <v>0</v>
      </c>
      <c r="B182">
        <v>1000</v>
      </c>
      <c r="C182">
        <v>0.97355066569361104</v>
      </c>
      <c r="D182" t="s">
        <v>52</v>
      </c>
      <c r="E182" t="b">
        <v>1</v>
      </c>
      <c r="F182" t="s">
        <v>53</v>
      </c>
      <c r="G182">
        <v>7.4999999999999997E-2</v>
      </c>
      <c r="H182">
        <v>0.5</v>
      </c>
      <c r="I182">
        <v>1E-4</v>
      </c>
      <c r="J182" t="b">
        <v>1</v>
      </c>
      <c r="K182">
        <v>4</v>
      </c>
      <c r="L182">
        <v>1500</v>
      </c>
      <c r="M182">
        <v>1</v>
      </c>
      <c r="N182">
        <v>0.154</v>
      </c>
      <c r="O182" t="s">
        <v>158</v>
      </c>
      <c r="P182" t="s">
        <v>160</v>
      </c>
      <c r="Q182">
        <v>-1.8143196692121699E-4</v>
      </c>
      <c r="R182" s="1">
        <v>5.3529039837540903E-6</v>
      </c>
      <c r="S182">
        <v>5.6200889555699696E-4</v>
      </c>
      <c r="T182">
        <v>-4.2385669963030601E-3</v>
      </c>
      <c r="U182">
        <v>4.0688876864219301</v>
      </c>
      <c r="V182" s="1">
        <v>9.4903839716114893E-15</v>
      </c>
      <c r="W182">
        <v>4.1424867322579998E-3</v>
      </c>
      <c r="X182">
        <v>4.4717324300829597</v>
      </c>
      <c r="Y182">
        <v>0.122068230155137</v>
      </c>
      <c r="Z182">
        <v>0.68322579671905703</v>
      </c>
      <c r="AA182">
        <v>0.57268174332232702</v>
      </c>
    </row>
    <row r="183" spans="1:27" x14ac:dyDescent="0.2">
      <c r="A183" t="b">
        <v>0</v>
      </c>
      <c r="B183">
        <v>1000</v>
      </c>
      <c r="C183">
        <v>0.97355066569361104</v>
      </c>
      <c r="D183" t="s">
        <v>52</v>
      </c>
      <c r="E183" t="b">
        <v>1</v>
      </c>
      <c r="F183" t="s">
        <v>53</v>
      </c>
      <c r="G183">
        <v>7.4999999999999997E-2</v>
      </c>
      <c r="H183">
        <v>0.5</v>
      </c>
      <c r="I183">
        <v>1E-4</v>
      </c>
      <c r="J183" t="b">
        <v>1</v>
      </c>
      <c r="K183">
        <v>4</v>
      </c>
      <c r="L183">
        <v>1500</v>
      </c>
      <c r="M183">
        <v>1</v>
      </c>
      <c r="N183">
        <v>0.154</v>
      </c>
      <c r="O183" t="s">
        <v>158</v>
      </c>
      <c r="P183" t="s">
        <v>161</v>
      </c>
      <c r="Q183">
        <v>-3.3187432244583199E-4</v>
      </c>
      <c r="R183" s="1">
        <v>1.8304838965399702E-5</v>
      </c>
      <c r="S183">
        <v>1.1239481471811399E-3</v>
      </c>
      <c r="T183">
        <v>-8.4753302370261501E-3</v>
      </c>
      <c r="U183">
        <v>4.06810644255693</v>
      </c>
      <c r="V183" s="1">
        <v>9.9999930228699593E-15</v>
      </c>
      <c r="W183">
        <v>1.8746173965595199E-3</v>
      </c>
      <c r="X183">
        <v>3.8889787887412299</v>
      </c>
      <c r="Y183">
        <v>0.248165669389978</v>
      </c>
      <c r="Z183">
        <v>1.9999974510369201</v>
      </c>
      <c r="AA183">
        <v>0.68923100501892598</v>
      </c>
    </row>
    <row r="184" spans="1:27" x14ac:dyDescent="0.2">
      <c r="A184" t="b">
        <v>0</v>
      </c>
      <c r="B184">
        <v>1000</v>
      </c>
      <c r="C184">
        <v>0.97355066569361104</v>
      </c>
      <c r="D184" t="s">
        <v>52</v>
      </c>
      <c r="E184" t="b">
        <v>1</v>
      </c>
      <c r="F184" t="s">
        <v>53</v>
      </c>
      <c r="G184">
        <v>7.4999999999999997E-2</v>
      </c>
      <c r="H184">
        <v>0.5</v>
      </c>
      <c r="I184">
        <v>1E-4</v>
      </c>
      <c r="J184" t="b">
        <v>1</v>
      </c>
      <c r="K184">
        <v>4</v>
      </c>
      <c r="L184">
        <v>1500</v>
      </c>
      <c r="M184">
        <v>1</v>
      </c>
      <c r="N184">
        <v>0.154</v>
      </c>
      <c r="O184" t="s">
        <v>159</v>
      </c>
      <c r="P184" t="s">
        <v>160</v>
      </c>
      <c r="Q184" s="1">
        <v>-1E-10</v>
      </c>
      <c r="R184" s="1">
        <v>3.5857869530473298E-12</v>
      </c>
      <c r="S184" s="1">
        <v>3.97146357021442E-18</v>
      </c>
      <c r="T184" s="1">
        <v>3.7400662525289302E-17</v>
      </c>
      <c r="U184">
        <v>4.06810641006878</v>
      </c>
      <c r="V184">
        <v>0</v>
      </c>
      <c r="W184">
        <v>6.8474232067348595E-2</v>
      </c>
      <c r="X184">
        <v>2</v>
      </c>
      <c r="Y184">
        <v>4.00052913425036E-3</v>
      </c>
      <c r="Z184">
        <v>2.5000000000000001E-4</v>
      </c>
      <c r="AA184">
        <v>4.7933083130349899E-3</v>
      </c>
    </row>
    <row r="185" spans="1:27" x14ac:dyDescent="0.2">
      <c r="A185" t="b">
        <v>0</v>
      </c>
      <c r="B185">
        <v>1000</v>
      </c>
      <c r="C185">
        <v>0.97355066569361104</v>
      </c>
      <c r="D185" t="s">
        <v>52</v>
      </c>
      <c r="E185" t="b">
        <v>1</v>
      </c>
      <c r="F185" t="s">
        <v>53</v>
      </c>
      <c r="G185">
        <v>7.4999999999999997E-2</v>
      </c>
      <c r="H185">
        <v>0.5</v>
      </c>
      <c r="I185">
        <v>1E-4</v>
      </c>
      <c r="J185" t="b">
        <v>1</v>
      </c>
      <c r="K185">
        <v>4</v>
      </c>
      <c r="L185">
        <v>1500</v>
      </c>
      <c r="M185">
        <v>1</v>
      </c>
      <c r="N185">
        <v>0.154</v>
      </c>
      <c r="O185" t="s">
        <v>159</v>
      </c>
      <c r="P185" t="s">
        <v>161</v>
      </c>
      <c r="Q185">
        <v>-1.8141011877331401E-4</v>
      </c>
      <c r="R185" s="1">
        <v>5.3406225118795897E-6</v>
      </c>
      <c r="S185">
        <v>5.6193925162413701E-4</v>
      </c>
      <c r="T185">
        <v>-4.2367632407225497E-3</v>
      </c>
      <c r="U185">
        <v>4.0673251662037897</v>
      </c>
      <c r="V185" s="1">
        <v>9.4894905084090894E-15</v>
      </c>
      <c r="W185">
        <v>4.1282621285600703E-3</v>
      </c>
      <c r="X185">
        <v>4.4710749767275102</v>
      </c>
      <c r="Y185">
        <v>0.12191908941506401</v>
      </c>
      <c r="Z185">
        <v>0.68293008320585302</v>
      </c>
      <c r="AA185">
        <v>0.57125035240780397</v>
      </c>
    </row>
    <row r="186" spans="1:27" x14ac:dyDescent="0.2">
      <c r="A186" t="b">
        <v>0</v>
      </c>
      <c r="B186">
        <v>1000</v>
      </c>
      <c r="C186">
        <v>0.97355066569361104</v>
      </c>
      <c r="D186" t="s">
        <v>52</v>
      </c>
      <c r="E186" t="b">
        <v>1</v>
      </c>
      <c r="F186" t="s">
        <v>53</v>
      </c>
      <c r="G186">
        <v>7.4999999999999997E-2</v>
      </c>
      <c r="H186">
        <v>0.5</v>
      </c>
      <c r="I186">
        <v>1E-4</v>
      </c>
      <c r="J186" t="b">
        <v>1</v>
      </c>
      <c r="K186">
        <v>4</v>
      </c>
      <c r="L186">
        <v>1500</v>
      </c>
      <c r="M186">
        <v>1</v>
      </c>
      <c r="N186">
        <v>0.154</v>
      </c>
      <c r="O186" t="s">
        <v>160</v>
      </c>
      <c r="P186" t="s">
        <v>161</v>
      </c>
      <c r="Q186">
        <v>-1.81410119158706E-4</v>
      </c>
      <c r="R186" s="1">
        <v>5.2539903575635103E-6</v>
      </c>
      <c r="S186">
        <v>5.6193925162414699E-4</v>
      </c>
      <c r="T186">
        <v>-4.2367632407229096E-3</v>
      </c>
      <c r="U186">
        <v>4.0673251663299199</v>
      </c>
      <c r="V186" s="1">
        <v>9.4889191280320095E-15</v>
      </c>
      <c r="W186">
        <v>4.0680414233701702E-3</v>
      </c>
      <c r="X186">
        <v>4.4710749929879103</v>
      </c>
      <c r="Y186">
        <v>0.119767374621031</v>
      </c>
      <c r="Z186">
        <v>0.68293004565889504</v>
      </c>
      <c r="AA186">
        <v>0.56202296403730001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analysis</vt:lpstr>
      <vt:lpstr>original</vt:lpstr>
      <vt:lpstr>analysis!fitting_results</vt:lpstr>
      <vt:lpstr>original!fitting_results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 Beck- Barkai</dc:creator>
  <cp:lastModifiedBy>Roy Beck- Barkai</cp:lastModifiedBy>
  <dcterms:created xsi:type="dcterms:W3CDTF">2025-03-31T07:42:08Z</dcterms:created>
  <dcterms:modified xsi:type="dcterms:W3CDTF">2025-03-31T08:19:24Z</dcterms:modified>
</cp:coreProperties>
</file>