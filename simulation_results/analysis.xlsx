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beck/Library/CloudStorage/Dropbox/coding/pazi/Pazi/simulation_results/"/>
    </mc:Choice>
  </mc:AlternateContent>
  <xr:revisionPtr revIDLastSave="0" documentId="8_{DB229602-DE2C-0047-911C-027089C73986}" xr6:coauthVersionLast="47" xr6:coauthVersionMax="47" xr10:uidLastSave="{00000000-0000-0000-0000-000000000000}"/>
  <bookViews>
    <workbookView xWindow="0" yWindow="500" windowWidth="68800" windowHeight="27020" xr2:uid="{98256213-2FBE-3A40-AC58-F60B842A718E}"/>
  </bookViews>
  <sheets>
    <sheet name="Sheet1" sheetId="1" r:id="rId1"/>
  </sheets>
  <definedNames>
    <definedName name="_xlnm._FilterDatabase" localSheetId="0" hidden="1">Sheet1!$A$26:$S$35</definedName>
    <definedName name="fitting_results_1" localSheetId="0">Sheet1!$A$1:$X$35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  <c r="AD29" i="1"/>
  <c r="AD30" i="1"/>
  <c r="AD31" i="1"/>
  <c r="AD32" i="1"/>
  <c r="AD33" i="1"/>
  <c r="AD34" i="1"/>
  <c r="AD35" i="1"/>
  <c r="AD27" i="1"/>
  <c r="AC28" i="1"/>
  <c r="AC29" i="1"/>
  <c r="AC30" i="1"/>
  <c r="AC31" i="1"/>
  <c r="AC32" i="1"/>
  <c r="AC33" i="1"/>
  <c r="AC34" i="1"/>
  <c r="AC35" i="1"/>
  <c r="AC27" i="1"/>
  <c r="AA28" i="1"/>
  <c r="AA29" i="1"/>
  <c r="AA30" i="1"/>
  <c r="AA31" i="1"/>
  <c r="AA32" i="1"/>
  <c r="AA33" i="1"/>
  <c r="AA34" i="1"/>
  <c r="AA35" i="1"/>
  <c r="AA27" i="1"/>
  <c r="Z28" i="1"/>
  <c r="Z29" i="1"/>
  <c r="Z30" i="1"/>
  <c r="Z31" i="1"/>
  <c r="Z32" i="1"/>
  <c r="Z33" i="1"/>
  <c r="Z34" i="1"/>
  <c r="Z35" i="1"/>
  <c r="Z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10969-7BF2-4448-9C27-69D2D4E95B7B}" name="fitting_results" type="6" refreshedVersion="8" background="1" saveData="1">
    <textPr codePage="10000" sourceFile="/Users/roybeck/Library/CloudStorage/Dropbox/coding/pazi/Pazi/simulation_results/fitting_results.csv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<sst xmlns="http://schemas.openxmlformats.org/spreadsheetml/2006/main" count="88" uniqueCount="72">
  <si>
    <t># Fitting Parameters Used:</t>
  </si>
  <si>
    <t># q_min: 0.0</t>
  </si>
  <si>
    <t># q_max: 0.2</t>
  </si>
  <si>
    <t># form_factor_name: guinier_ff</t>
  </si>
  <si>
    <t># f2_initial: 0.0</t>
  </si>
  <si>
    <t># f2_min: -1.0</t>
  </si>
  <si>
    <t># f2_max: 1.0</t>
  </si>
  <si>
    <t># f2_free: False</t>
  </si>
  <si>
    <t># rg_initial: 2.0</t>
  </si>
  <si>
    <t># rg_min: 0.5</t>
  </si>
  <si>
    <t># rg_max: 2.5</t>
  </si>
  <si>
    <t># rg_free: True</t>
  </si>
  <si>
    <t># perform_guinier_estimation: False</t>
  </si>
  <si>
    <t># var_initial: 0.00025</t>
  </si>
  <si>
    <t># var_min: 5e-06</t>
  </si>
  <si>
    <t># var_max: 0.5</t>
  </si>
  <si>
    <t># var_free: True</t>
  </si>
  <si>
    <t># A_initial: 0.1</t>
  </si>
  <si>
    <t># A_min: -1.0</t>
  </si>
  <si>
    <t># A_max: 0.0</t>
  </si>
  <si>
    <t># A_free: True</t>
  </si>
  <si>
    <t># plot_fitting_curve: False</t>
  </si>
  <si>
    <t># auto_set_parameters: True</t>
  </si>
  <si>
    <t># auto_rg_bound_percent: 0.2</t>
  </si>
  <si>
    <t>binning</t>
  </si>
  <si>
    <t>bins_number</t>
  </si>
  <si>
    <t>form_factor_name</t>
  </si>
  <si>
    <t>normalization_on</t>
  </si>
  <si>
    <t>px_number</t>
  </si>
  <si>
    <t>px_size</t>
  </si>
  <si>
    <t>q_max</t>
  </si>
  <si>
    <t>q_min</t>
  </si>
  <si>
    <t>return_unique</t>
  </si>
  <si>
    <t>rg</t>
  </si>
  <si>
    <t>sample_detector_distance</t>
  </si>
  <si>
    <t>variance</t>
  </si>
  <si>
    <t>wavelength</t>
  </si>
  <si>
    <t>filename1</t>
  </si>
  <si>
    <t>filename2</t>
  </si>
  <si>
    <t>A_fit</t>
  </si>
  <si>
    <t>f2_fit</t>
  </si>
  <si>
    <t>rg_fit</t>
  </si>
  <si>
    <t>var_fit</t>
  </si>
  <si>
    <t>guinier_ff</t>
  </si>
  <si>
    <t>[500, 500]</t>
  </si>
  <si>
    <t>sim_000_rg2.000_variance0.010_sigma_x0.010.csv</t>
  </si>
  <si>
    <t>sim_001_rg2.000_variance0.010_sigma_x2.csv</t>
  </si>
  <si>
    <t>sim_002_rg2.000_variance0.100_sigma_x0.010.csv</t>
  </si>
  <si>
    <t>sim_003_rg2.000_variance0.100_sigma_x2.csv</t>
  </si>
  <si>
    <t>sim_004_rg2.000_variance0.200_sigma_x0.010.csv</t>
  </si>
  <si>
    <t>sim_005_rg2.000_variance0.200_sigma_x2.csv</t>
  </si>
  <si>
    <t>sim_006_rg2.000_variance0.300_sigma_x0.010.csv</t>
  </si>
  <si>
    <t>sim_007_rg2.000_variance0.300_sigma_x2.csv</t>
  </si>
  <si>
    <t>sim_008_rg2.000_variance0.400_sigma_x0.010.csv</t>
  </si>
  <si>
    <t>sim_009_rg2.000_variance0.400_sigma_x2.csv</t>
  </si>
  <si>
    <t>sim_010_rg2.000_variance0.500_sigma_x0.010.csv</t>
  </si>
  <si>
    <t>sim_011_rg2.000_variance0.500_sigma_x2.csv</t>
  </si>
  <si>
    <t>sim_012_rg2.000_variance0.700_sigma_x0.010.csv</t>
  </si>
  <si>
    <t>sim_013_rg2.000_variance0.700_sigma_x2.csv</t>
  </si>
  <si>
    <t>sim_014_rg2.000_variance0.800_sigma_x0.010.csv</t>
  </si>
  <si>
    <t>sim_015_rg2.000_variance0.800_sigma_x2.csv</t>
  </si>
  <si>
    <t>sim_016_rg2.000_variance1_sigma_x0.010.csv</t>
  </si>
  <si>
    <t>sim_017_rg2.000_variance1_sigma_x2.csv</t>
  </si>
  <si>
    <t>A_fit_error</t>
  </si>
  <si>
    <t>Rg_guinier</t>
  </si>
  <si>
    <t>f2_fit_error</t>
  </si>
  <si>
    <t>rg_fit_error</t>
  </si>
  <si>
    <t>var_fit_error</t>
  </si>
  <si>
    <t>(Rg_fit-Rg_Guinier) / Rg_real</t>
  </si>
  <si>
    <t>(Var_fit-V_real)/V_real</t>
  </si>
  <si>
    <t>(Rg_fit-Rg_real) / Rg_real</t>
  </si>
  <si>
    <t>(R_Guinier-Rg_real)/ Rg_real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</si>
</sst>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Sheet1!$AA$26</c:f>
              <c:strCache>
                <c:ptCount val="1"/>
                <c:pt idx="0">
                  <c:v>(Var_fit-V_real)/V_real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Sheet1!$L$27:$L$35</c:f>
              <c:numCache>
                <c:formatCode>General</c:formatCode>
                <c:ptCount val="9"/>
                <c:pt idx="0">
                  <c:v>0.01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0.7</c:v>
                </c:pt>
                <c:pt idx="7">
                  <c:v>0.8</c:v>
                </c:pt>
                <c:pt idx="8">
                  <c:v>1</c:v>
                </c:pt>
              </c:numCache>
            </c:numRef>
          </c:xVal>
          <c:yVal>
            <c:numRef>
              <c:f>Sheet1!$AA$27:$AA$35</c:f>
              <c:numCache>
                <c:formatCode>General</c:formatCode>
                <c:ptCount val="9"/>
                <c:pt idx="0">
                  <c:v>-0.97499999999999998</c:v>
                </c:pt>
                <c:pt idx="1">
                  <c:v>-0.99723493601577473</c:v>
                </c:pt>
                <c:pt idx="2">
                  <c:v>-0.99862361537619204</c:v>
                </c:pt>
                <c:pt idx="3">
                  <c:v>-0.99908638853653353</c:v>
                </c:pt>
                <c:pt idx="4">
                  <c:v>-0.99931757743219674</c:v>
                </c:pt>
                <c:pt idx="5">
                  <c:v>-0.99945597391148389</c:v>
                </c:pt>
                <c:pt idx="6">
                  <c:v>-0.49624518910024995</c:v>
                </c:pt>
                <c:pt idx="7">
                  <c:v>-0.5144294317639363</c:v>
                </c:pt>
                <c:pt idx="8">
                  <c:v>-0.54353199586120904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54-4B4E-AA7F-94437EAF2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36528"/>
        <c:axId val="1124938240"/>
      </c:scatterChart>
      <c:valAx>
        <c:axId val="112493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124938240"/>
        <c:crosses val="autoZero"/>
        <c:crossBetween val="midCat"/>
      </c:valAx>
      <c:valAx>
        <c:axId val="11249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(Var_fit-V_real)/V_real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12493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Rg estimates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Sheet1!$AC$26</c:f>
              <c:strCache>
                <c:ptCount val="1"/>
                <c:pt idx="0">
                  <c:v>(Rg_fit-Rg_real) / Rg_real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Sheet1!$L$27:$L$35</c:f>
              <c:numCache>
                <c:formatCode>General</c:formatCode>
                <c:ptCount val="9"/>
                <c:pt idx="0">
                  <c:v>0.01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0.7</c:v>
                </c:pt>
                <c:pt idx="7">
                  <c:v>0.8</c:v>
                </c:pt>
                <c:pt idx="8">
                  <c:v>1</c:v>
                </c:pt>
              </c:numCache>
            </c:numRef>
          </c:xVal>
          <c:yVal>
            <c:numRef>
              <c:f>Sheet1!$AC$27:$AC$35</c:f>
              <c:numCache>
                <c:formatCode>General</c:formatCode>
                <c:ptCount val="9"/>
                <c:pt idx="0">
                  <c:v>1.080732835289977E-3</c:v>
                </c:pt>
                <c:pt idx="1">
                  <c:v>9.7559854282400771E-3</c:v>
                </c:pt>
                <c:pt idx="2">
                  <c:v>1.8768416280970035E-2</c:v>
                </c:pt>
                <c:pt idx="3">
                  <c:v>2.7689353407444939E-2</c:v>
                </c:pt>
                <c:pt idx="4">
                  <c:v>3.6520877141124952E-2</c:v>
                </c:pt>
                <c:pt idx="5">
                  <c:v>4.5813132265080103E-2</c:v>
                </c:pt>
                <c:pt idx="6">
                  <c:v>4.8836815234899911E-2</c:v>
                </c:pt>
                <c:pt idx="7">
                  <c:v>5.7638703187175011E-2</c:v>
                </c:pt>
                <c:pt idx="8">
                  <c:v>7.6451993984389954E-2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41-B540-AF88-B6D5C8E46912}"/>
            </c:ext>
          </c:extLst>
        </c:ser>
        <c:ser>
          <c:idx val="1"/>
          <c:order val="1"/>
          <c:tx>
            <c:strRef>
              <c:f>Sheet1!$AD$26</c:f>
              <c:strCache>
                <c:ptCount val="1"/>
                <c:pt idx="0">
                  <c:v>(R_Guinier-Rg_real)/ Rg_real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Sheet1!$L$27:$L$35</c:f>
              <c:numCache>
                <c:formatCode>General</c:formatCode>
                <c:ptCount val="9"/>
                <c:pt idx="0">
                  <c:v>0.01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0.7</c:v>
                </c:pt>
                <c:pt idx="7">
                  <c:v>0.8</c:v>
                </c:pt>
                <c:pt idx="8">
                  <c:v>1</c:v>
                </c:pt>
              </c:numCache>
            </c:numRef>
          </c:xVal>
          <c:yVal>
            <c:numRef>
              <c:f>Sheet1!$AD$27:$AD$35</c:f>
              <c:numCache>
                <c:formatCode>General</c:formatCode>
                <c:ptCount val="9"/>
                <c:pt idx="0">
                  <c:v>1.080732835289977E-3</c:v>
                </c:pt>
                <c:pt idx="1">
                  <c:v>1.07944585122699E-2</c:v>
                </c:pt>
                <c:pt idx="2">
                  <c:v>2.1457497576454987E-2</c:v>
                </c:pt>
                <c:pt idx="3">
                  <c:v>3.1987874526010041E-2</c:v>
                </c:pt>
                <c:pt idx="4">
                  <c:v>4.2389681520125011E-2</c:v>
                </c:pt>
                <c:pt idx="5">
                  <c:v>5.3199448809954974E-2</c:v>
                </c:pt>
                <c:pt idx="6">
                  <c:v>7.6723995637594911E-2</c:v>
                </c:pt>
                <c:pt idx="7">
                  <c:v>8.9017983075855067E-2</c:v>
                </c:pt>
                <c:pt idx="8">
                  <c:v>0.11423091556286491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41-B540-AF88-B6D5C8E4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978736"/>
        <c:axId val="572014784"/>
      </c:scatterChart>
      <c:valAx>
        <c:axId val="57197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72014784"/>
        <c:crosses val="autoZero"/>
        <c:crossBetween val="midCat"/>
      </c:valAx>
      <c:valAx>
        <c:axId val="5720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7197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9.0553368328958883E-2"/>
          <c:y val="0.18097222222222226"/>
          <c:w val="0.40944663167104112"/>
          <c:h val="0.256946631671041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114822</xdr:colOff>
      <xdr:row>8</xdr:row>
      <xdr:rowOff>202853</xdr:rowOff>
    </xdr:from>
    <xdr:to>
      <xdr:col>19</xdr:col>
      <xdr:colOff>929014</xdr:colOff>
      <xdr:row>22</xdr:row>
      <xdr:rowOff>104500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6A2A1B-80BB-7B83-17A7-28190F425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132218</xdr:colOff>
      <xdr:row>8</xdr:row>
      <xdr:rowOff>202853</xdr:rowOff>
    </xdr:from>
    <xdr:to>
      <xdr:col>25</xdr:col>
      <xdr:colOff>540474</xdr:colOff>
      <xdr:row>22</xdr:row>
      <xdr:rowOff>104500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365FE1-6B57-BC9F-21BA-EFB5EE79E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tting_results_1" connectionId="1" xr16:uid="{3D3B7F4C-AC8A-374B-800D-1C2943E839E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FE06-2BC9-BD4E-A878-3F311465B3A4}">
  <dimension ref="A1:AD35"/>
  <sheetViews>
    <sheetView tabSelected="1" topLeftCell="A6" zoomScale="219" zoomScaleNormal="219" workbookViewId="0">
      <selection activeCell="A6" sqref="A1:L1048576"/>
    </sheetView>
  </sheetViews>
  <sheetFormatPr baseColWidth="10" defaultRowHeight="16" x14ac:dyDescent="0.2"/>
  <cols>
    <col min="1" max="1" width="30.5" style="2" bestFit="1" customWidth="1"/>
    <col min="2" max="2" width="11.5" style="2" hidden="1" customWidth="1"/>
    <col min="3" max="3" width="15.83203125" style="2" hidden="1" customWidth="1"/>
    <col min="4" max="4" width="15.1640625" style="2" hidden="1" customWidth="1"/>
    <col min="5" max="5" width="10" style="2" hidden="1" customWidth="1"/>
    <col min="6" max="6" width="7" style="2" hidden="1" customWidth="1"/>
    <col min="7" max="7" width="6.33203125" style="2" hidden="1" customWidth="1"/>
    <col min="8" max="8" width="7.1640625" style="2" hidden="1" customWidth="1"/>
    <col min="9" max="9" width="12.5" style="2" hidden="1" customWidth="1"/>
    <col min="10" max="10" width="6.1640625" style="1" bestFit="1" customWidth="1"/>
    <col min="11" max="11" width="23" style="1" hidden="1" customWidth="1"/>
    <col min="12" max="12" width="8.1640625" style="1" customWidth="1"/>
    <col min="13" max="13" width="10.33203125" style="1" hidden="1" customWidth="1"/>
    <col min="14" max="14" width="42.83203125" style="1" hidden="1" customWidth="1"/>
    <col min="15" max="15" width="39.1640625" style="1" hidden="1" customWidth="1"/>
    <col min="16" max="16" width="12.83203125" style="1" bestFit="1" customWidth="1"/>
    <col min="17" max="17" width="12.1640625" style="1" bestFit="1" customWidth="1"/>
    <col min="18" max="18" width="12.5" style="1" bestFit="1" customWidth="1"/>
    <col min="19" max="19" width="11.83203125" style="1" bestFit="1" customWidth="1"/>
    <col min="20" max="20" width="12.5" style="1" bestFit="1" customWidth="1"/>
    <col min="21" max="21" width="8.5" style="1" bestFit="1" customWidth="1"/>
    <col min="22" max="22" width="10.33203125" style="1" bestFit="1" customWidth="1"/>
    <col min="23" max="24" width="12.5" style="1" bestFit="1" customWidth="1"/>
    <col min="25" max="25" width="10.83203125" style="1"/>
    <col min="26" max="26" width="22.33203125" style="2" customWidth="1"/>
    <col min="27" max="27" width="20" style="2" customWidth="1"/>
    <col min="28" max="16384" width="10.83203125" style="2"/>
  </cols>
  <sheetData>
    <row r="1" spans="1:1" x14ac:dyDescent="0.2">
      <c r="A1" s="2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30" x14ac:dyDescent="0.2">
      <c r="A17" s="2" t="s">
        <v>16</v>
      </c>
    </row>
    <row r="18" spans="1:30" x14ac:dyDescent="0.2">
      <c r="A18" s="2" t="s">
        <v>17</v>
      </c>
    </row>
    <row r="19" spans="1:30" x14ac:dyDescent="0.2">
      <c r="A19" s="2" t="s">
        <v>18</v>
      </c>
    </row>
    <row r="20" spans="1:30" x14ac:dyDescent="0.2">
      <c r="A20" s="2" t="s">
        <v>19</v>
      </c>
    </row>
    <row r="21" spans="1:30" x14ac:dyDescent="0.2">
      <c r="A21" s="2" t="s">
        <v>20</v>
      </c>
    </row>
    <row r="22" spans="1:30" x14ac:dyDescent="0.2">
      <c r="A22" s="2" t="s">
        <v>21</v>
      </c>
    </row>
    <row r="23" spans="1:30" x14ac:dyDescent="0.2">
      <c r="A23" s="2" t="s">
        <v>22</v>
      </c>
    </row>
    <row r="24" spans="1:30" x14ac:dyDescent="0.2">
      <c r="A24" s="2" t="s">
        <v>23</v>
      </c>
    </row>
    <row r="26" spans="1:30" x14ac:dyDescent="0.2">
      <c r="A26" s="2" t="s">
        <v>24</v>
      </c>
      <c r="B26" s="2" t="s">
        <v>25</v>
      </c>
      <c r="C26" s="2" t="s">
        <v>26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31</v>
      </c>
      <c r="I26" s="2" t="s">
        <v>32</v>
      </c>
      <c r="J26" s="1" t="s">
        <v>33</v>
      </c>
      <c r="K26" s="1" t="s">
        <v>34</v>
      </c>
      <c r="L26" s="1" t="s">
        <v>35</v>
      </c>
      <c r="M26" s="1" t="s">
        <v>36</v>
      </c>
      <c r="N26" s="1" t="s">
        <v>37</v>
      </c>
      <c r="O26" s="1" t="s">
        <v>38</v>
      </c>
      <c r="P26" s="1" t="s">
        <v>39</v>
      </c>
      <c r="Q26" s="1" t="s">
        <v>63</v>
      </c>
      <c r="R26" s="1" t="s">
        <v>64</v>
      </c>
      <c r="S26" s="1" t="s">
        <v>40</v>
      </c>
      <c r="T26" s="1" t="s">
        <v>65</v>
      </c>
      <c r="U26" s="1" t="s">
        <v>41</v>
      </c>
      <c r="V26" s="1" t="s">
        <v>66</v>
      </c>
      <c r="W26" s="1" t="s">
        <v>42</v>
      </c>
      <c r="X26" s="1" t="s">
        <v>67</v>
      </c>
      <c r="Z26" s="1" t="s">
        <v>68</v>
      </c>
      <c r="AA26" s="1" t="s">
        <v>69</v>
      </c>
      <c r="AC26" s="1" t="s">
        <v>70</v>
      </c>
      <c r="AD26" s="2" t="s">
        <v>71</v>
      </c>
    </row>
    <row r="27" spans="1:30" x14ac:dyDescent="0.2">
      <c r="A27" s="2" t="b">
        <v>0</v>
      </c>
      <c r="B27" s="2">
        <v>1000</v>
      </c>
      <c r="C27" s="2" t="s">
        <v>43</v>
      </c>
      <c r="D27" s="2" t="b">
        <v>1</v>
      </c>
      <c r="E27" s="2" t="s">
        <v>44</v>
      </c>
      <c r="F27" s="2">
        <v>7.4999999999999997E-2</v>
      </c>
      <c r="G27" s="2">
        <v>0.5</v>
      </c>
      <c r="H27" s="2">
        <v>1E-4</v>
      </c>
      <c r="I27" s="2" t="b">
        <v>0</v>
      </c>
      <c r="J27" s="1">
        <v>2</v>
      </c>
      <c r="K27" s="1">
        <v>1500</v>
      </c>
      <c r="L27" s="1">
        <v>0.01</v>
      </c>
      <c r="M27" s="1">
        <v>0.154</v>
      </c>
      <c r="N27" s="1" t="s">
        <v>45</v>
      </c>
      <c r="O27" s="1" t="s">
        <v>46</v>
      </c>
      <c r="P27" s="1">
        <v>-8.3274303511984198E-6</v>
      </c>
      <c r="Q27" s="1">
        <v>4.7043667261667003E-6</v>
      </c>
      <c r="R27" s="1">
        <v>2.00216146567058</v>
      </c>
      <c r="S27" s="1">
        <v>0</v>
      </c>
      <c r="T27" s="1">
        <v>1.1275811059140901E-2</v>
      </c>
      <c r="U27" s="1">
        <v>2.00216146567058</v>
      </c>
      <c r="V27" s="1">
        <v>0.64234055618832897</v>
      </c>
      <c r="W27" s="1">
        <v>2.5000000000000001E-4</v>
      </c>
      <c r="X27" s="1">
        <v>0.36294090722417899</v>
      </c>
      <c r="Z27" s="1">
        <f>+(U27-R27)/J27</f>
        <v>0</v>
      </c>
      <c r="AA27" s="2">
        <f>+(W27-L27)/L27</f>
        <v>-0.97499999999999998</v>
      </c>
      <c r="AC27" s="1">
        <f>+(U27-J27)/J27</f>
        <v>1.080732835289977E-3</v>
      </c>
      <c r="AD27" s="2">
        <f>+(R27-J27)/J27</f>
        <v>1.080732835289977E-3</v>
      </c>
    </row>
    <row r="28" spans="1:30" x14ac:dyDescent="0.2">
      <c r="A28" s="2" t="b">
        <v>0</v>
      </c>
      <c r="B28" s="2">
        <v>1000</v>
      </c>
      <c r="C28" s="2" t="s">
        <v>43</v>
      </c>
      <c r="D28" s="2" t="b">
        <v>1</v>
      </c>
      <c r="E28" s="2" t="s">
        <v>44</v>
      </c>
      <c r="F28" s="2">
        <v>7.4999999999999997E-2</v>
      </c>
      <c r="G28" s="2">
        <v>0.5</v>
      </c>
      <c r="H28" s="2">
        <v>1E-4</v>
      </c>
      <c r="I28" s="2" t="b">
        <v>0</v>
      </c>
      <c r="J28" s="1">
        <v>2</v>
      </c>
      <c r="K28" s="1">
        <v>1500</v>
      </c>
      <c r="L28" s="1">
        <v>0.1</v>
      </c>
      <c r="M28" s="1">
        <v>0.154</v>
      </c>
      <c r="N28" s="1" t="s">
        <v>47</v>
      </c>
      <c r="O28" s="1" t="s">
        <v>48</v>
      </c>
      <c r="P28" s="1">
        <v>-8.3210616092385006E-6</v>
      </c>
      <c r="Q28" s="1">
        <v>5.0500463450952504E-6</v>
      </c>
      <c r="R28" s="1">
        <v>2.0215889170245398</v>
      </c>
      <c r="S28" s="1">
        <v>-2.7089738515239401E-15</v>
      </c>
      <c r="T28" s="1">
        <v>1.5713515157261802E-2</v>
      </c>
      <c r="U28" s="1">
        <v>2.0195119708564802</v>
      </c>
      <c r="V28" s="1">
        <v>0.69544687219106105</v>
      </c>
      <c r="W28" s="1">
        <v>2.7650639842253101E-4</v>
      </c>
      <c r="X28" s="1">
        <v>0.430830412887931</v>
      </c>
      <c r="Z28" s="1">
        <f t="shared" ref="Z28:Z35" si="0">+(U28-R28)/J28</f>
        <v>-1.0384730840298229E-3</v>
      </c>
      <c r="AA28" s="2">
        <f t="shared" ref="AA28:AA35" si="1">+(W28-L28)/L28</f>
        <v>-0.99723493601577473</v>
      </c>
      <c r="AC28" s="1">
        <f t="shared" ref="AC28:AC35" si="2">+(U28-J28)/J28</f>
        <v>9.7559854282400771E-3</v>
      </c>
      <c r="AD28" s="2">
        <f t="shared" ref="AD28:AD35" si="3">+(R28-J28)/J28</f>
        <v>1.07944585122699E-2</v>
      </c>
    </row>
    <row r="29" spans="1:30" x14ac:dyDescent="0.2">
      <c r="A29" s="2" t="b">
        <v>0</v>
      </c>
      <c r="B29" s="2">
        <v>1000</v>
      </c>
      <c r="C29" s="2" t="s">
        <v>43</v>
      </c>
      <c r="D29" s="2" t="b">
        <v>1</v>
      </c>
      <c r="E29" s="2" t="s">
        <v>44</v>
      </c>
      <c r="F29" s="2">
        <v>7.4999999999999997E-2</v>
      </c>
      <c r="G29" s="2">
        <v>0.5</v>
      </c>
      <c r="H29" s="2">
        <v>1E-4</v>
      </c>
      <c r="I29" s="2" t="b">
        <v>0</v>
      </c>
      <c r="J29" s="1">
        <v>2</v>
      </c>
      <c r="K29" s="1">
        <v>1500</v>
      </c>
      <c r="L29" s="1">
        <v>0.2</v>
      </c>
      <c r="M29" s="1">
        <v>0.154</v>
      </c>
      <c r="N29" s="1" t="s">
        <v>49</v>
      </c>
      <c r="O29" s="1" t="s">
        <v>50</v>
      </c>
      <c r="P29" s="1">
        <v>-8.3279679462939299E-6</v>
      </c>
      <c r="Q29" s="1">
        <v>5.4591033298933704E-6</v>
      </c>
      <c r="R29" s="1">
        <v>2.04291499515291</v>
      </c>
      <c r="S29" s="1">
        <v>-2.77912006340281E-15</v>
      </c>
      <c r="T29" s="1">
        <v>1.8439359931779E-2</v>
      </c>
      <c r="U29" s="1">
        <v>2.0375368325619401</v>
      </c>
      <c r="V29" s="1">
        <v>0.75973632576879702</v>
      </c>
      <c r="W29" s="1">
        <v>2.7527692476160201E-4</v>
      </c>
      <c r="X29" s="1">
        <v>0.49592518501570199</v>
      </c>
      <c r="Z29" s="1">
        <f t="shared" si="0"/>
        <v>-2.6890812954849519E-3</v>
      </c>
      <c r="AA29" s="2">
        <f t="shared" si="1"/>
        <v>-0.99862361537619204</v>
      </c>
      <c r="AC29" s="1">
        <f t="shared" si="2"/>
        <v>1.8768416280970035E-2</v>
      </c>
      <c r="AD29" s="2">
        <f t="shared" si="3"/>
        <v>2.1457497576454987E-2</v>
      </c>
    </row>
    <row r="30" spans="1:30" x14ac:dyDescent="0.2">
      <c r="A30" s="2" t="b">
        <v>0</v>
      </c>
      <c r="B30" s="2">
        <v>1000</v>
      </c>
      <c r="C30" s="2" t="s">
        <v>43</v>
      </c>
      <c r="D30" s="2" t="b">
        <v>1</v>
      </c>
      <c r="E30" s="2" t="s">
        <v>44</v>
      </c>
      <c r="F30" s="2">
        <v>7.4999999999999997E-2</v>
      </c>
      <c r="G30" s="2">
        <v>0.5</v>
      </c>
      <c r="H30" s="2">
        <v>1E-4</v>
      </c>
      <c r="I30" s="2" t="b">
        <v>0</v>
      </c>
      <c r="J30" s="1">
        <v>2</v>
      </c>
      <c r="K30" s="1">
        <v>1500</v>
      </c>
      <c r="L30" s="1">
        <v>0.3</v>
      </c>
      <c r="M30" s="1">
        <v>0.154</v>
      </c>
      <c r="N30" s="1" t="s">
        <v>51</v>
      </c>
      <c r="O30" s="1" t="s">
        <v>52</v>
      </c>
      <c r="P30" s="1">
        <v>-8.3349797837844006E-6</v>
      </c>
      <c r="Q30" s="1">
        <v>5.8618533378572297E-6</v>
      </c>
      <c r="R30" s="1">
        <v>2.0639757490520201</v>
      </c>
      <c r="S30" s="1">
        <v>-2.8390628638762999E-15</v>
      </c>
      <c r="T30" s="1">
        <v>2.1224908628270901E-2</v>
      </c>
      <c r="U30" s="1">
        <v>2.0553787068148899</v>
      </c>
      <c r="V30" s="1">
        <v>0.82312604918955201</v>
      </c>
      <c r="W30" s="1">
        <v>2.7408343903996199E-4</v>
      </c>
      <c r="X30" s="1">
        <v>0.56132521115161105</v>
      </c>
      <c r="Z30" s="1">
        <f t="shared" si="0"/>
        <v>-4.2985211185651018E-3</v>
      </c>
      <c r="AA30" s="2">
        <f t="shared" si="1"/>
        <v>-0.99908638853653353</v>
      </c>
      <c r="AC30" s="1">
        <f t="shared" si="2"/>
        <v>2.7689353407444939E-2</v>
      </c>
      <c r="AD30" s="2">
        <f t="shared" si="3"/>
        <v>3.1987874526010041E-2</v>
      </c>
    </row>
    <row r="31" spans="1:30" x14ac:dyDescent="0.2">
      <c r="A31" s="2" t="b">
        <v>0</v>
      </c>
      <c r="B31" s="2">
        <v>1000</v>
      </c>
      <c r="C31" s="2" t="s">
        <v>43</v>
      </c>
      <c r="D31" s="2" t="b">
        <v>1</v>
      </c>
      <c r="E31" s="2" t="s">
        <v>44</v>
      </c>
      <c r="F31" s="2">
        <v>7.4999999999999997E-2</v>
      </c>
      <c r="G31" s="2">
        <v>0.5</v>
      </c>
      <c r="H31" s="2">
        <v>1E-4</v>
      </c>
      <c r="I31" s="2" t="b">
        <v>0</v>
      </c>
      <c r="J31" s="1">
        <v>2</v>
      </c>
      <c r="K31" s="1">
        <v>1500</v>
      </c>
      <c r="L31" s="1">
        <v>0.4</v>
      </c>
      <c r="M31" s="1">
        <v>0.154</v>
      </c>
      <c r="N31" s="1" t="s">
        <v>53</v>
      </c>
      <c r="O31" s="1" t="s">
        <v>54</v>
      </c>
      <c r="P31" s="1">
        <v>-8.3420643412181197E-6</v>
      </c>
      <c r="Q31" s="1">
        <v>6.2469035501651501E-6</v>
      </c>
      <c r="R31" s="1">
        <v>2.08477936304025</v>
      </c>
      <c r="S31" s="1">
        <v>-2.8957404835465E-15</v>
      </c>
      <c r="T31" s="1">
        <v>2.4156136676129699E-2</v>
      </c>
      <c r="U31" s="1">
        <v>2.0730417542822499</v>
      </c>
      <c r="V31" s="1">
        <v>0.88741563002079804</v>
      </c>
      <c r="W31" s="1">
        <v>2.7296902712131102E-4</v>
      </c>
      <c r="X31" s="1">
        <v>0.63702449761715896</v>
      </c>
      <c r="Z31" s="1">
        <f t="shared" si="0"/>
        <v>-5.8688043790000588E-3</v>
      </c>
      <c r="AA31" s="2">
        <f t="shared" si="1"/>
        <v>-0.99931757743219674</v>
      </c>
      <c r="AC31" s="1">
        <f t="shared" si="2"/>
        <v>3.6520877141124952E-2</v>
      </c>
      <c r="AD31" s="2">
        <f t="shared" si="3"/>
        <v>4.2389681520125011E-2</v>
      </c>
    </row>
    <row r="32" spans="1:30" x14ac:dyDescent="0.2">
      <c r="A32" s="2" t="b">
        <v>0</v>
      </c>
      <c r="B32" s="2">
        <v>1000</v>
      </c>
      <c r="C32" s="2" t="s">
        <v>43</v>
      </c>
      <c r="D32" s="2" t="b">
        <v>1</v>
      </c>
      <c r="E32" s="2" t="s">
        <v>44</v>
      </c>
      <c r="F32" s="2">
        <v>7.4999999999999997E-2</v>
      </c>
      <c r="G32" s="2">
        <v>0.5</v>
      </c>
      <c r="H32" s="2">
        <v>1E-4</v>
      </c>
      <c r="I32" s="2" t="b">
        <v>0</v>
      </c>
      <c r="J32" s="1">
        <v>2</v>
      </c>
      <c r="K32" s="1">
        <v>1500</v>
      </c>
      <c r="L32" s="1">
        <v>0.5</v>
      </c>
      <c r="M32" s="1">
        <v>0.154</v>
      </c>
      <c r="N32" s="1" t="s">
        <v>55</v>
      </c>
      <c r="O32" s="1" t="s">
        <v>56</v>
      </c>
      <c r="P32" s="1">
        <v>-8.3490921900794408E-6</v>
      </c>
      <c r="Q32" s="1">
        <v>6.5905243223533404E-6</v>
      </c>
      <c r="R32" s="1">
        <v>2.1063988976199099</v>
      </c>
      <c r="S32" s="1">
        <v>-2.9466776102575698E-15</v>
      </c>
      <c r="T32" s="1">
        <v>2.6843627786936001E-2</v>
      </c>
      <c r="U32" s="1">
        <v>2.0916262645301602</v>
      </c>
      <c r="V32" s="1">
        <v>0.94378728628175701</v>
      </c>
      <c r="W32" s="1">
        <v>2.7201304425803798E-4</v>
      </c>
      <c r="X32" s="1">
        <v>0.701486979491455</v>
      </c>
      <c r="Z32" s="1">
        <f t="shared" si="0"/>
        <v>-7.3863165448748713E-3</v>
      </c>
      <c r="AA32" s="2">
        <f t="shared" si="1"/>
        <v>-0.99945597391148389</v>
      </c>
      <c r="AC32" s="1">
        <f t="shared" si="2"/>
        <v>4.5813132265080103E-2</v>
      </c>
      <c r="AD32" s="2">
        <f t="shared" si="3"/>
        <v>5.3199448809954974E-2</v>
      </c>
    </row>
    <row r="33" spans="1:30" x14ac:dyDescent="0.2">
      <c r="A33" s="2" t="b">
        <v>0</v>
      </c>
      <c r="B33" s="2">
        <v>1000</v>
      </c>
      <c r="C33" s="2" t="s">
        <v>43</v>
      </c>
      <c r="D33" s="2" t="b">
        <v>1</v>
      </c>
      <c r="E33" s="2" t="s">
        <v>44</v>
      </c>
      <c r="F33" s="2">
        <v>7.4999999999999997E-2</v>
      </c>
      <c r="G33" s="2">
        <v>0.5</v>
      </c>
      <c r="H33" s="2">
        <v>1E-4</v>
      </c>
      <c r="I33" s="2" t="b">
        <v>0</v>
      </c>
      <c r="J33" s="1">
        <v>2</v>
      </c>
      <c r="K33" s="1">
        <v>1500</v>
      </c>
      <c r="L33" s="1">
        <v>0.7</v>
      </c>
      <c r="M33" s="1">
        <v>0.154</v>
      </c>
      <c r="N33" s="1" t="s">
        <v>57</v>
      </c>
      <c r="O33" s="1" t="s">
        <v>58</v>
      </c>
      <c r="P33" s="1">
        <v>-8.14059113327996E-6</v>
      </c>
      <c r="Q33" s="1">
        <v>1.3230053431765601E-5</v>
      </c>
      <c r="R33" s="1">
        <v>2.1534479912751898</v>
      </c>
      <c r="S33" s="1">
        <v>-5.56432905963905E-15</v>
      </c>
      <c r="T33" s="1">
        <v>3.2686307310295301E-2</v>
      </c>
      <c r="U33" s="1">
        <v>2.0976736304697998</v>
      </c>
      <c r="V33" s="1">
        <v>2.1526982100988499</v>
      </c>
      <c r="W33" s="1">
        <v>0.35262836762982502</v>
      </c>
      <c r="X33" s="1">
        <v>1.62634918637103</v>
      </c>
      <c r="Z33" s="1">
        <f t="shared" si="0"/>
        <v>-2.7887180402695E-2</v>
      </c>
      <c r="AA33" s="2">
        <f t="shared" si="1"/>
        <v>-0.49624518910024995</v>
      </c>
      <c r="AC33" s="1">
        <f t="shared" si="2"/>
        <v>4.8836815234899911E-2</v>
      </c>
      <c r="AD33" s="2">
        <f t="shared" si="3"/>
        <v>7.6723995637594911E-2</v>
      </c>
    </row>
    <row r="34" spans="1:30" x14ac:dyDescent="0.2">
      <c r="A34" s="2" t="b">
        <v>0</v>
      </c>
      <c r="B34" s="2">
        <v>1000</v>
      </c>
      <c r="C34" s="2" t="s">
        <v>43</v>
      </c>
      <c r="D34" s="2" t="b">
        <v>1</v>
      </c>
      <c r="E34" s="2" t="s">
        <v>44</v>
      </c>
      <c r="F34" s="2">
        <v>7.4999999999999997E-2</v>
      </c>
      <c r="G34" s="2">
        <v>0.5</v>
      </c>
      <c r="H34" s="2">
        <v>1E-4</v>
      </c>
      <c r="I34" s="2" t="b">
        <v>0</v>
      </c>
      <c r="J34" s="1">
        <v>2</v>
      </c>
      <c r="K34" s="1">
        <v>1500</v>
      </c>
      <c r="L34" s="1">
        <v>0.8</v>
      </c>
      <c r="M34" s="1">
        <v>0.154</v>
      </c>
      <c r="N34" s="1" t="s">
        <v>59</v>
      </c>
      <c r="O34" s="1" t="s">
        <v>60</v>
      </c>
      <c r="P34" s="1">
        <v>-8.1383110794260099E-6</v>
      </c>
      <c r="Q34" s="1">
        <v>1.4740054163404099E-5</v>
      </c>
      <c r="R34" s="1">
        <v>2.1780359661517101</v>
      </c>
      <c r="S34" s="1">
        <v>-5.64750607744437E-15</v>
      </c>
      <c r="T34" s="1">
        <v>3.6410820828942099E-2</v>
      </c>
      <c r="U34" s="1">
        <v>2.11527740637435</v>
      </c>
      <c r="V34" s="1">
        <v>2.4413124025108099</v>
      </c>
      <c r="W34" s="1">
        <v>0.38845645458885097</v>
      </c>
      <c r="X34" s="1">
        <v>1.8959090102303899</v>
      </c>
      <c r="Z34" s="1">
        <f t="shared" si="0"/>
        <v>-3.1379279888680056E-2</v>
      </c>
      <c r="AA34" s="2">
        <f t="shared" si="1"/>
        <v>-0.5144294317639363</v>
      </c>
      <c r="AC34" s="1">
        <f t="shared" si="2"/>
        <v>5.7638703187175011E-2</v>
      </c>
      <c r="AD34" s="2">
        <f t="shared" si="3"/>
        <v>8.9017983075855067E-2</v>
      </c>
    </row>
    <row r="35" spans="1:30" x14ac:dyDescent="0.2">
      <c r="A35" s="2" t="b">
        <v>0</v>
      </c>
      <c r="B35" s="2">
        <v>1000</v>
      </c>
      <c r="C35" s="2" t="s">
        <v>43</v>
      </c>
      <c r="D35" s="2" t="b">
        <v>1</v>
      </c>
      <c r="E35" s="2" t="s">
        <v>44</v>
      </c>
      <c r="F35" s="2">
        <v>7.4999999999999997E-2</v>
      </c>
      <c r="G35" s="2">
        <v>0.5</v>
      </c>
      <c r="H35" s="2">
        <v>1E-4</v>
      </c>
      <c r="I35" s="2" t="b">
        <v>0</v>
      </c>
      <c r="J35" s="1">
        <v>2</v>
      </c>
      <c r="K35" s="1">
        <v>1500</v>
      </c>
      <c r="L35" s="1">
        <v>1</v>
      </c>
      <c r="M35" s="1">
        <v>0.154</v>
      </c>
      <c r="N35" s="1" t="s">
        <v>61</v>
      </c>
      <c r="O35" s="1" t="s">
        <v>62</v>
      </c>
      <c r="P35" s="1">
        <v>-8.13542330667117E-6</v>
      </c>
      <c r="Q35" s="1">
        <v>1.79751802128273E-5</v>
      </c>
      <c r="R35" s="1">
        <v>2.2284618311257298</v>
      </c>
      <c r="S35" s="1">
        <v>-5.7684968054486303E-15</v>
      </c>
      <c r="T35" s="1">
        <v>4.1713805130639103E-2</v>
      </c>
      <c r="U35" s="1">
        <v>2.1529039879687799</v>
      </c>
      <c r="V35" s="1">
        <v>3.06313481127901</v>
      </c>
      <c r="W35" s="1">
        <v>0.45646800413879102</v>
      </c>
      <c r="X35" s="1">
        <v>2.40680739195771</v>
      </c>
      <c r="Z35" s="1">
        <f t="shared" si="0"/>
        <v>-3.7778921578474955E-2</v>
      </c>
      <c r="AA35" s="2">
        <f t="shared" si="1"/>
        <v>-0.54353199586120904</v>
      </c>
      <c r="AC35" s="1">
        <f t="shared" si="2"/>
        <v>7.6451993984389954E-2</v>
      </c>
      <c r="AD35" s="2">
        <f t="shared" si="3"/>
        <v>0.11423091556286491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Sheet1!fitting_results_1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Beck- Barkai</dc:creator>
  <cp:lastModifiedBy>Roy Beck- Barkai</cp:lastModifiedBy>
  <dcterms:created xsi:type="dcterms:W3CDTF">2025-03-12T06:50:11Z</dcterms:created>
  <dcterms:modified xsi:type="dcterms:W3CDTF">2025-03-12T07:38:28Z</dcterms:modified>
</cp:coreProperties>
</file>