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oybeck/Library/CloudStorage/Dropbox/coding/pazi/Pazi/simulation_results/"/>
    </mc:Choice>
  </mc:AlternateContent>
  <xr:revisionPtr revIDLastSave="0" documentId="13_ncr:1_{3B6E15FC-31A2-4645-9789-14CE6C94BFAE}" xr6:coauthVersionLast="47" xr6:coauthVersionMax="47" xr10:uidLastSave="{00000000-0000-0000-0000-000000000000}"/>
  <bookViews>
    <workbookView xWindow="0" yWindow="500" windowWidth="68800" windowHeight="27020" activeTab="1" xr2:uid="{98256213-2FBE-3A40-AC58-F60B842A718E}"/>
  </bookViews>
  <sheets>
    <sheet name="Sheet2" sheetId="2" r:id="rId1"/>
    <sheet name="Sheet1" sheetId="1" r:id="rId2"/>
  </sheets>
  <definedNames>
    <definedName name="_xlnm._FilterDatabase" localSheetId="1" hidden="1">Sheet1!$A$26:$AC$26</definedName>
    <definedName name="fitting_results" localSheetId="1">Sheet1!$A$1:$X$35</definedName>
    <definedName name="fitting_results_1" localSheetId="1">Sheet1!$A$1:$X$53</definedName>
    <definedName name="fitting_results_1" localSheetId="0">Sheet2!$A$1:$X$53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8" i="1" l="1"/>
  <c r="Y37" i="1"/>
  <c r="Y34" i="1"/>
  <c r="Y36" i="1"/>
  <c r="Y35" i="1"/>
  <c r="Y33" i="1"/>
  <c r="Y47" i="1"/>
  <c r="Y46" i="1"/>
  <c r="Y32" i="1"/>
  <c r="Y43" i="1"/>
  <c r="Y42" i="1"/>
  <c r="Y31" i="1"/>
  <c r="Y41" i="1"/>
  <c r="Y40" i="1"/>
  <c r="Y30" i="1"/>
  <c r="Y53" i="1"/>
  <c r="Y52" i="1"/>
  <c r="Y29" i="1"/>
  <c r="Y51" i="1"/>
  <c r="Y50" i="1"/>
  <c r="Y28" i="1"/>
  <c r="Y49" i="1"/>
  <c r="Y48" i="1"/>
  <c r="Y27" i="1"/>
  <c r="Y45" i="1"/>
  <c r="Y44" i="1"/>
  <c r="Y39" i="1"/>
  <c r="AC38" i="1"/>
  <c r="AC37" i="1"/>
  <c r="AC34" i="1"/>
  <c r="AC36" i="1"/>
  <c r="AC35" i="1"/>
  <c r="AC33" i="1"/>
  <c r="AC47" i="1"/>
  <c r="AC46" i="1"/>
  <c r="AC32" i="1"/>
  <c r="AC43" i="1"/>
  <c r="AC42" i="1"/>
  <c r="AC31" i="1"/>
  <c r="AC41" i="1"/>
  <c r="AC40" i="1"/>
  <c r="AC30" i="1"/>
  <c r="AC53" i="1"/>
  <c r="AC52" i="1"/>
  <c r="AC29" i="1"/>
  <c r="AC51" i="1"/>
  <c r="AC50" i="1"/>
  <c r="AC28" i="1"/>
  <c r="AC49" i="1"/>
  <c r="AC48" i="1"/>
  <c r="AC27" i="1"/>
  <c r="AC45" i="1"/>
  <c r="AC44" i="1"/>
  <c r="AC39" i="1"/>
  <c r="AA38" i="1"/>
  <c r="AA37" i="1"/>
  <c r="AA34" i="1"/>
  <c r="AA36" i="1"/>
  <c r="AA35" i="1"/>
  <c r="AA33" i="1"/>
  <c r="AA47" i="1"/>
  <c r="AA46" i="1"/>
  <c r="AA32" i="1"/>
  <c r="AA43" i="1"/>
  <c r="AA42" i="1"/>
  <c r="AA31" i="1"/>
  <c r="AA41" i="1"/>
  <c r="AA40" i="1"/>
  <c r="AA30" i="1"/>
  <c r="AA53" i="1"/>
  <c r="AA52" i="1"/>
  <c r="AA29" i="1"/>
  <c r="AA51" i="1"/>
  <c r="AA50" i="1"/>
  <c r="AA28" i="1"/>
  <c r="AA49" i="1"/>
  <c r="AA48" i="1"/>
  <c r="AA27" i="1"/>
  <c r="AA45" i="1"/>
  <c r="AA44" i="1"/>
  <c r="Z38" i="1"/>
  <c r="Z37" i="1"/>
  <c r="Z34" i="1"/>
  <c r="Z36" i="1"/>
  <c r="Z35" i="1"/>
  <c r="Z33" i="1"/>
  <c r="Z47" i="1"/>
  <c r="Z46" i="1"/>
  <c r="Z32" i="1"/>
  <c r="Z43" i="1"/>
  <c r="Z42" i="1"/>
  <c r="Z31" i="1"/>
  <c r="Z41" i="1"/>
  <c r="Z40" i="1"/>
  <c r="Z30" i="1"/>
  <c r="Z53" i="1"/>
  <c r="Z52" i="1"/>
  <c r="Z29" i="1"/>
  <c r="Z51" i="1"/>
  <c r="Z50" i="1"/>
  <c r="Z28" i="1"/>
  <c r="Z49" i="1"/>
  <c r="Z48" i="1"/>
  <c r="Z27" i="1"/>
  <c r="Z45" i="1"/>
  <c r="Z44" i="1"/>
  <c r="AA39" i="1"/>
  <c r="Z39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B99D7F0-93A0-C843-B65B-413664545D70}" name="fitting_results" type="6" refreshedVersion="8" background="1" saveData="1">
    <textPr sourceFile="/Users/roybeck/Library/CloudStorage/Dropbox/coding/pazi/Pazi/simulation_results/fitting_results.csv" comma="1">
      <textFields>
        <textField/>
      </textFields>
    </textPr>
  </connection>
  <connection id="2" xr16:uid="{8180BAE0-D7CF-E34E-8C6B-A2D4B330FA8F}" name="fitting_results1" type="6" refreshedVersion="8" background="1" saveData="1">
    <textPr codePage="10000" sourceFile="/Users/roybeck/Library/CloudStorage/Dropbox/coding/pazi/Pazi/simulation_changing_Var/fitting_results.csv" comma="1">
      <textFields>
        <textField/>
      </textFields>
    </textPr>
  </connection>
  <connection id="3" xr16:uid="{4FF40894-C6CF-BE41-8916-F831BAA92A77}" name="fitting_results11" type="6" refreshedVersion="8" background="1" saveData="1">
    <textPr codePage="10000" sourceFile="/Users/roybeck/Library/CloudStorage/Dropbox/coding/pazi/Pazi/simulation_changing_Var/fitting_results.csv" comma="1">
      <textFields>
        <textField/>
      </textFields>
    </textPr>
  </connection>
</connections>
</file>

<file path=xl/sharedStrings.xml><?xml version="1.0" encoding="utf-8"?>
<sst xmlns="http://schemas.openxmlformats.org/spreadsheetml/2006/main" count="316" uniqueCount="81">
  <si>
    <t># Fitting Parameters Used:</t>
  </si>
  <si>
    <t># q_min: 0.0</t>
  </si>
  <si>
    <t># q_max: 0.2</t>
  </si>
  <si>
    <t># form_factor_name: guinier_ff</t>
  </si>
  <si>
    <t># f2_initial: 0.0</t>
  </si>
  <si>
    <t># f2_min: -1.0</t>
  </si>
  <si>
    <t># f2_max: 1.0</t>
  </si>
  <si>
    <t># f2_free: False</t>
  </si>
  <si>
    <t># rg_initial: 2.0</t>
  </si>
  <si>
    <t># rg_min: 0.5</t>
  </si>
  <si>
    <t># rg_free: True</t>
  </si>
  <si>
    <t># perform_guinier_estimation: False</t>
  </si>
  <si>
    <t># var_initial: 0.00025</t>
  </si>
  <si>
    <t># var_min: 5e-06</t>
  </si>
  <si>
    <t># var_free: True</t>
  </si>
  <si>
    <t># A_initial: 0.1</t>
  </si>
  <si>
    <t># A_min: -1.0</t>
  </si>
  <si>
    <t># A_max: 0.0</t>
  </si>
  <si>
    <t># A_free: True</t>
  </si>
  <si>
    <t># plot_fitting_curve: False</t>
  </si>
  <si>
    <t># auto_set_parameters: True</t>
  </si>
  <si>
    <t># auto_rg_bound_percent: 0.2</t>
  </si>
  <si>
    <t>binning</t>
  </si>
  <si>
    <t>bins_number</t>
  </si>
  <si>
    <t>form_factor_name</t>
  </si>
  <si>
    <t>normalization_on</t>
  </si>
  <si>
    <t>px_number</t>
  </si>
  <si>
    <t>px_size</t>
  </si>
  <si>
    <t>q_max</t>
  </si>
  <si>
    <t>q_min</t>
  </si>
  <si>
    <t>return_unique</t>
  </si>
  <si>
    <t>rg</t>
  </si>
  <si>
    <t>sample_detector_distance</t>
  </si>
  <si>
    <t>variance</t>
  </si>
  <si>
    <t>wavelength</t>
  </si>
  <si>
    <t>filename1</t>
  </si>
  <si>
    <t>filename2</t>
  </si>
  <si>
    <t>A_fit</t>
  </si>
  <si>
    <t>f2_fit</t>
  </si>
  <si>
    <t>rg_fit</t>
  </si>
  <si>
    <t>var_fit</t>
  </si>
  <si>
    <t>guinier_ff</t>
  </si>
  <si>
    <t>[500, 500]</t>
  </si>
  <si>
    <t>sim_000_rg2.000_variance0.010_sigma_x0.010.csv</t>
  </si>
  <si>
    <t>A_fit_error</t>
  </si>
  <si>
    <t>Rg_guinier</t>
  </si>
  <si>
    <t>f2_fit_error</t>
  </si>
  <si>
    <t>rg_fit_error</t>
  </si>
  <si>
    <t>var_fit_error</t>
  </si>
  <si>
    <t>(Rg_fit-Rg_real) / Rg_real</t>
  </si>
  <si>
    <t>(R_Guinier-Rg_real)/ Rg_real</t>
  </si>
  <si>
    <t># var_max: 2.0</t>
  </si>
  <si>
    <t># rg_max: 2.5</t>
  </si>
  <si>
    <t>sim_001_rg2.000_variance0.010_sigma_x1.csv</t>
  </si>
  <si>
    <t>sim_002_rg2.000_variance0.010_sigma_x5.csv</t>
  </si>
  <si>
    <t>sim_003_rg2.000_variance0.100_sigma_x0.010.csv</t>
  </si>
  <si>
    <t>sim_004_rg2.000_variance0.100_sigma_x1.csv</t>
  </si>
  <si>
    <t>sim_005_rg2.000_variance0.100_sigma_x5.csv</t>
  </si>
  <si>
    <t>sim_006_rg2.000_variance0.200_sigma_x0.010.csv</t>
  </si>
  <si>
    <t>sim_007_rg2.000_variance0.200_sigma_x1.csv</t>
  </si>
  <si>
    <t>sim_008_rg2.000_variance0.200_sigma_x5.csv</t>
  </si>
  <si>
    <t>sim_009_rg2.000_variance0.300_sigma_x0.010.csv</t>
  </si>
  <si>
    <t>sim_010_rg2.000_variance0.300_sigma_x1.csv</t>
  </si>
  <si>
    <t>sim_011_rg2.000_variance0.300_sigma_x5.csv</t>
  </si>
  <si>
    <t>sim_012_rg2.000_variance0.400_sigma_x0.010.csv</t>
  </si>
  <si>
    <t>sim_013_rg2.000_variance0.400_sigma_x1.csv</t>
  </si>
  <si>
    <t>sim_014_rg2.000_variance0.400_sigma_x5.csv</t>
  </si>
  <si>
    <t>sim_015_rg2.000_variance0.500_sigma_x0.010.csv</t>
  </si>
  <si>
    <t>sim_016_rg2.000_variance0.500_sigma_x1.csv</t>
  </si>
  <si>
    <t>sim_017_rg2.000_variance0.500_sigma_x5.csv</t>
  </si>
  <si>
    <t>sim_018_rg2.000_variance0.700_sigma_x0.010.csv</t>
  </si>
  <si>
    <t>sim_019_rg2.000_variance0.700_sigma_x1.csv</t>
  </si>
  <si>
    <t>sim_020_rg2.000_variance0.700_sigma_x5.csv</t>
  </si>
  <si>
    <t>sim_021_rg2.000_variance0.800_sigma_x0.010.csv</t>
  </si>
  <si>
    <t>sim_022_rg2.000_variance0.800_sigma_x1.csv</t>
  </si>
  <si>
    <t>sim_023_rg2.000_variance0.800_sigma_x5.csv</t>
  </si>
  <si>
    <t>sim_024_rg2.000_variance1_sigma_x0.010.csv</t>
  </si>
  <si>
    <t>sim_025_rg2.000_variance1_sigma_x1.csv</t>
  </si>
  <si>
    <t>sim_026_rg2.000_variance1_sigma_x5.csv</t>
  </si>
  <si>
    <t>V</t>
  </si>
  <si>
    <t>(V_fit-V_real)/V_real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</si>
</sst>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1" applyNumberFormat="1" applyFont="1"/>
    <xf numFmtId="11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title>
    <c:autoTitleDeleted val="0"/>
    <c:plotArea>
      <c:layout>
        <c:manualLayout>
          <c:layoutTarget val="inner"/>
          <c:xMode val="edge"/>
          <c:yMode val="edge"/>
          <c:x val="7.1747594050743657E-2"/>
          <c:y val="0.15782407407407409"/>
          <c:w val="0.8678912948381452"/>
          <c:h val="0.615354695246427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Sheet1!$Z$26</c:f>
              <c:strCache>
                <c:ptCount val="1"/>
                <c:pt idx="0">
                  <c:v>(Rg_fit-Rg_real) / Rg_real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Sheet1!$Y$40:$Y$53</c:f>
              <c:numCache>
                <c:formatCode>General</c:formatCode>
                <c:ptCount val="14"/>
                <c:pt idx="0">
                  <c:v>0.4</c:v>
                </c:pt>
                <c:pt idx="1">
                  <c:v>0.4</c:v>
                </c:pt>
                <c:pt idx="2">
                  <c:v>0.3</c:v>
                </c:pt>
                <c:pt idx="3">
                  <c:v>0.3</c:v>
                </c:pt>
                <c:pt idx="4">
                  <c:v>1</c:v>
                </c:pt>
                <c:pt idx="5">
                  <c:v>1</c:v>
                </c:pt>
                <c:pt idx="6">
                  <c:v>0.2</c:v>
                </c:pt>
                <c:pt idx="7">
                  <c:v>0.2</c:v>
                </c:pt>
                <c:pt idx="8">
                  <c:v>0.8</c:v>
                </c:pt>
                <c:pt idx="9">
                  <c:v>0.8</c:v>
                </c:pt>
                <c:pt idx="10">
                  <c:v>0.7</c:v>
                </c:pt>
                <c:pt idx="11">
                  <c:v>0.7</c:v>
                </c:pt>
                <c:pt idx="12">
                  <c:v>0.5</c:v>
                </c:pt>
                <c:pt idx="13">
                  <c:v>0.5</c:v>
                </c:pt>
              </c:numCache>
            </c:numRef>
          </c:xVal>
          <c:yVal>
            <c:numRef>
              <c:f>Sheet1!$Z$40:$Z$53</c:f>
              <c:numCache>
                <c:formatCode>General</c:formatCode>
                <c:ptCount val="14"/>
                <c:pt idx="0">
                  <c:v>1.823287684662489E-2</c:v>
                </c:pt>
                <c:pt idx="1">
                  <c:v>1.8234978220829978E-2</c:v>
                </c:pt>
                <c:pt idx="2">
                  <c:v>1.3434225491484986E-2</c:v>
                </c:pt>
                <c:pt idx="3">
                  <c:v>1.3436129492464977E-2</c:v>
                </c:pt>
                <c:pt idx="4">
                  <c:v>5.2417462938310067E-2</c:v>
                </c:pt>
                <c:pt idx="5">
                  <c:v>5.2420199058919925E-2</c:v>
                </c:pt>
                <c:pt idx="6">
                  <c:v>8.9847675698599971E-3</c:v>
                </c:pt>
                <c:pt idx="7">
                  <c:v>8.9864703554249914E-3</c:v>
                </c:pt>
                <c:pt idx="8">
                  <c:v>3.7035980913920019E-2</c:v>
                </c:pt>
                <c:pt idx="9">
                  <c:v>3.7038459043039929E-2</c:v>
                </c:pt>
                <c:pt idx="10">
                  <c:v>3.0111320328314983E-2</c:v>
                </c:pt>
                <c:pt idx="11">
                  <c:v>3.0113648708044893E-2</c:v>
                </c:pt>
                <c:pt idx="12">
                  <c:v>1.8452795981374948E-2</c:v>
                </c:pt>
                <c:pt idx="13">
                  <c:v>1.8454859034970017E-2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849-424A-9DC8-155F70ADA78F}"/>
            </c:ext>
          </c:extLst>
        </c:ser>
        <c:ser>
          <c:idx val="1"/>
          <c:order val="1"/>
          <c:tx>
            <c:strRef>
              <c:f>Sheet1!$AA$26</c:f>
              <c:strCache>
                <c:ptCount val="1"/>
                <c:pt idx="0">
                  <c:v>(R_Guinier-Rg_real)/ Rg_real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Sheet1!$Y$40:$Y$53</c:f>
              <c:numCache>
                <c:formatCode>General</c:formatCode>
                <c:ptCount val="14"/>
                <c:pt idx="0">
                  <c:v>0.4</c:v>
                </c:pt>
                <c:pt idx="1">
                  <c:v>0.4</c:v>
                </c:pt>
                <c:pt idx="2">
                  <c:v>0.3</c:v>
                </c:pt>
                <c:pt idx="3">
                  <c:v>0.3</c:v>
                </c:pt>
                <c:pt idx="4">
                  <c:v>1</c:v>
                </c:pt>
                <c:pt idx="5">
                  <c:v>1</c:v>
                </c:pt>
                <c:pt idx="6">
                  <c:v>0.2</c:v>
                </c:pt>
                <c:pt idx="7">
                  <c:v>0.2</c:v>
                </c:pt>
                <c:pt idx="8">
                  <c:v>0.8</c:v>
                </c:pt>
                <c:pt idx="9">
                  <c:v>0.8</c:v>
                </c:pt>
                <c:pt idx="10">
                  <c:v>0.7</c:v>
                </c:pt>
                <c:pt idx="11">
                  <c:v>0.7</c:v>
                </c:pt>
                <c:pt idx="12">
                  <c:v>0.5</c:v>
                </c:pt>
                <c:pt idx="13">
                  <c:v>0.5</c:v>
                </c:pt>
              </c:numCache>
            </c:numRef>
          </c:xVal>
          <c:yVal>
            <c:numRef>
              <c:f>Sheet1!$AA$40:$AA$53</c:f>
              <c:numCache>
                <c:formatCode>General</c:formatCode>
                <c:ptCount val="14"/>
                <c:pt idx="0">
                  <c:v>4.2428974234415051E-2</c:v>
                </c:pt>
                <c:pt idx="1">
                  <c:v>4.2431579696684985E-2</c:v>
                </c:pt>
                <c:pt idx="2">
                  <c:v>3.2009799938290007E-2</c:v>
                </c:pt>
                <c:pt idx="3">
                  <c:v>3.2012105032380056E-2</c:v>
                </c:pt>
                <c:pt idx="4">
                  <c:v>0.11436878402985995</c:v>
                </c:pt>
                <c:pt idx="5">
                  <c:v>0.11437316680336496</c:v>
                </c:pt>
                <c:pt idx="6">
                  <c:v>2.1461995564034941E-2</c:v>
                </c:pt>
                <c:pt idx="7">
                  <c:v>2.1463998172235099E-2</c:v>
                </c:pt>
                <c:pt idx="8">
                  <c:v>8.9123700197454969E-2</c:v>
                </c:pt>
                <c:pt idx="9">
                  <c:v>8.9127491965129924E-2</c:v>
                </c:pt>
                <c:pt idx="10">
                  <c:v>7.6813467210244957E-2</c:v>
                </c:pt>
                <c:pt idx="11">
                  <c:v>7.6816963527474913E-2</c:v>
                </c:pt>
                <c:pt idx="12">
                  <c:v>5.3255822229790084E-2</c:v>
                </c:pt>
                <c:pt idx="13">
                  <c:v>5.3258725978589938E-2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849-424A-9DC8-155F70ADA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466880"/>
        <c:axId val="650468592"/>
      </c:scatterChart>
      <c:valAx>
        <c:axId val="650466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650468592"/>
        <c:crosses val="autoZero"/>
        <c:crossBetween val="midCat"/>
      </c:valAx>
      <c:valAx>
        <c:axId val="65046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650466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Sheet1!$AC$26</c:f>
              <c:strCache>
                <c:ptCount val="1"/>
                <c:pt idx="0">
                  <c:v>(V_fit-V_real)/V_real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Sheet1!$Y$40:$Y$53</c:f>
              <c:numCache>
                <c:formatCode>General</c:formatCode>
                <c:ptCount val="14"/>
                <c:pt idx="0">
                  <c:v>0.4</c:v>
                </c:pt>
                <c:pt idx="1">
                  <c:v>0.4</c:v>
                </c:pt>
                <c:pt idx="2">
                  <c:v>0.3</c:v>
                </c:pt>
                <c:pt idx="3">
                  <c:v>0.3</c:v>
                </c:pt>
                <c:pt idx="4">
                  <c:v>1</c:v>
                </c:pt>
                <c:pt idx="5">
                  <c:v>1</c:v>
                </c:pt>
                <c:pt idx="6">
                  <c:v>0.2</c:v>
                </c:pt>
                <c:pt idx="7">
                  <c:v>0.2</c:v>
                </c:pt>
                <c:pt idx="8">
                  <c:v>0.8</c:v>
                </c:pt>
                <c:pt idx="9">
                  <c:v>0.8</c:v>
                </c:pt>
                <c:pt idx="10">
                  <c:v>0.7</c:v>
                </c:pt>
                <c:pt idx="11">
                  <c:v>0.7</c:v>
                </c:pt>
                <c:pt idx="12">
                  <c:v>0.5</c:v>
                </c:pt>
                <c:pt idx="13">
                  <c:v>0.5</c:v>
                </c:pt>
              </c:numCache>
            </c:numRef>
          </c:xVal>
          <c:yVal>
            <c:numRef>
              <c:f>Sheet1!$AC$40:$AC$53</c:f>
              <c:numCache>
                <c:formatCode>General</c:formatCode>
                <c:ptCount val="14"/>
                <c:pt idx="0">
                  <c:v>-0.22678724971239253</c:v>
                </c:pt>
                <c:pt idx="1">
                  <c:v>-0.22677068045937249</c:v>
                </c:pt>
                <c:pt idx="2">
                  <c:v>-0.19367832994817666</c:v>
                </c:pt>
                <c:pt idx="3">
                  <c:v>-0.19366065065543994</c:v>
                </c:pt>
                <c:pt idx="4">
                  <c:v>-0.15661197864322896</c:v>
                </c:pt>
                <c:pt idx="5">
                  <c:v>-0.15658768573326398</c:v>
                </c:pt>
                <c:pt idx="6">
                  <c:v>-0.15611488669746501</c:v>
                </c:pt>
                <c:pt idx="7">
                  <c:v>-0.15609490117336006</c:v>
                </c:pt>
                <c:pt idx="8">
                  <c:v>-0.1246043755401588</c:v>
                </c:pt>
                <c:pt idx="9">
                  <c:v>-0.12458049183020375</c:v>
                </c:pt>
                <c:pt idx="10">
                  <c:v>-0.10757549654592001</c:v>
                </c:pt>
                <c:pt idx="11">
                  <c:v>-0.10755147035333423</c:v>
                </c:pt>
                <c:pt idx="12">
                  <c:v>-7.4492353015286006E-2</c:v>
                </c:pt>
                <c:pt idx="13">
                  <c:v>-7.4468628019603966E-2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DB-544F-A206-B133D9E42D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1941104"/>
        <c:axId val="651942816"/>
      </c:scatterChart>
      <c:valAx>
        <c:axId val="65194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651942816"/>
        <c:crosses val="autoZero"/>
        <c:crossBetween val="midCat"/>
      </c:valAx>
      <c:valAx>
        <c:axId val="65194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6519411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752721</xdr:colOff>
      <xdr:row>24</xdr:row>
      <xdr:rowOff>60775</xdr:rowOff>
    </xdr:from>
    <xdr:to>
      <xdr:col>35</xdr:col>
      <xdr:colOff>383899</xdr:colOff>
      <xdr:row>37</xdr:row>
      <xdr:rowOff>165391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A868FC-03A2-67A1-B7CE-08A2D041AE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712127</xdr:colOff>
      <xdr:row>38</xdr:row>
      <xdr:rowOff>124565</xdr:rowOff>
    </xdr:from>
    <xdr:to>
      <xdr:col>35</xdr:col>
      <xdr:colOff>343305</xdr:colOff>
      <xdr:row>52</xdr:row>
      <xdr:rowOff>26212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CF88D3-7100-0EEB-C429-FB5A3BE4C0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fitting_results_1" connectionId="2" xr16:uid="{A3DAF1F4-07B8-C445-8307-BD26A57E5974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fitting_results_1" connectionId="3" xr16:uid="{6585CB29-4FFF-924D-A2D8-49B12F3DC182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fitting_results" connectionId="1" xr16:uid="{17E6A3FE-0CA9-C442-9D4C-C8AF3DC4C2B2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3.xml"/><Relationship Id="rId2" Type="http://schemas.openxmlformats.org/officeDocument/2006/relationships/queryTable" Target="../queryTables/query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BD538-514E-C94D-829D-CCEC6F8AB887}">
  <dimension ref="A1:X53"/>
  <sheetViews>
    <sheetView workbookViewId="0">
      <selection sqref="A1:X53"/>
    </sheetView>
  </sheetViews>
  <sheetFormatPr baseColWidth="10" defaultRowHeight="16" x14ac:dyDescent="0.2"/>
  <cols>
    <col min="1" max="1" width="30.33203125" bestFit="1" customWidth="1"/>
    <col min="2" max="2" width="11.5" bestFit="1" customWidth="1"/>
    <col min="3" max="3" width="15.83203125" bestFit="1" customWidth="1"/>
    <col min="4" max="4" width="15.1640625" bestFit="1" customWidth="1"/>
    <col min="5" max="5" width="10" bestFit="1" customWidth="1"/>
    <col min="6" max="6" width="7" bestFit="1" customWidth="1"/>
    <col min="7" max="7" width="6.33203125" bestFit="1" customWidth="1"/>
    <col min="8" max="8" width="7.1640625" bestFit="1" customWidth="1"/>
    <col min="9" max="9" width="12.5" bestFit="1" customWidth="1"/>
    <col min="10" max="10" width="2.6640625" bestFit="1" customWidth="1"/>
    <col min="11" max="11" width="23" bestFit="1" customWidth="1"/>
    <col min="12" max="12" width="8.1640625" bestFit="1" customWidth="1"/>
    <col min="13" max="13" width="10.33203125" bestFit="1" customWidth="1"/>
    <col min="14" max="14" width="42.83203125" bestFit="1" customWidth="1"/>
    <col min="15" max="15" width="39.1640625" bestFit="1" customWidth="1"/>
    <col min="16" max="16" width="9" bestFit="1" customWidth="1"/>
    <col min="17" max="18" width="12.1640625" bestFit="1" customWidth="1"/>
    <col min="19" max="19" width="9" bestFit="1" customWidth="1"/>
    <col min="20" max="24" width="12.1640625" bestFit="1" customWidth="1"/>
  </cols>
  <sheetData>
    <row r="1" spans="1:1" x14ac:dyDescent="0.2">
      <c r="A1" t="s">
        <v>0</v>
      </c>
    </row>
    <row r="2" spans="1:1" x14ac:dyDescent="0.2">
      <c r="A2" t="s">
        <v>1</v>
      </c>
    </row>
    <row r="3" spans="1:1" x14ac:dyDescent="0.2">
      <c r="A3" t="s">
        <v>2</v>
      </c>
    </row>
    <row r="4" spans="1:1" x14ac:dyDescent="0.2">
      <c r="A4" t="s">
        <v>3</v>
      </c>
    </row>
    <row r="5" spans="1:1" x14ac:dyDescent="0.2">
      <c r="A5" t="s">
        <v>4</v>
      </c>
    </row>
    <row r="6" spans="1:1" x14ac:dyDescent="0.2">
      <c r="A6" t="s">
        <v>5</v>
      </c>
    </row>
    <row r="7" spans="1:1" x14ac:dyDescent="0.2">
      <c r="A7" t="s">
        <v>6</v>
      </c>
    </row>
    <row r="8" spans="1:1" x14ac:dyDescent="0.2">
      <c r="A8" t="s">
        <v>7</v>
      </c>
    </row>
    <row r="9" spans="1:1" x14ac:dyDescent="0.2">
      <c r="A9" t="s">
        <v>8</v>
      </c>
    </row>
    <row r="10" spans="1:1" x14ac:dyDescent="0.2">
      <c r="A10" t="s">
        <v>9</v>
      </c>
    </row>
    <row r="11" spans="1:1" x14ac:dyDescent="0.2">
      <c r="A11" t="s">
        <v>52</v>
      </c>
    </row>
    <row r="12" spans="1:1" x14ac:dyDescent="0.2">
      <c r="A12" t="s">
        <v>10</v>
      </c>
    </row>
    <row r="13" spans="1:1" x14ac:dyDescent="0.2">
      <c r="A13" t="s">
        <v>11</v>
      </c>
    </row>
    <row r="14" spans="1:1" x14ac:dyDescent="0.2">
      <c r="A14" t="s">
        <v>12</v>
      </c>
    </row>
    <row r="15" spans="1:1" x14ac:dyDescent="0.2">
      <c r="A15" t="s">
        <v>13</v>
      </c>
    </row>
    <row r="16" spans="1:1" x14ac:dyDescent="0.2">
      <c r="A16" t="s">
        <v>51</v>
      </c>
    </row>
    <row r="17" spans="1:24" x14ac:dyDescent="0.2">
      <c r="A17" t="s">
        <v>14</v>
      </c>
    </row>
    <row r="18" spans="1:24" x14ac:dyDescent="0.2">
      <c r="A18" t="s">
        <v>15</v>
      </c>
    </row>
    <row r="19" spans="1:24" x14ac:dyDescent="0.2">
      <c r="A19" t="s">
        <v>16</v>
      </c>
    </row>
    <row r="20" spans="1:24" x14ac:dyDescent="0.2">
      <c r="A20" t="s">
        <v>17</v>
      </c>
    </row>
    <row r="21" spans="1:24" x14ac:dyDescent="0.2">
      <c r="A21" t="s">
        <v>18</v>
      </c>
    </row>
    <row r="22" spans="1:24" x14ac:dyDescent="0.2">
      <c r="A22" t="s">
        <v>19</v>
      </c>
    </row>
    <row r="23" spans="1:24" x14ac:dyDescent="0.2">
      <c r="A23" t="s">
        <v>20</v>
      </c>
    </row>
    <row r="24" spans="1:24" x14ac:dyDescent="0.2">
      <c r="A24" t="s">
        <v>21</v>
      </c>
    </row>
    <row r="26" spans="1:24" x14ac:dyDescent="0.2">
      <c r="A26" t="s">
        <v>22</v>
      </c>
      <c r="B26" t="s">
        <v>23</v>
      </c>
      <c r="C26" t="s">
        <v>24</v>
      </c>
      <c r="D26" t="s">
        <v>25</v>
      </c>
      <c r="E26" t="s">
        <v>26</v>
      </c>
      <c r="F26" t="s">
        <v>27</v>
      </c>
      <c r="G26" t="s">
        <v>28</v>
      </c>
      <c r="H26" t="s">
        <v>29</v>
      </c>
      <c r="I26" t="s">
        <v>30</v>
      </c>
      <c r="J26" t="s">
        <v>31</v>
      </c>
      <c r="K26" t="s">
        <v>32</v>
      </c>
      <c r="L26" t="s">
        <v>33</v>
      </c>
      <c r="M26" t="s">
        <v>34</v>
      </c>
      <c r="N26" t="s">
        <v>35</v>
      </c>
      <c r="O26" t="s">
        <v>36</v>
      </c>
      <c r="P26" t="s">
        <v>37</v>
      </c>
      <c r="Q26" t="s">
        <v>44</v>
      </c>
      <c r="R26" t="s">
        <v>45</v>
      </c>
      <c r="S26" t="s">
        <v>38</v>
      </c>
      <c r="T26" t="s">
        <v>46</v>
      </c>
      <c r="U26" t="s">
        <v>39</v>
      </c>
      <c r="V26" t="s">
        <v>47</v>
      </c>
      <c r="W26" t="s">
        <v>40</v>
      </c>
      <c r="X26" t="s">
        <v>48</v>
      </c>
    </row>
    <row r="27" spans="1:24" x14ac:dyDescent="0.2">
      <c r="A27" t="b">
        <v>0</v>
      </c>
      <c r="B27">
        <v>1000</v>
      </c>
      <c r="C27" t="s">
        <v>41</v>
      </c>
      <c r="D27" t="b">
        <v>1</v>
      </c>
      <c r="E27" t="s">
        <v>42</v>
      </c>
      <c r="F27">
        <v>7.4999999999999997E-2</v>
      </c>
      <c r="G27">
        <v>0.5</v>
      </c>
      <c r="H27">
        <v>1E-4</v>
      </c>
      <c r="I27" t="b">
        <v>1</v>
      </c>
      <c r="J27">
        <v>2</v>
      </c>
      <c r="K27">
        <v>1500</v>
      </c>
      <c r="L27">
        <v>0.01</v>
      </c>
      <c r="M27">
        <v>0.154</v>
      </c>
      <c r="N27" t="s">
        <v>43</v>
      </c>
      <c r="O27" t="s">
        <v>53</v>
      </c>
      <c r="P27" s="2">
        <v>-2.0824253628202498E-6</v>
      </c>
      <c r="Q27" s="2">
        <v>1.07548141236354E-7</v>
      </c>
      <c r="R27">
        <v>2.0021748676770299</v>
      </c>
      <c r="S27">
        <v>0</v>
      </c>
      <c r="T27">
        <v>1.0560862778636201E-3</v>
      </c>
      <c r="U27">
        <v>2.0021748676770299</v>
      </c>
      <c r="V27">
        <v>5.8671984292037099E-2</v>
      </c>
      <c r="W27">
        <v>2.5000000000000001E-4</v>
      </c>
      <c r="X27">
        <v>3.3235093370894198E-2</v>
      </c>
    </row>
    <row r="28" spans="1:24" x14ac:dyDescent="0.2">
      <c r="A28" t="b">
        <v>0</v>
      </c>
      <c r="B28">
        <v>1000</v>
      </c>
      <c r="C28" t="s">
        <v>41</v>
      </c>
      <c r="D28" t="b">
        <v>1</v>
      </c>
      <c r="E28" t="s">
        <v>42</v>
      </c>
      <c r="F28">
        <v>7.4999999999999997E-2</v>
      </c>
      <c r="G28">
        <v>0.5</v>
      </c>
      <c r="H28">
        <v>1E-4</v>
      </c>
      <c r="I28" t="b">
        <v>1</v>
      </c>
      <c r="J28">
        <v>2</v>
      </c>
      <c r="K28">
        <v>1500</v>
      </c>
      <c r="L28">
        <v>0.01</v>
      </c>
      <c r="M28">
        <v>0.154</v>
      </c>
      <c r="N28" t="s">
        <v>43</v>
      </c>
      <c r="O28" t="s">
        <v>54</v>
      </c>
      <c r="P28" s="2">
        <v>-5.20236677810422E-5</v>
      </c>
      <c r="Q28" s="2">
        <v>2.67968670654071E-6</v>
      </c>
      <c r="R28">
        <v>2.0021066943549202</v>
      </c>
      <c r="S28">
        <v>0</v>
      </c>
      <c r="T28">
        <v>9.3327647962128401E-4</v>
      </c>
      <c r="U28">
        <v>2.0021066943549202</v>
      </c>
      <c r="V28">
        <v>5.8321905368643803E-2</v>
      </c>
      <c r="W28">
        <v>2.5000000000000001E-4</v>
      </c>
      <c r="X28">
        <v>3.1432128031316599E-2</v>
      </c>
    </row>
    <row r="29" spans="1:24" x14ac:dyDescent="0.2">
      <c r="A29" t="b">
        <v>0</v>
      </c>
      <c r="B29">
        <v>1000</v>
      </c>
      <c r="C29" t="s">
        <v>41</v>
      </c>
      <c r="D29" t="b">
        <v>1</v>
      </c>
      <c r="E29" t="s">
        <v>42</v>
      </c>
      <c r="F29">
        <v>7.4999999999999997E-2</v>
      </c>
      <c r="G29">
        <v>0.5</v>
      </c>
      <c r="H29">
        <v>1E-4</v>
      </c>
      <c r="I29" t="b">
        <v>1</v>
      </c>
      <c r="J29">
        <v>2</v>
      </c>
      <c r="K29">
        <v>1500</v>
      </c>
      <c r="L29">
        <v>0.01</v>
      </c>
      <c r="M29">
        <v>0.154</v>
      </c>
      <c r="N29" t="s">
        <v>53</v>
      </c>
      <c r="O29" t="s">
        <v>54</v>
      </c>
      <c r="P29" s="2">
        <v>-4.9941242440936598E-5</v>
      </c>
      <c r="Q29" s="2">
        <v>2.57001250250964E-6</v>
      </c>
      <c r="R29">
        <v>2.0021038511910199</v>
      </c>
      <c r="S29">
        <v>0</v>
      </c>
      <c r="T29">
        <v>9.5282670800211195E-4</v>
      </c>
      <c r="U29">
        <v>2.0021038511910199</v>
      </c>
      <c r="V29">
        <v>5.8426408504184901E-2</v>
      </c>
      <c r="W29">
        <v>2.5000000000000001E-4</v>
      </c>
      <c r="X29">
        <v>3.2116076664140299E-2</v>
      </c>
    </row>
    <row r="30" spans="1:24" x14ac:dyDescent="0.2">
      <c r="A30" t="b">
        <v>0</v>
      </c>
      <c r="B30">
        <v>1000</v>
      </c>
      <c r="C30" t="s">
        <v>41</v>
      </c>
      <c r="D30" t="b">
        <v>1</v>
      </c>
      <c r="E30" t="s">
        <v>42</v>
      </c>
      <c r="F30">
        <v>7.4999999999999997E-2</v>
      </c>
      <c r="G30">
        <v>0.5</v>
      </c>
      <c r="H30">
        <v>1E-4</v>
      </c>
      <c r="I30" t="b">
        <v>1</v>
      </c>
      <c r="J30">
        <v>2</v>
      </c>
      <c r="K30">
        <v>1500</v>
      </c>
      <c r="L30">
        <v>0.1</v>
      </c>
      <c r="M30">
        <v>0.154</v>
      </c>
      <c r="N30" t="s">
        <v>55</v>
      </c>
      <c r="O30" t="s">
        <v>56</v>
      </c>
      <c r="P30" s="2">
        <v>-2.08710255996657E-6</v>
      </c>
      <c r="Q30" s="2">
        <v>9.6122080638248798E-7</v>
      </c>
      <c r="R30">
        <v>2.0216477368943702</v>
      </c>
      <c r="S30">
        <v>0</v>
      </c>
      <c r="T30">
        <v>9.8602096222213508E-3</v>
      </c>
      <c r="U30">
        <v>2.0216477368943702</v>
      </c>
      <c r="V30">
        <v>0.52891864949641099</v>
      </c>
      <c r="W30">
        <v>2.5000000000000001E-4</v>
      </c>
      <c r="X30">
        <v>0.308371163156133</v>
      </c>
    </row>
    <row r="31" spans="1:24" x14ac:dyDescent="0.2">
      <c r="A31" t="b">
        <v>0</v>
      </c>
      <c r="B31">
        <v>1000</v>
      </c>
      <c r="C31" t="s">
        <v>41</v>
      </c>
      <c r="D31" t="b">
        <v>1</v>
      </c>
      <c r="E31" t="s">
        <v>42</v>
      </c>
      <c r="F31">
        <v>7.4999999999999997E-2</v>
      </c>
      <c r="G31">
        <v>0.5</v>
      </c>
      <c r="H31">
        <v>1E-4</v>
      </c>
      <c r="I31" t="b">
        <v>1</v>
      </c>
      <c r="J31">
        <v>2</v>
      </c>
      <c r="K31">
        <v>1500</v>
      </c>
      <c r="L31">
        <v>0.1</v>
      </c>
      <c r="M31">
        <v>0.154</v>
      </c>
      <c r="N31" t="s">
        <v>55</v>
      </c>
      <c r="O31" t="s">
        <v>57</v>
      </c>
      <c r="P31" s="2">
        <v>-5.1980135499485899E-5</v>
      </c>
      <c r="Q31" s="2">
        <v>1.28442108919504E-5</v>
      </c>
      <c r="R31">
        <v>2.0215663186033401</v>
      </c>
      <c r="S31" s="2">
        <v>-2.9143569681925398E-15</v>
      </c>
      <c r="T31">
        <v>6.2599139894652499E-3</v>
      </c>
      <c r="U31">
        <v>2.01972210800561</v>
      </c>
      <c r="V31">
        <v>0.28414532800604297</v>
      </c>
      <c r="W31">
        <v>2.7841430095262501E-4</v>
      </c>
      <c r="X31">
        <v>0.17696755472360201</v>
      </c>
    </row>
    <row r="32" spans="1:24" x14ac:dyDescent="0.2">
      <c r="A32" t="b">
        <v>0</v>
      </c>
      <c r="B32">
        <v>1000</v>
      </c>
      <c r="C32" t="s">
        <v>41</v>
      </c>
      <c r="D32" t="b">
        <v>1</v>
      </c>
      <c r="E32" t="s">
        <v>42</v>
      </c>
      <c r="F32">
        <v>7.4999999999999997E-2</v>
      </c>
      <c r="G32">
        <v>0.5</v>
      </c>
      <c r="H32">
        <v>1E-4</v>
      </c>
      <c r="I32" t="b">
        <v>1</v>
      </c>
      <c r="J32">
        <v>2</v>
      </c>
      <c r="K32">
        <v>1500</v>
      </c>
      <c r="L32">
        <v>0.1</v>
      </c>
      <c r="M32">
        <v>0.154</v>
      </c>
      <c r="N32" t="s">
        <v>56</v>
      </c>
      <c r="O32" t="s">
        <v>57</v>
      </c>
      <c r="P32" s="2">
        <v>-4.9899439664370501E-5</v>
      </c>
      <c r="Q32" s="2">
        <v>1.23425511466627E-5</v>
      </c>
      <c r="R32">
        <v>2.0215629228565901</v>
      </c>
      <c r="S32" s="2">
        <v>-2.91318471361552E-15</v>
      </c>
      <c r="T32">
        <v>6.2387981973408401E-3</v>
      </c>
      <c r="U32">
        <v>2.0197188124658201</v>
      </c>
      <c r="V32">
        <v>0.28272049700093999</v>
      </c>
      <c r="W32">
        <v>2.78414205210431E-4</v>
      </c>
      <c r="X32">
        <v>0.17151026573268499</v>
      </c>
    </row>
    <row r="33" spans="1:24" x14ac:dyDescent="0.2">
      <c r="A33" t="b">
        <v>0</v>
      </c>
      <c r="B33">
        <v>1000</v>
      </c>
      <c r="C33" t="s">
        <v>41</v>
      </c>
      <c r="D33" t="b">
        <v>1</v>
      </c>
      <c r="E33" t="s">
        <v>42</v>
      </c>
      <c r="F33">
        <v>7.4999999999999997E-2</v>
      </c>
      <c r="G33">
        <v>0.5</v>
      </c>
      <c r="H33">
        <v>1E-4</v>
      </c>
      <c r="I33" t="b">
        <v>1</v>
      </c>
      <c r="J33">
        <v>2</v>
      </c>
      <c r="K33">
        <v>1500</v>
      </c>
      <c r="L33">
        <v>0.2</v>
      </c>
      <c r="M33">
        <v>0.154</v>
      </c>
      <c r="N33" t="s">
        <v>58</v>
      </c>
      <c r="O33" t="s">
        <v>59</v>
      </c>
      <c r="P33" s="2">
        <v>-2.09218058512542E-6</v>
      </c>
      <c r="Q33" s="2">
        <v>1.80862467756357E-6</v>
      </c>
      <c r="R33">
        <v>2.0430240214786002</v>
      </c>
      <c r="S33">
        <v>0</v>
      </c>
      <c r="T33">
        <v>2.0219358176364301E-2</v>
      </c>
      <c r="U33">
        <v>2.0430240214786002</v>
      </c>
      <c r="V33">
        <v>1.0055484412221001</v>
      </c>
      <c r="W33">
        <v>2.5000000000000001E-4</v>
      </c>
      <c r="X33">
        <v>0.61560356560412899</v>
      </c>
    </row>
    <row r="34" spans="1:24" x14ac:dyDescent="0.2">
      <c r="A34" t="b">
        <v>0</v>
      </c>
      <c r="B34">
        <v>1000</v>
      </c>
      <c r="C34" t="s">
        <v>41</v>
      </c>
      <c r="D34" t="b">
        <v>1</v>
      </c>
      <c r="E34" t="s">
        <v>42</v>
      </c>
      <c r="F34">
        <v>7.4999999999999997E-2</v>
      </c>
      <c r="G34">
        <v>0.5</v>
      </c>
      <c r="H34">
        <v>1E-4</v>
      </c>
      <c r="I34" t="b">
        <v>1</v>
      </c>
      <c r="J34">
        <v>2</v>
      </c>
      <c r="K34">
        <v>1500</v>
      </c>
      <c r="L34">
        <v>0.2</v>
      </c>
      <c r="M34">
        <v>0.154</v>
      </c>
      <c r="N34" t="s">
        <v>58</v>
      </c>
      <c r="O34" t="s">
        <v>60</v>
      </c>
      <c r="P34" s="2">
        <v>-5.1389600006970702E-5</v>
      </c>
      <c r="Q34" s="2">
        <v>3.6378073611643702E-6</v>
      </c>
      <c r="R34">
        <v>2.0429279963444702</v>
      </c>
      <c r="S34" s="2">
        <v>-3.5298000270774201E-15</v>
      </c>
      <c r="T34">
        <v>1.38086213522717E-3</v>
      </c>
      <c r="U34">
        <v>2.01797294071085</v>
      </c>
      <c r="V34">
        <v>8.5187659068936897E-2</v>
      </c>
      <c r="W34">
        <v>0.168781019765328</v>
      </c>
      <c r="X34">
        <v>5.3492595330801397E-2</v>
      </c>
    </row>
    <row r="35" spans="1:24" x14ac:dyDescent="0.2">
      <c r="A35" t="b">
        <v>0</v>
      </c>
      <c r="B35">
        <v>1000</v>
      </c>
      <c r="C35" t="s">
        <v>41</v>
      </c>
      <c r="D35" t="b">
        <v>1</v>
      </c>
      <c r="E35" t="s">
        <v>42</v>
      </c>
      <c r="F35">
        <v>7.4999999999999997E-2</v>
      </c>
      <c r="G35">
        <v>0.5</v>
      </c>
      <c r="H35">
        <v>1E-4</v>
      </c>
      <c r="I35" t="b">
        <v>1</v>
      </c>
      <c r="J35">
        <v>2</v>
      </c>
      <c r="K35">
        <v>1500</v>
      </c>
      <c r="L35">
        <v>0.2</v>
      </c>
      <c r="M35">
        <v>0.154</v>
      </c>
      <c r="N35" t="s">
        <v>59</v>
      </c>
      <c r="O35" t="s">
        <v>60</v>
      </c>
      <c r="P35" s="2">
        <v>-4.9332537520887699E-5</v>
      </c>
      <c r="Q35" s="2">
        <v>3.4925872455701599E-6</v>
      </c>
      <c r="R35">
        <v>2.0429239911280699</v>
      </c>
      <c r="S35" s="2">
        <v>-3.52990604228047E-15</v>
      </c>
      <c r="T35">
        <v>1.3847228806746501E-3</v>
      </c>
      <c r="U35">
        <v>2.01796953513972</v>
      </c>
      <c r="V35">
        <v>8.5629927469391506E-2</v>
      </c>
      <c r="W35">
        <v>0.16877702266050701</v>
      </c>
      <c r="X35">
        <v>5.4918888061216399E-2</v>
      </c>
    </row>
    <row r="36" spans="1:24" x14ac:dyDescent="0.2">
      <c r="A36" t="b">
        <v>0</v>
      </c>
      <c r="B36">
        <v>1000</v>
      </c>
      <c r="C36" t="s">
        <v>41</v>
      </c>
      <c r="D36" t="b">
        <v>1</v>
      </c>
      <c r="E36" t="s">
        <v>42</v>
      </c>
      <c r="F36">
        <v>7.4999999999999997E-2</v>
      </c>
      <c r="G36">
        <v>0.5</v>
      </c>
      <c r="H36">
        <v>1E-4</v>
      </c>
      <c r="I36" t="b">
        <v>1</v>
      </c>
      <c r="J36">
        <v>2</v>
      </c>
      <c r="K36">
        <v>1500</v>
      </c>
      <c r="L36">
        <v>0.3</v>
      </c>
      <c r="M36">
        <v>0.154</v>
      </c>
      <c r="N36" t="s">
        <v>61</v>
      </c>
      <c r="O36" t="s">
        <v>62</v>
      </c>
      <c r="P36" s="2">
        <v>-2.0971412473971301E-6</v>
      </c>
      <c r="Q36" s="2">
        <v>2.56087453364559E-6</v>
      </c>
      <c r="R36">
        <v>2.0641347334186002</v>
      </c>
      <c r="S36">
        <v>0</v>
      </c>
      <c r="T36">
        <v>2.9600021550652399E-2</v>
      </c>
      <c r="U36">
        <v>2.0641347334186002</v>
      </c>
      <c r="V36">
        <v>1.43535589463142</v>
      </c>
      <c r="W36">
        <v>2.5000000000000001E-4</v>
      </c>
      <c r="X36">
        <v>0.89983294576492701</v>
      </c>
    </row>
    <row r="37" spans="1:24" x14ac:dyDescent="0.2">
      <c r="A37" t="b">
        <v>0</v>
      </c>
      <c r="B37">
        <v>1000</v>
      </c>
      <c r="C37" t="s">
        <v>41</v>
      </c>
      <c r="D37" t="b">
        <v>1</v>
      </c>
      <c r="E37" t="s">
        <v>42</v>
      </c>
      <c r="F37">
        <v>7.4999999999999997E-2</v>
      </c>
      <c r="G37">
        <v>0.5</v>
      </c>
      <c r="H37">
        <v>1E-4</v>
      </c>
      <c r="I37" t="b">
        <v>1</v>
      </c>
      <c r="J37">
        <v>2</v>
      </c>
      <c r="K37">
        <v>1500</v>
      </c>
      <c r="L37">
        <v>0.3</v>
      </c>
      <c r="M37">
        <v>0.154</v>
      </c>
      <c r="N37" t="s">
        <v>61</v>
      </c>
      <c r="O37" t="s">
        <v>63</v>
      </c>
      <c r="P37" s="2">
        <v>-5.1213070100638699E-5</v>
      </c>
      <c r="Q37" s="2">
        <v>8.5319375333371904E-6</v>
      </c>
      <c r="R37">
        <v>2.0640242100647601</v>
      </c>
      <c r="S37" s="2">
        <v>-3.7897907565507201E-15</v>
      </c>
      <c r="T37">
        <v>2.9918115556452698E-3</v>
      </c>
      <c r="U37">
        <v>2.02687225898493</v>
      </c>
      <c r="V37">
        <v>0.206130921004199</v>
      </c>
      <c r="W37">
        <v>0.24190180480336801</v>
      </c>
      <c r="X37">
        <v>0.133604875299246</v>
      </c>
    </row>
    <row r="38" spans="1:24" x14ac:dyDescent="0.2">
      <c r="A38" t="b">
        <v>0</v>
      </c>
      <c r="B38">
        <v>1000</v>
      </c>
      <c r="C38" t="s">
        <v>41</v>
      </c>
      <c r="D38" t="b">
        <v>1</v>
      </c>
      <c r="E38" t="s">
        <v>42</v>
      </c>
      <c r="F38">
        <v>7.4999999999999997E-2</v>
      </c>
      <c r="G38">
        <v>0.5</v>
      </c>
      <c r="H38">
        <v>1E-4</v>
      </c>
      <c r="I38" t="b">
        <v>1</v>
      </c>
      <c r="J38">
        <v>2</v>
      </c>
      <c r="K38">
        <v>1500</v>
      </c>
      <c r="L38">
        <v>0.3</v>
      </c>
      <c r="M38">
        <v>0.154</v>
      </c>
      <c r="N38" t="s">
        <v>62</v>
      </c>
      <c r="O38" t="s">
        <v>63</v>
      </c>
      <c r="P38" s="2">
        <v>-4.9163060614502197E-5</v>
      </c>
      <c r="Q38" s="2">
        <v>8.1914911002139806E-6</v>
      </c>
      <c r="R38">
        <v>2.06401959987658</v>
      </c>
      <c r="S38" s="2">
        <v>-3.7897637748253E-15</v>
      </c>
      <c r="T38">
        <v>2.97515670532305E-3</v>
      </c>
      <c r="U38">
        <v>2.02686845098297</v>
      </c>
      <c r="V38">
        <v>0.20589181000932999</v>
      </c>
      <c r="W38">
        <v>0.24189650101554699</v>
      </c>
      <c r="X38">
        <v>0.13249477066610399</v>
      </c>
    </row>
    <row r="39" spans="1:24" x14ac:dyDescent="0.2">
      <c r="A39" t="b">
        <v>0</v>
      </c>
      <c r="B39">
        <v>1000</v>
      </c>
      <c r="C39" t="s">
        <v>41</v>
      </c>
      <c r="D39" t="b">
        <v>1</v>
      </c>
      <c r="E39" t="s">
        <v>42</v>
      </c>
      <c r="F39">
        <v>7.4999999999999997E-2</v>
      </c>
      <c r="G39">
        <v>0.5</v>
      </c>
      <c r="H39">
        <v>1E-4</v>
      </c>
      <c r="I39" t="b">
        <v>1</v>
      </c>
      <c r="J39">
        <v>2</v>
      </c>
      <c r="K39">
        <v>1500</v>
      </c>
      <c r="L39">
        <v>0.4</v>
      </c>
      <c r="M39">
        <v>0.154</v>
      </c>
      <c r="N39" t="s">
        <v>64</v>
      </c>
      <c r="O39" t="s">
        <v>65</v>
      </c>
      <c r="P39" s="2">
        <v>-2.10199191278828E-6</v>
      </c>
      <c r="Q39" s="2">
        <v>3.2290931390477599E-6</v>
      </c>
      <c r="R39">
        <v>2.0849880789381601</v>
      </c>
      <c r="S39">
        <v>0</v>
      </c>
      <c r="T39">
        <v>4.0147152227756701E-2</v>
      </c>
      <c r="U39">
        <v>2.0849880789381601</v>
      </c>
      <c r="V39">
        <v>1.82481790777305</v>
      </c>
      <c r="W39">
        <v>2.5000000000000001E-4</v>
      </c>
      <c r="X39">
        <v>1.1901066680591099</v>
      </c>
    </row>
    <row r="40" spans="1:24" x14ac:dyDescent="0.2">
      <c r="A40" t="b">
        <v>0</v>
      </c>
      <c r="B40">
        <v>1000</v>
      </c>
      <c r="C40" t="s">
        <v>41</v>
      </c>
      <c r="D40" t="b">
        <v>1</v>
      </c>
      <c r="E40" t="s">
        <v>42</v>
      </c>
      <c r="F40">
        <v>7.4999999999999997E-2</v>
      </c>
      <c r="G40">
        <v>0.5</v>
      </c>
      <c r="H40">
        <v>1E-4</v>
      </c>
      <c r="I40" t="b">
        <v>1</v>
      </c>
      <c r="J40">
        <v>2</v>
      </c>
      <c r="K40">
        <v>1500</v>
      </c>
      <c r="L40">
        <v>0.4</v>
      </c>
      <c r="M40">
        <v>0.154</v>
      </c>
      <c r="N40" t="s">
        <v>64</v>
      </c>
      <c r="O40" t="s">
        <v>66</v>
      </c>
      <c r="P40" s="2">
        <v>-5.1064549094229799E-5</v>
      </c>
      <c r="Q40" s="2">
        <v>1.5974730389528701E-5</v>
      </c>
      <c r="R40">
        <v>2.08486315939337</v>
      </c>
      <c r="S40" s="2">
        <v>-4.0123386997527097E-15</v>
      </c>
      <c r="T40">
        <v>5.0421594159810604E-3</v>
      </c>
      <c r="U40">
        <v>2.03646995644166</v>
      </c>
      <c r="V40">
        <v>0.39616585717715602</v>
      </c>
      <c r="W40">
        <v>0.30929172781625103</v>
      </c>
      <c r="X40">
        <v>0.25895185198498</v>
      </c>
    </row>
    <row r="41" spans="1:24" x14ac:dyDescent="0.2">
      <c r="A41" t="b">
        <v>0</v>
      </c>
      <c r="B41">
        <v>1000</v>
      </c>
      <c r="C41" t="s">
        <v>41</v>
      </c>
      <c r="D41" t="b">
        <v>1</v>
      </c>
      <c r="E41" t="s">
        <v>42</v>
      </c>
      <c r="F41">
        <v>7.4999999999999997E-2</v>
      </c>
      <c r="G41">
        <v>0.5</v>
      </c>
      <c r="H41">
        <v>1E-4</v>
      </c>
      <c r="I41" t="b">
        <v>1</v>
      </c>
      <c r="J41">
        <v>2</v>
      </c>
      <c r="K41">
        <v>1500</v>
      </c>
      <c r="L41">
        <v>0.4</v>
      </c>
      <c r="M41">
        <v>0.154</v>
      </c>
      <c r="N41" t="s">
        <v>65</v>
      </c>
      <c r="O41" t="s">
        <v>66</v>
      </c>
      <c r="P41" s="2">
        <v>-4.9020471626838801E-5</v>
      </c>
      <c r="Q41" s="2">
        <v>1.5332927766585801E-5</v>
      </c>
      <c r="R41">
        <v>2.0848579484688301</v>
      </c>
      <c r="S41" s="2">
        <v>-4.0136487002515199E-15</v>
      </c>
      <c r="T41">
        <v>4.9198636747218904E-3</v>
      </c>
      <c r="U41">
        <v>2.0364657536932498</v>
      </c>
      <c r="V41">
        <v>0.39717321006276002</v>
      </c>
      <c r="W41">
        <v>0.30928510011504301</v>
      </c>
      <c r="X41">
        <v>0.26082268561095301</v>
      </c>
    </row>
    <row r="42" spans="1:24" x14ac:dyDescent="0.2">
      <c r="A42" t="b">
        <v>0</v>
      </c>
      <c r="B42">
        <v>1000</v>
      </c>
      <c r="C42" t="s">
        <v>41</v>
      </c>
      <c r="D42" t="b">
        <v>1</v>
      </c>
      <c r="E42" t="s">
        <v>42</v>
      </c>
      <c r="F42">
        <v>7.4999999999999997E-2</v>
      </c>
      <c r="G42">
        <v>0.5</v>
      </c>
      <c r="H42">
        <v>1E-4</v>
      </c>
      <c r="I42" t="b">
        <v>1</v>
      </c>
      <c r="J42">
        <v>2</v>
      </c>
      <c r="K42">
        <v>1500</v>
      </c>
      <c r="L42">
        <v>0.5</v>
      </c>
      <c r="M42">
        <v>0.154</v>
      </c>
      <c r="N42" t="s">
        <v>67</v>
      </c>
      <c r="O42" t="s">
        <v>68</v>
      </c>
      <c r="P42" s="2">
        <v>-2.1066768751204601E-6</v>
      </c>
      <c r="Q42" s="2">
        <v>3.8053229834140901E-6</v>
      </c>
      <c r="R42">
        <v>2.1066566666075999</v>
      </c>
      <c r="S42">
        <v>0</v>
      </c>
      <c r="T42">
        <v>5.0417935274021698E-2</v>
      </c>
      <c r="U42">
        <v>2.1066566666075999</v>
      </c>
      <c r="V42">
        <v>2.1674649178361598</v>
      </c>
      <c r="W42">
        <v>2.5000000000000001E-4</v>
      </c>
      <c r="X42">
        <v>1.4660064297295801</v>
      </c>
    </row>
    <row r="43" spans="1:24" x14ac:dyDescent="0.2">
      <c r="A43" t="b">
        <v>0</v>
      </c>
      <c r="B43">
        <v>1000</v>
      </c>
      <c r="C43" t="s">
        <v>41</v>
      </c>
      <c r="D43" t="b">
        <v>1</v>
      </c>
      <c r="E43" t="s">
        <v>42</v>
      </c>
      <c r="F43">
        <v>7.4999999999999997E-2</v>
      </c>
      <c r="G43">
        <v>0.5</v>
      </c>
      <c r="H43">
        <v>1E-4</v>
      </c>
      <c r="I43" t="b">
        <v>1</v>
      </c>
      <c r="J43">
        <v>2</v>
      </c>
      <c r="K43">
        <v>1500</v>
      </c>
      <c r="L43">
        <v>0.5</v>
      </c>
      <c r="M43">
        <v>0.154</v>
      </c>
      <c r="N43" t="s">
        <v>67</v>
      </c>
      <c r="O43" t="s">
        <v>69</v>
      </c>
      <c r="P43" s="2">
        <v>-5.05975205639544E-5</v>
      </c>
      <c r="Q43" s="2">
        <v>5.6961780740547197E-6</v>
      </c>
      <c r="R43">
        <v>2.1065174519571799</v>
      </c>
      <c r="S43" s="2">
        <v>-4.8273581078129596E-15</v>
      </c>
      <c r="T43">
        <v>1.1220435226413901E-3</v>
      </c>
      <c r="U43">
        <v>2.03690971806994</v>
      </c>
      <c r="V43">
        <v>0.149731197444463</v>
      </c>
      <c r="W43">
        <v>0.46276568599019802</v>
      </c>
      <c r="X43">
        <v>9.7862401950919498E-2</v>
      </c>
    </row>
    <row r="44" spans="1:24" x14ac:dyDescent="0.2">
      <c r="A44" t="b">
        <v>0</v>
      </c>
      <c r="B44">
        <v>1000</v>
      </c>
      <c r="C44" t="s">
        <v>41</v>
      </c>
      <c r="D44" t="b">
        <v>1</v>
      </c>
      <c r="E44" t="s">
        <v>42</v>
      </c>
      <c r="F44">
        <v>7.4999999999999997E-2</v>
      </c>
      <c r="G44">
        <v>0.5</v>
      </c>
      <c r="H44">
        <v>1E-4</v>
      </c>
      <c r="I44" t="b">
        <v>1</v>
      </c>
      <c r="J44">
        <v>2</v>
      </c>
      <c r="K44">
        <v>1500</v>
      </c>
      <c r="L44">
        <v>0.5</v>
      </c>
      <c r="M44">
        <v>0.154</v>
      </c>
      <c r="N44" t="s">
        <v>68</v>
      </c>
      <c r="O44" t="s">
        <v>69</v>
      </c>
      <c r="P44" s="2">
        <v>-4.8572135354980799E-5</v>
      </c>
      <c r="Q44" s="2">
        <v>5.4674866126384696E-6</v>
      </c>
      <c r="R44">
        <v>2.1065116444595802</v>
      </c>
      <c r="S44" s="2">
        <v>-4.8282314795357803E-15</v>
      </c>
      <c r="T44">
        <v>1.12277240614054E-3</v>
      </c>
      <c r="U44">
        <v>2.0369055919627499</v>
      </c>
      <c r="V44">
        <v>0.14968498799702601</v>
      </c>
      <c r="W44">
        <v>0.462753823492357</v>
      </c>
      <c r="X44">
        <v>9.7763491155273094E-2</v>
      </c>
    </row>
    <row r="45" spans="1:24" x14ac:dyDescent="0.2">
      <c r="A45" t="b">
        <v>0</v>
      </c>
      <c r="B45">
        <v>1000</v>
      </c>
      <c r="C45" t="s">
        <v>41</v>
      </c>
      <c r="D45" t="b">
        <v>1</v>
      </c>
      <c r="E45" t="s">
        <v>42</v>
      </c>
      <c r="F45">
        <v>7.4999999999999997E-2</v>
      </c>
      <c r="G45">
        <v>0.5</v>
      </c>
      <c r="H45">
        <v>1E-4</v>
      </c>
      <c r="I45" t="b">
        <v>1</v>
      </c>
      <c r="J45">
        <v>2</v>
      </c>
      <c r="K45">
        <v>1500</v>
      </c>
      <c r="L45">
        <v>0.7</v>
      </c>
      <c r="M45">
        <v>0.154</v>
      </c>
      <c r="N45" t="s">
        <v>70</v>
      </c>
      <c r="O45" t="s">
        <v>71</v>
      </c>
      <c r="P45" s="2">
        <v>-2.11549306016997E-6</v>
      </c>
      <c r="Q45" s="2">
        <v>4.6866143344313903E-6</v>
      </c>
      <c r="R45">
        <v>2.1538015365340999</v>
      </c>
      <c r="S45">
        <v>0</v>
      </c>
      <c r="T45">
        <v>6.9990618037418906E-2</v>
      </c>
      <c r="U45">
        <v>2.1538015365340999</v>
      </c>
      <c r="V45">
        <v>2.73008694954944</v>
      </c>
      <c r="W45">
        <v>2.5000000000000001E-4</v>
      </c>
      <c r="X45">
        <v>2.0222096037316399</v>
      </c>
    </row>
    <row r="46" spans="1:24" x14ac:dyDescent="0.2">
      <c r="A46" t="b">
        <v>0</v>
      </c>
      <c r="B46">
        <v>1000</v>
      </c>
      <c r="C46" t="s">
        <v>41</v>
      </c>
      <c r="D46" t="b">
        <v>1</v>
      </c>
      <c r="E46" t="s">
        <v>42</v>
      </c>
      <c r="F46">
        <v>7.4999999999999997E-2</v>
      </c>
      <c r="G46">
        <v>0.5</v>
      </c>
      <c r="H46">
        <v>1E-4</v>
      </c>
      <c r="I46" t="b">
        <v>1</v>
      </c>
      <c r="J46">
        <v>2</v>
      </c>
      <c r="K46">
        <v>1500</v>
      </c>
      <c r="L46">
        <v>0.7</v>
      </c>
      <c r="M46">
        <v>0.154</v>
      </c>
      <c r="N46" t="s">
        <v>70</v>
      </c>
      <c r="O46" t="s">
        <v>72</v>
      </c>
      <c r="P46" s="2">
        <v>-5.0243325904113998E-5</v>
      </c>
      <c r="Q46" s="2">
        <v>3.7998690791596198E-5</v>
      </c>
      <c r="R46">
        <v>2.1536339270549498</v>
      </c>
      <c r="S46" s="2">
        <v>-5.3848927781259301E-15</v>
      </c>
      <c r="T46">
        <v>2.9087525176059799E-3</v>
      </c>
      <c r="U46">
        <v>2.0602272974160898</v>
      </c>
      <c r="V46">
        <v>1.0649109939375501</v>
      </c>
      <c r="W46">
        <v>0.62471397075266599</v>
      </c>
      <c r="X46">
        <v>0.71445677738740299</v>
      </c>
    </row>
    <row r="47" spans="1:24" x14ac:dyDescent="0.2">
      <c r="A47" t="b">
        <v>0</v>
      </c>
      <c r="B47">
        <v>1000</v>
      </c>
      <c r="C47" t="s">
        <v>41</v>
      </c>
      <c r="D47" t="b">
        <v>1</v>
      </c>
      <c r="E47" t="s">
        <v>42</v>
      </c>
      <c r="F47">
        <v>7.4999999999999997E-2</v>
      </c>
      <c r="G47">
        <v>0.5</v>
      </c>
      <c r="H47">
        <v>1E-4</v>
      </c>
      <c r="I47" t="b">
        <v>1</v>
      </c>
      <c r="J47">
        <v>2</v>
      </c>
      <c r="K47">
        <v>1500</v>
      </c>
      <c r="L47">
        <v>0.7</v>
      </c>
      <c r="M47">
        <v>0.154</v>
      </c>
      <c r="N47" t="s">
        <v>71</v>
      </c>
      <c r="O47" t="s">
        <v>72</v>
      </c>
      <c r="P47" s="2">
        <v>-4.8232098856651003E-5</v>
      </c>
      <c r="Q47" s="2">
        <v>3.6477768475550803E-5</v>
      </c>
      <c r="R47">
        <v>2.1536269344204899</v>
      </c>
      <c r="S47" s="2">
        <v>-5.3850818701363901E-15</v>
      </c>
      <c r="T47">
        <v>2.9092171848995501E-3</v>
      </c>
      <c r="U47">
        <v>2.06022264065663</v>
      </c>
      <c r="V47">
        <v>1.06439667201666</v>
      </c>
      <c r="W47">
        <v>0.62469715241785595</v>
      </c>
      <c r="X47">
        <v>0.71237578335407503</v>
      </c>
    </row>
    <row r="48" spans="1:24" x14ac:dyDescent="0.2">
      <c r="A48" t="b">
        <v>0</v>
      </c>
      <c r="B48">
        <v>1000</v>
      </c>
      <c r="C48" t="s">
        <v>41</v>
      </c>
      <c r="D48" t="b">
        <v>1</v>
      </c>
      <c r="E48" t="s">
        <v>42</v>
      </c>
      <c r="F48">
        <v>7.4999999999999997E-2</v>
      </c>
      <c r="G48">
        <v>0.5</v>
      </c>
      <c r="H48">
        <v>1E-4</v>
      </c>
      <c r="I48" t="b">
        <v>1</v>
      </c>
      <c r="J48">
        <v>2</v>
      </c>
      <c r="K48">
        <v>1500</v>
      </c>
      <c r="L48">
        <v>0.8</v>
      </c>
      <c r="M48">
        <v>0.154</v>
      </c>
      <c r="N48" t="s">
        <v>73</v>
      </c>
      <c r="O48" t="s">
        <v>74</v>
      </c>
      <c r="P48" s="2">
        <v>-2.11968627812455E-6</v>
      </c>
      <c r="Q48" s="2">
        <v>5.0163580108466898E-6</v>
      </c>
      <c r="R48">
        <v>2.1784367487802299</v>
      </c>
      <c r="S48">
        <v>0</v>
      </c>
      <c r="T48">
        <v>8.2705432282461203E-2</v>
      </c>
      <c r="U48">
        <v>2.1784367487802299</v>
      </c>
      <c r="V48">
        <v>2.9453268511718398</v>
      </c>
      <c r="W48">
        <v>2.5000000000000001E-4</v>
      </c>
      <c r="X48">
        <v>2.3090212136962101</v>
      </c>
    </row>
    <row r="49" spans="1:24" x14ac:dyDescent="0.2">
      <c r="A49" t="b">
        <v>0</v>
      </c>
      <c r="B49">
        <v>1000</v>
      </c>
      <c r="C49" t="s">
        <v>41</v>
      </c>
      <c r="D49" t="b">
        <v>1</v>
      </c>
      <c r="E49" t="s">
        <v>42</v>
      </c>
      <c r="F49">
        <v>7.4999999999999997E-2</v>
      </c>
      <c r="G49">
        <v>0.5</v>
      </c>
      <c r="H49">
        <v>1E-4</v>
      </c>
      <c r="I49" t="b">
        <v>1</v>
      </c>
      <c r="J49">
        <v>2</v>
      </c>
      <c r="K49">
        <v>1500</v>
      </c>
      <c r="L49">
        <v>0.8</v>
      </c>
      <c r="M49">
        <v>0.154</v>
      </c>
      <c r="N49" t="s">
        <v>73</v>
      </c>
      <c r="O49" t="s">
        <v>75</v>
      </c>
      <c r="P49" s="2">
        <v>-5.0099668771333399E-5</v>
      </c>
      <c r="Q49">
        <v>2.9910341085325203E-4</v>
      </c>
      <c r="R49">
        <v>2.1782549839302598</v>
      </c>
      <c r="S49" s="2">
        <v>-5.5988225457552097E-15</v>
      </c>
      <c r="T49">
        <v>4.046578770728E-3</v>
      </c>
      <c r="U49">
        <v>2.0740769180860799</v>
      </c>
      <c r="V49">
        <v>8.6457926796543205</v>
      </c>
      <c r="W49">
        <v>0.70033560653583704</v>
      </c>
      <c r="X49">
        <v>6.0032671221103904</v>
      </c>
    </row>
    <row r="50" spans="1:24" x14ac:dyDescent="0.2">
      <c r="A50" t="b">
        <v>0</v>
      </c>
      <c r="B50">
        <v>1000</v>
      </c>
      <c r="C50" t="s">
        <v>41</v>
      </c>
      <c r="D50" t="b">
        <v>1</v>
      </c>
      <c r="E50" t="s">
        <v>42</v>
      </c>
      <c r="F50">
        <v>7.4999999999999997E-2</v>
      </c>
      <c r="G50">
        <v>0.5</v>
      </c>
      <c r="H50">
        <v>1E-4</v>
      </c>
      <c r="I50" t="b">
        <v>1</v>
      </c>
      <c r="J50">
        <v>2</v>
      </c>
      <c r="K50">
        <v>1500</v>
      </c>
      <c r="L50">
        <v>0.8</v>
      </c>
      <c r="M50">
        <v>0.154</v>
      </c>
      <c r="N50" t="s">
        <v>74</v>
      </c>
      <c r="O50" t="s">
        <v>75</v>
      </c>
      <c r="P50" s="2">
        <v>-4.80941819540824E-5</v>
      </c>
      <c r="Q50">
        <v>2.8674937003537299E-4</v>
      </c>
      <c r="R50">
        <v>2.1782474003949099</v>
      </c>
      <c r="S50" s="2">
        <v>-5.5997172903920803E-15</v>
      </c>
      <c r="T50">
        <v>4.0777051567734597E-3</v>
      </c>
      <c r="U50">
        <v>2.07407196182784</v>
      </c>
      <c r="V50">
        <v>8.63448678046141</v>
      </c>
      <c r="W50">
        <v>0.70031649956787301</v>
      </c>
      <c r="X50">
        <v>5.9961800580975204</v>
      </c>
    </row>
    <row r="51" spans="1:24" x14ac:dyDescent="0.2">
      <c r="A51" t="b">
        <v>0</v>
      </c>
      <c r="B51">
        <v>1000</v>
      </c>
      <c r="C51" t="s">
        <v>41</v>
      </c>
      <c r="D51" t="b">
        <v>1</v>
      </c>
      <c r="E51" t="s">
        <v>42</v>
      </c>
      <c r="F51">
        <v>7.4999999999999997E-2</v>
      </c>
      <c r="G51">
        <v>0.5</v>
      </c>
      <c r="H51">
        <v>1E-4</v>
      </c>
      <c r="I51" t="b">
        <v>1</v>
      </c>
      <c r="J51">
        <v>2</v>
      </c>
      <c r="K51">
        <v>1500</v>
      </c>
      <c r="L51">
        <v>1</v>
      </c>
      <c r="M51">
        <v>0.154</v>
      </c>
      <c r="N51" t="s">
        <v>76</v>
      </c>
      <c r="O51" t="s">
        <v>77</v>
      </c>
      <c r="P51" s="2">
        <v>-2.1277245208054E-6</v>
      </c>
      <c r="Q51" s="2">
        <v>5.5069506808139502E-6</v>
      </c>
      <c r="R51">
        <v>2.2289564131861899</v>
      </c>
      <c r="S51">
        <v>0</v>
      </c>
      <c r="T51">
        <v>0.101923316736064</v>
      </c>
      <c r="U51">
        <v>2.2289564131861899</v>
      </c>
      <c r="V51">
        <v>3.3061472423411802</v>
      </c>
      <c r="W51">
        <v>2.5000000000000001E-4</v>
      </c>
      <c r="X51">
        <v>2.8497596889439301</v>
      </c>
    </row>
    <row r="52" spans="1:24" x14ac:dyDescent="0.2">
      <c r="A52" t="b">
        <v>0</v>
      </c>
      <c r="B52">
        <v>1000</v>
      </c>
      <c r="C52" t="s">
        <v>41</v>
      </c>
      <c r="D52" t="b">
        <v>1</v>
      </c>
      <c r="E52" t="s">
        <v>42</v>
      </c>
      <c r="F52">
        <v>7.4999999999999997E-2</v>
      </c>
      <c r="G52">
        <v>0.5</v>
      </c>
      <c r="H52">
        <v>1E-4</v>
      </c>
      <c r="I52" t="b">
        <v>1</v>
      </c>
      <c r="J52">
        <v>2</v>
      </c>
      <c r="K52">
        <v>1500</v>
      </c>
      <c r="L52">
        <v>1</v>
      </c>
      <c r="M52">
        <v>0.154</v>
      </c>
      <c r="N52" t="s">
        <v>76</v>
      </c>
      <c r="O52" t="s">
        <v>78</v>
      </c>
      <c r="P52" s="2">
        <v>-4.9866418090045203E-5</v>
      </c>
      <c r="Q52" s="2">
        <v>5.5573110446141902E-5</v>
      </c>
      <c r="R52">
        <v>2.2287463336067299</v>
      </c>
      <c r="S52" s="2">
        <v>-5.9368826771490999E-15</v>
      </c>
      <c r="T52">
        <v>6.9023025492268002E-3</v>
      </c>
      <c r="U52">
        <v>2.1048403981178399</v>
      </c>
      <c r="V52">
        <v>1.70383849527571</v>
      </c>
      <c r="W52">
        <v>0.84341231426673602</v>
      </c>
      <c r="X52">
        <v>1.3361869716100401</v>
      </c>
    </row>
    <row r="53" spans="1:24" x14ac:dyDescent="0.2">
      <c r="A53" t="b">
        <v>0</v>
      </c>
      <c r="B53">
        <v>1000</v>
      </c>
      <c r="C53" t="s">
        <v>41</v>
      </c>
      <c r="D53" t="b">
        <v>1</v>
      </c>
      <c r="E53" t="s">
        <v>42</v>
      </c>
      <c r="F53">
        <v>7.4999999999999997E-2</v>
      </c>
      <c r="G53">
        <v>0.5</v>
      </c>
      <c r="H53">
        <v>1E-4</v>
      </c>
      <c r="I53" t="b">
        <v>1</v>
      </c>
      <c r="J53">
        <v>2</v>
      </c>
      <c r="K53">
        <v>1500</v>
      </c>
      <c r="L53">
        <v>1</v>
      </c>
      <c r="M53">
        <v>0.154</v>
      </c>
      <c r="N53" t="s">
        <v>77</v>
      </c>
      <c r="O53" t="s">
        <v>78</v>
      </c>
      <c r="P53" s="2">
        <v>-4.7870248038870097E-5</v>
      </c>
      <c r="Q53" s="2">
        <v>5.33479573696898E-5</v>
      </c>
      <c r="R53">
        <v>2.2287375680597199</v>
      </c>
      <c r="S53" s="2">
        <v>-5.9379818327384699E-15</v>
      </c>
      <c r="T53">
        <v>6.7237146616362696E-3</v>
      </c>
      <c r="U53">
        <v>2.1048349258766201</v>
      </c>
      <c r="V53">
        <v>1.7071679930399399</v>
      </c>
      <c r="W53">
        <v>0.84338802135677104</v>
      </c>
      <c r="X53">
        <v>1.3477063340902999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9FE06-2BC9-BD4E-A878-3F311465B3A4}">
  <dimension ref="A1:AC53"/>
  <sheetViews>
    <sheetView tabSelected="1" topLeftCell="O25" zoomScale="219" zoomScaleNormal="219" workbookViewId="0">
      <selection activeCell="AC27" sqref="AC27"/>
    </sheetView>
  </sheetViews>
  <sheetFormatPr baseColWidth="10" defaultRowHeight="16" x14ac:dyDescent="0.2"/>
  <cols>
    <col min="1" max="1" width="30.33203125" bestFit="1" customWidth="1"/>
    <col min="2" max="2" width="11.5" customWidth="1"/>
    <col min="3" max="3" width="15.83203125" customWidth="1"/>
    <col min="4" max="4" width="15.1640625" customWidth="1"/>
    <col min="5" max="5" width="10" customWidth="1"/>
    <col min="6" max="6" width="7" customWidth="1"/>
    <col min="7" max="7" width="6.33203125" customWidth="1"/>
    <col min="8" max="8" width="7.1640625" customWidth="1"/>
    <col min="9" max="9" width="12.5" customWidth="1"/>
    <col min="10" max="10" width="2.6640625" style="1" bestFit="1" customWidth="1"/>
    <col min="11" max="11" width="23" style="1" customWidth="1"/>
    <col min="12" max="12" width="8.1640625" style="1" customWidth="1"/>
    <col min="13" max="13" width="10.33203125" style="1" customWidth="1"/>
    <col min="14" max="14" width="42.83203125" style="1" customWidth="1"/>
    <col min="15" max="15" width="39.1640625" style="1" customWidth="1"/>
    <col min="16" max="16" width="9" style="1" bestFit="1" customWidth="1"/>
    <col min="17" max="17" width="9.5" style="1" bestFit="1" customWidth="1"/>
    <col min="18" max="18" width="12.1640625" style="1" bestFit="1" customWidth="1"/>
    <col min="19" max="19" width="9" style="1" bestFit="1" customWidth="1"/>
    <col min="20" max="24" width="12.1640625" style="1" bestFit="1" customWidth="1"/>
    <col min="25" max="25" width="10.83203125" style="1"/>
    <col min="26" max="26" width="22.33203125" customWidth="1"/>
    <col min="27" max="27" width="20" customWidth="1"/>
  </cols>
  <sheetData>
    <row r="1" spans="1:24" x14ac:dyDescent="0.2">
      <c r="A1" t="s">
        <v>0</v>
      </c>
      <c r="J1"/>
      <c r="K1"/>
      <c r="L1"/>
      <c r="M1"/>
      <c r="N1"/>
      <c r="O1"/>
      <c r="P1"/>
      <c r="Q1"/>
      <c r="R1"/>
      <c r="S1"/>
      <c r="T1"/>
      <c r="U1"/>
      <c r="V1"/>
      <c r="W1"/>
      <c r="X1"/>
    </row>
    <row r="2" spans="1:24" x14ac:dyDescent="0.2">
      <c r="A2" t="s">
        <v>1</v>
      </c>
      <c r="J2"/>
      <c r="K2"/>
      <c r="L2"/>
      <c r="M2"/>
      <c r="N2"/>
      <c r="O2"/>
      <c r="P2"/>
      <c r="Q2"/>
      <c r="R2"/>
      <c r="S2"/>
      <c r="T2"/>
      <c r="U2"/>
      <c r="V2"/>
      <c r="W2"/>
      <c r="X2"/>
    </row>
    <row r="3" spans="1:24" x14ac:dyDescent="0.2">
      <c r="A3" t="s">
        <v>2</v>
      </c>
      <c r="J3"/>
      <c r="K3"/>
      <c r="L3"/>
      <c r="M3"/>
      <c r="N3"/>
      <c r="O3"/>
      <c r="P3"/>
      <c r="Q3"/>
      <c r="R3"/>
      <c r="S3"/>
      <c r="T3"/>
      <c r="U3"/>
      <c r="V3"/>
      <c r="W3"/>
      <c r="X3"/>
    </row>
    <row r="4" spans="1:24" x14ac:dyDescent="0.2">
      <c r="A4" t="s">
        <v>3</v>
      </c>
      <c r="J4"/>
      <c r="K4"/>
      <c r="L4"/>
      <c r="M4"/>
      <c r="N4"/>
      <c r="O4"/>
      <c r="P4"/>
      <c r="Q4"/>
      <c r="R4"/>
      <c r="S4"/>
      <c r="T4"/>
      <c r="U4"/>
      <c r="V4"/>
      <c r="W4"/>
      <c r="X4"/>
    </row>
    <row r="5" spans="1:24" x14ac:dyDescent="0.2">
      <c r="A5" t="s">
        <v>4</v>
      </c>
      <c r="J5"/>
      <c r="K5"/>
      <c r="L5"/>
      <c r="M5"/>
      <c r="N5"/>
      <c r="O5"/>
      <c r="P5"/>
      <c r="Q5"/>
      <c r="R5"/>
      <c r="S5"/>
      <c r="T5"/>
      <c r="U5"/>
      <c r="V5"/>
      <c r="W5"/>
      <c r="X5"/>
    </row>
    <row r="6" spans="1:24" x14ac:dyDescent="0.2">
      <c r="A6" t="s">
        <v>5</v>
      </c>
      <c r="J6"/>
      <c r="K6"/>
      <c r="L6"/>
      <c r="M6"/>
      <c r="N6"/>
      <c r="O6"/>
      <c r="P6"/>
      <c r="Q6"/>
      <c r="R6"/>
      <c r="S6"/>
      <c r="T6"/>
      <c r="U6"/>
      <c r="V6"/>
      <c r="W6"/>
      <c r="X6"/>
    </row>
    <row r="7" spans="1:24" x14ac:dyDescent="0.2">
      <c r="A7" t="s">
        <v>6</v>
      </c>
      <c r="J7"/>
      <c r="K7"/>
      <c r="L7"/>
      <c r="M7"/>
      <c r="N7"/>
      <c r="O7"/>
      <c r="P7"/>
      <c r="Q7"/>
      <c r="R7"/>
      <c r="S7"/>
      <c r="T7"/>
      <c r="U7"/>
      <c r="V7"/>
      <c r="W7"/>
      <c r="X7"/>
    </row>
    <row r="8" spans="1:24" x14ac:dyDescent="0.2">
      <c r="A8" t="s">
        <v>7</v>
      </c>
      <c r="J8"/>
      <c r="K8"/>
      <c r="L8"/>
      <c r="M8"/>
      <c r="N8"/>
      <c r="O8"/>
      <c r="P8"/>
      <c r="Q8"/>
      <c r="R8"/>
      <c r="S8"/>
      <c r="T8"/>
      <c r="U8"/>
      <c r="V8"/>
      <c r="W8"/>
      <c r="X8"/>
    </row>
    <row r="9" spans="1:24" x14ac:dyDescent="0.2">
      <c r="A9" t="s">
        <v>8</v>
      </c>
      <c r="J9"/>
      <c r="K9"/>
      <c r="L9"/>
      <c r="M9"/>
      <c r="N9"/>
      <c r="O9"/>
      <c r="P9"/>
      <c r="Q9"/>
      <c r="R9"/>
      <c r="S9"/>
      <c r="T9"/>
      <c r="U9"/>
      <c r="V9"/>
      <c r="W9"/>
      <c r="X9"/>
    </row>
    <row r="10" spans="1:24" x14ac:dyDescent="0.2">
      <c r="A10" t="s">
        <v>9</v>
      </c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</row>
    <row r="11" spans="1:24" x14ac:dyDescent="0.2">
      <c r="A11" t="s">
        <v>52</v>
      </c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</row>
    <row r="12" spans="1:24" x14ac:dyDescent="0.2">
      <c r="A12" t="s">
        <v>10</v>
      </c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</row>
    <row r="13" spans="1:24" x14ac:dyDescent="0.2">
      <c r="A13" t="s">
        <v>11</v>
      </c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</row>
    <row r="14" spans="1:24" x14ac:dyDescent="0.2">
      <c r="A14" t="s">
        <v>12</v>
      </c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</row>
    <row r="15" spans="1:24" x14ac:dyDescent="0.2">
      <c r="A15" t="s">
        <v>13</v>
      </c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</row>
    <row r="16" spans="1:24" x14ac:dyDescent="0.2">
      <c r="A16" t="s">
        <v>51</v>
      </c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</row>
    <row r="17" spans="1:29" x14ac:dyDescent="0.2">
      <c r="A17" t="s">
        <v>14</v>
      </c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</row>
    <row r="18" spans="1:29" x14ac:dyDescent="0.2">
      <c r="A18" t="s">
        <v>15</v>
      </c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</row>
    <row r="19" spans="1:29" x14ac:dyDescent="0.2">
      <c r="A19" t="s">
        <v>16</v>
      </c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</row>
    <row r="20" spans="1:29" x14ac:dyDescent="0.2">
      <c r="A20" t="s">
        <v>17</v>
      </c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</row>
    <row r="21" spans="1:29" x14ac:dyDescent="0.2">
      <c r="A21" t="s">
        <v>18</v>
      </c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</row>
    <row r="22" spans="1:29" x14ac:dyDescent="0.2">
      <c r="A22" t="s">
        <v>19</v>
      </c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</row>
    <row r="23" spans="1:29" x14ac:dyDescent="0.2">
      <c r="A23" t="s">
        <v>20</v>
      </c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</row>
    <row r="24" spans="1:29" x14ac:dyDescent="0.2">
      <c r="A24" t="s">
        <v>21</v>
      </c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</row>
    <row r="25" spans="1:29" x14ac:dyDescent="0.2"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</row>
    <row r="26" spans="1:29" x14ac:dyDescent="0.2">
      <c r="A26" t="s">
        <v>22</v>
      </c>
      <c r="B26" t="s">
        <v>23</v>
      </c>
      <c r="C26" t="s">
        <v>24</v>
      </c>
      <c r="D26" t="s">
        <v>25</v>
      </c>
      <c r="E26" t="s">
        <v>26</v>
      </c>
      <c r="F26" t="s">
        <v>27</v>
      </c>
      <c r="G26" t="s">
        <v>28</v>
      </c>
      <c r="H26" t="s">
        <v>29</v>
      </c>
      <c r="I26" t="s">
        <v>30</v>
      </c>
      <c r="J26" t="s">
        <v>31</v>
      </c>
      <c r="K26" t="s">
        <v>32</v>
      </c>
      <c r="L26" t="s">
        <v>33</v>
      </c>
      <c r="M26" t="s">
        <v>34</v>
      </c>
      <c r="N26" t="s">
        <v>35</v>
      </c>
      <c r="O26" t="s">
        <v>36</v>
      </c>
      <c r="P26" t="s">
        <v>37</v>
      </c>
      <c r="Q26" t="s">
        <v>44</v>
      </c>
      <c r="R26" t="s">
        <v>45</v>
      </c>
      <c r="S26" t="s">
        <v>38</v>
      </c>
      <c r="T26" t="s">
        <v>46</v>
      </c>
      <c r="U26" t="s">
        <v>39</v>
      </c>
      <c r="V26" t="s">
        <v>47</v>
      </c>
      <c r="W26" t="s">
        <v>40</v>
      </c>
      <c r="X26" t="s">
        <v>48</v>
      </c>
      <c r="Y26" s="1" t="s">
        <v>79</v>
      </c>
      <c r="Z26" s="1" t="s">
        <v>49</v>
      </c>
      <c r="AA26" t="s">
        <v>50</v>
      </c>
      <c r="AC26" t="s">
        <v>80</v>
      </c>
    </row>
    <row r="27" spans="1:29" x14ac:dyDescent="0.2">
      <c r="A27" t="b">
        <v>0</v>
      </c>
      <c r="B27">
        <v>1000</v>
      </c>
      <c r="C27" t="s">
        <v>41</v>
      </c>
      <c r="D27" t="b">
        <v>1</v>
      </c>
      <c r="E27" t="s">
        <v>42</v>
      </c>
      <c r="F27">
        <v>7.4999999999999997E-2</v>
      </c>
      <c r="G27">
        <v>0.5</v>
      </c>
      <c r="H27">
        <v>1E-4</v>
      </c>
      <c r="I27" t="b">
        <v>1</v>
      </c>
      <c r="J27">
        <v>2</v>
      </c>
      <c r="K27">
        <v>1500</v>
      </c>
      <c r="L27">
        <v>1</v>
      </c>
      <c r="M27">
        <v>0.154</v>
      </c>
      <c r="N27" t="s">
        <v>76</v>
      </c>
      <c r="O27" t="s">
        <v>77</v>
      </c>
      <c r="P27" s="2">
        <v>-2.1277245208054E-6</v>
      </c>
      <c r="Q27" s="2">
        <v>5.5069506808139502E-6</v>
      </c>
      <c r="R27">
        <v>2.2289564131861899</v>
      </c>
      <c r="S27">
        <v>0</v>
      </c>
      <c r="T27">
        <v>0.101923316736064</v>
      </c>
      <c r="U27">
        <v>2.2289564131861899</v>
      </c>
      <c r="V27">
        <v>3.3061472423411802</v>
      </c>
      <c r="W27">
        <v>2.5000000000000001E-4</v>
      </c>
      <c r="X27">
        <v>2.8497596889439301</v>
      </c>
      <c r="Y27" s="1">
        <f>+L27</f>
        <v>1</v>
      </c>
      <c r="Z27" s="1">
        <f>+(U27-J27)/J27</f>
        <v>0.11447820659309493</v>
      </c>
      <c r="AA27">
        <f>+(R27-J27)/J27</f>
        <v>0.11447820659309493</v>
      </c>
      <c r="AC27">
        <f>+(W27-L27)/L27</f>
        <v>-0.99975000000000003</v>
      </c>
    </row>
    <row r="28" spans="1:29" x14ac:dyDescent="0.2">
      <c r="A28" t="b">
        <v>0</v>
      </c>
      <c r="B28">
        <v>1000</v>
      </c>
      <c r="C28" t="s">
        <v>41</v>
      </c>
      <c r="D28" t="b">
        <v>1</v>
      </c>
      <c r="E28" t="s">
        <v>42</v>
      </c>
      <c r="F28">
        <v>7.4999999999999997E-2</v>
      </c>
      <c r="G28">
        <v>0.5</v>
      </c>
      <c r="H28">
        <v>1E-4</v>
      </c>
      <c r="I28" t="b">
        <v>1</v>
      </c>
      <c r="J28">
        <v>2</v>
      </c>
      <c r="K28">
        <v>1500</v>
      </c>
      <c r="L28">
        <v>0.8</v>
      </c>
      <c r="M28">
        <v>0.154</v>
      </c>
      <c r="N28" t="s">
        <v>73</v>
      </c>
      <c r="O28" t="s">
        <v>74</v>
      </c>
      <c r="P28" s="2">
        <v>-2.11968627812455E-6</v>
      </c>
      <c r="Q28" s="2">
        <v>5.0163580108466898E-6</v>
      </c>
      <c r="R28">
        <v>2.1784367487802299</v>
      </c>
      <c r="S28">
        <v>0</v>
      </c>
      <c r="T28">
        <v>8.2705432282461203E-2</v>
      </c>
      <c r="U28">
        <v>2.1784367487802299</v>
      </c>
      <c r="V28">
        <v>2.9453268511718398</v>
      </c>
      <c r="W28">
        <v>2.5000000000000001E-4</v>
      </c>
      <c r="X28">
        <v>2.3090212136962101</v>
      </c>
      <c r="Y28" s="1">
        <f>+L28</f>
        <v>0.8</v>
      </c>
      <c r="Z28" s="1">
        <f>+(U28-J28)/J28</f>
        <v>8.921837439011493E-2</v>
      </c>
      <c r="AA28">
        <f>+(R28-J28)/J28</f>
        <v>8.921837439011493E-2</v>
      </c>
      <c r="AC28">
        <f>+(W28-L28)/L28</f>
        <v>-0.99968750000000006</v>
      </c>
    </row>
    <row r="29" spans="1:29" x14ac:dyDescent="0.2">
      <c r="A29" t="b">
        <v>0</v>
      </c>
      <c r="B29">
        <v>1000</v>
      </c>
      <c r="C29" t="s">
        <v>41</v>
      </c>
      <c r="D29" t="b">
        <v>1</v>
      </c>
      <c r="E29" t="s">
        <v>42</v>
      </c>
      <c r="F29">
        <v>7.4999999999999997E-2</v>
      </c>
      <c r="G29">
        <v>0.5</v>
      </c>
      <c r="H29">
        <v>1E-4</v>
      </c>
      <c r="I29" t="b">
        <v>1</v>
      </c>
      <c r="J29">
        <v>2</v>
      </c>
      <c r="K29">
        <v>1500</v>
      </c>
      <c r="L29">
        <v>0.7</v>
      </c>
      <c r="M29">
        <v>0.154</v>
      </c>
      <c r="N29" t="s">
        <v>70</v>
      </c>
      <c r="O29" t="s">
        <v>71</v>
      </c>
      <c r="P29" s="2">
        <v>-2.11549306016997E-6</v>
      </c>
      <c r="Q29" s="2">
        <v>4.6866143344313903E-6</v>
      </c>
      <c r="R29">
        <v>2.1538015365340999</v>
      </c>
      <c r="S29">
        <v>0</v>
      </c>
      <c r="T29">
        <v>6.9990618037418906E-2</v>
      </c>
      <c r="U29">
        <v>2.1538015365340999</v>
      </c>
      <c r="V29">
        <v>2.73008694954944</v>
      </c>
      <c r="W29">
        <v>2.5000000000000001E-4</v>
      </c>
      <c r="X29">
        <v>2.0222096037316399</v>
      </c>
      <c r="Y29" s="1">
        <f>+L29</f>
        <v>0.7</v>
      </c>
      <c r="Z29" s="1">
        <f>+(U29-J29)/J29</f>
        <v>7.6900768267049946E-2</v>
      </c>
      <c r="AA29">
        <f>+(R29-J29)/J29</f>
        <v>7.6900768267049946E-2</v>
      </c>
      <c r="AC29">
        <f>+(W29-L29)/L29</f>
        <v>-0.99964285714285717</v>
      </c>
    </row>
    <row r="30" spans="1:29" x14ac:dyDescent="0.2">
      <c r="A30" t="b">
        <v>0</v>
      </c>
      <c r="B30">
        <v>1000</v>
      </c>
      <c r="C30" t="s">
        <v>41</v>
      </c>
      <c r="D30" t="b">
        <v>1</v>
      </c>
      <c r="E30" t="s">
        <v>42</v>
      </c>
      <c r="F30">
        <v>7.4999999999999997E-2</v>
      </c>
      <c r="G30">
        <v>0.5</v>
      </c>
      <c r="H30">
        <v>1E-4</v>
      </c>
      <c r="I30" t="b">
        <v>1</v>
      </c>
      <c r="J30">
        <v>2</v>
      </c>
      <c r="K30">
        <v>1500</v>
      </c>
      <c r="L30">
        <v>0.5</v>
      </c>
      <c r="M30">
        <v>0.154</v>
      </c>
      <c r="N30" t="s">
        <v>67</v>
      </c>
      <c r="O30" t="s">
        <v>68</v>
      </c>
      <c r="P30" s="2">
        <v>-2.1066768751204601E-6</v>
      </c>
      <c r="Q30" s="2">
        <v>3.8053229834140901E-6</v>
      </c>
      <c r="R30">
        <v>2.1066566666075999</v>
      </c>
      <c r="S30">
        <v>0</v>
      </c>
      <c r="T30">
        <v>5.0417935274021698E-2</v>
      </c>
      <c r="U30">
        <v>2.1066566666075999</v>
      </c>
      <c r="V30">
        <v>2.1674649178361598</v>
      </c>
      <c r="W30">
        <v>2.5000000000000001E-4</v>
      </c>
      <c r="X30">
        <v>1.4660064297295801</v>
      </c>
      <c r="Y30" s="1">
        <f>+L30</f>
        <v>0.5</v>
      </c>
      <c r="Z30" s="1">
        <f>+(U30-J30)/J30</f>
        <v>5.3328333303799935E-2</v>
      </c>
      <c r="AA30">
        <f>+(R30-J30)/J30</f>
        <v>5.3328333303799935E-2</v>
      </c>
      <c r="AC30">
        <f>+(W30-L30)/L30</f>
        <v>-0.99950000000000006</v>
      </c>
    </row>
    <row r="31" spans="1:29" x14ac:dyDescent="0.2">
      <c r="A31" t="b">
        <v>0</v>
      </c>
      <c r="B31">
        <v>1000</v>
      </c>
      <c r="C31" t="s">
        <v>41</v>
      </c>
      <c r="D31" t="b">
        <v>1</v>
      </c>
      <c r="E31" t="s">
        <v>42</v>
      </c>
      <c r="F31">
        <v>7.4999999999999997E-2</v>
      </c>
      <c r="G31">
        <v>0.5</v>
      </c>
      <c r="H31">
        <v>1E-4</v>
      </c>
      <c r="I31" t="b">
        <v>1</v>
      </c>
      <c r="J31">
        <v>2</v>
      </c>
      <c r="K31">
        <v>1500</v>
      </c>
      <c r="L31">
        <v>0.4</v>
      </c>
      <c r="M31">
        <v>0.154</v>
      </c>
      <c r="N31" t="s">
        <v>64</v>
      </c>
      <c r="O31" t="s">
        <v>65</v>
      </c>
      <c r="P31" s="2">
        <v>-2.10199191278828E-6</v>
      </c>
      <c r="Q31" s="2">
        <v>3.2290931390477599E-6</v>
      </c>
      <c r="R31">
        <v>2.0849880789381601</v>
      </c>
      <c r="S31">
        <v>0</v>
      </c>
      <c r="T31">
        <v>4.0147152227756701E-2</v>
      </c>
      <c r="U31">
        <v>2.0849880789381601</v>
      </c>
      <c r="V31">
        <v>1.82481790777305</v>
      </c>
      <c r="W31">
        <v>2.5000000000000001E-4</v>
      </c>
      <c r="X31">
        <v>1.1901066680591099</v>
      </c>
      <c r="Y31" s="1">
        <f>+L31</f>
        <v>0.4</v>
      </c>
      <c r="Z31" s="1">
        <f>+(U31-J31)/J31</f>
        <v>4.2494039469080036E-2</v>
      </c>
      <c r="AA31">
        <f>+(R31-J31)/J31</f>
        <v>4.2494039469080036E-2</v>
      </c>
      <c r="AC31">
        <f>+(W31-L31)/L31</f>
        <v>-0.99937500000000012</v>
      </c>
    </row>
    <row r="32" spans="1:29" x14ac:dyDescent="0.2">
      <c r="A32" t="b">
        <v>0</v>
      </c>
      <c r="B32">
        <v>1000</v>
      </c>
      <c r="C32" t="s">
        <v>41</v>
      </c>
      <c r="D32" t="b">
        <v>1</v>
      </c>
      <c r="E32" t="s">
        <v>42</v>
      </c>
      <c r="F32">
        <v>7.4999999999999997E-2</v>
      </c>
      <c r="G32">
        <v>0.5</v>
      </c>
      <c r="H32">
        <v>1E-4</v>
      </c>
      <c r="I32" t="b">
        <v>1</v>
      </c>
      <c r="J32">
        <v>2</v>
      </c>
      <c r="K32">
        <v>1500</v>
      </c>
      <c r="L32">
        <v>0.3</v>
      </c>
      <c r="M32">
        <v>0.154</v>
      </c>
      <c r="N32" t="s">
        <v>61</v>
      </c>
      <c r="O32" t="s">
        <v>62</v>
      </c>
      <c r="P32" s="2">
        <v>-2.0971412473971301E-6</v>
      </c>
      <c r="Q32" s="2">
        <v>2.56087453364559E-6</v>
      </c>
      <c r="R32">
        <v>2.0641347334186002</v>
      </c>
      <c r="S32">
        <v>0</v>
      </c>
      <c r="T32">
        <v>2.9600021550652399E-2</v>
      </c>
      <c r="U32">
        <v>2.0641347334186002</v>
      </c>
      <c r="V32">
        <v>1.43535589463142</v>
      </c>
      <c r="W32">
        <v>2.5000000000000001E-4</v>
      </c>
      <c r="X32">
        <v>0.89983294576492701</v>
      </c>
      <c r="Y32" s="1">
        <f>+L32</f>
        <v>0.3</v>
      </c>
      <c r="Z32" s="1">
        <f>+(U32-J32)/J32</f>
        <v>3.2067366709300105E-2</v>
      </c>
      <c r="AA32">
        <f>+(R32-J32)/J32</f>
        <v>3.2067366709300105E-2</v>
      </c>
      <c r="AC32">
        <f>+(W32-L32)/L32</f>
        <v>-0.99916666666666676</v>
      </c>
    </row>
    <row r="33" spans="1:29" x14ac:dyDescent="0.2">
      <c r="A33" t="b">
        <v>0</v>
      </c>
      <c r="B33">
        <v>1000</v>
      </c>
      <c r="C33" t="s">
        <v>41</v>
      </c>
      <c r="D33" t="b">
        <v>1</v>
      </c>
      <c r="E33" t="s">
        <v>42</v>
      </c>
      <c r="F33">
        <v>7.4999999999999997E-2</v>
      </c>
      <c r="G33">
        <v>0.5</v>
      </c>
      <c r="H33">
        <v>1E-4</v>
      </c>
      <c r="I33" t="b">
        <v>1</v>
      </c>
      <c r="J33">
        <v>2</v>
      </c>
      <c r="K33">
        <v>1500</v>
      </c>
      <c r="L33">
        <v>0.2</v>
      </c>
      <c r="M33">
        <v>0.154</v>
      </c>
      <c r="N33" t="s">
        <v>58</v>
      </c>
      <c r="O33" t="s">
        <v>59</v>
      </c>
      <c r="P33" s="2">
        <v>-2.09218058512542E-6</v>
      </c>
      <c r="Q33" s="2">
        <v>1.80862467756357E-6</v>
      </c>
      <c r="R33">
        <v>2.0430240214786002</v>
      </c>
      <c r="S33">
        <v>0</v>
      </c>
      <c r="T33">
        <v>2.0219358176364301E-2</v>
      </c>
      <c r="U33">
        <v>2.0430240214786002</v>
      </c>
      <c r="V33">
        <v>1.0055484412221001</v>
      </c>
      <c r="W33">
        <v>2.5000000000000001E-4</v>
      </c>
      <c r="X33">
        <v>0.61560356560412899</v>
      </c>
      <c r="Y33" s="1">
        <f>+L33</f>
        <v>0.2</v>
      </c>
      <c r="Z33" s="1">
        <f>+(U33-J33)/J33</f>
        <v>2.1512010739300091E-2</v>
      </c>
      <c r="AA33">
        <f>+(R33-J33)/J33</f>
        <v>2.1512010739300091E-2</v>
      </c>
      <c r="AC33">
        <f>+(W33-L33)/L33</f>
        <v>-0.99875000000000003</v>
      </c>
    </row>
    <row r="34" spans="1:29" x14ac:dyDescent="0.2">
      <c r="A34" t="b">
        <v>0</v>
      </c>
      <c r="B34">
        <v>1000</v>
      </c>
      <c r="C34" t="s">
        <v>41</v>
      </c>
      <c r="D34" t="b">
        <v>1</v>
      </c>
      <c r="E34" t="s">
        <v>42</v>
      </c>
      <c r="F34">
        <v>7.4999999999999997E-2</v>
      </c>
      <c r="G34">
        <v>0.5</v>
      </c>
      <c r="H34">
        <v>1E-4</v>
      </c>
      <c r="I34" t="b">
        <v>1</v>
      </c>
      <c r="J34">
        <v>2</v>
      </c>
      <c r="K34">
        <v>1500</v>
      </c>
      <c r="L34">
        <v>0.1</v>
      </c>
      <c r="M34">
        <v>0.154</v>
      </c>
      <c r="N34" t="s">
        <v>55</v>
      </c>
      <c r="O34" t="s">
        <v>56</v>
      </c>
      <c r="P34" s="2">
        <v>-2.08710255996657E-6</v>
      </c>
      <c r="Q34" s="2">
        <v>9.6122080638248798E-7</v>
      </c>
      <c r="R34">
        <v>2.0216477368943702</v>
      </c>
      <c r="S34">
        <v>0</v>
      </c>
      <c r="T34">
        <v>9.8602096222213508E-3</v>
      </c>
      <c r="U34">
        <v>2.0216477368943702</v>
      </c>
      <c r="V34">
        <v>0.52891864949641099</v>
      </c>
      <c r="W34">
        <v>2.5000000000000001E-4</v>
      </c>
      <c r="X34">
        <v>0.308371163156133</v>
      </c>
      <c r="Y34" s="1">
        <f>+L34</f>
        <v>0.1</v>
      </c>
      <c r="Z34" s="1">
        <f>+(U34-J34)/J34</f>
        <v>1.0823868447185081E-2</v>
      </c>
      <c r="AA34">
        <f>+(R34-J34)/J34</f>
        <v>1.0823868447185081E-2</v>
      </c>
      <c r="AC34">
        <f>+(W34-L34)/L34</f>
        <v>-0.99750000000000005</v>
      </c>
    </row>
    <row r="35" spans="1:29" x14ac:dyDescent="0.2">
      <c r="A35" t="b">
        <v>0</v>
      </c>
      <c r="B35">
        <v>1000</v>
      </c>
      <c r="C35" t="s">
        <v>41</v>
      </c>
      <c r="D35" t="b">
        <v>1</v>
      </c>
      <c r="E35" t="s">
        <v>42</v>
      </c>
      <c r="F35">
        <v>7.4999999999999997E-2</v>
      </c>
      <c r="G35">
        <v>0.5</v>
      </c>
      <c r="H35">
        <v>1E-4</v>
      </c>
      <c r="I35" t="b">
        <v>1</v>
      </c>
      <c r="J35">
        <v>2</v>
      </c>
      <c r="K35">
        <v>1500</v>
      </c>
      <c r="L35">
        <v>0.1</v>
      </c>
      <c r="M35">
        <v>0.154</v>
      </c>
      <c r="N35" t="s">
        <v>56</v>
      </c>
      <c r="O35" t="s">
        <v>57</v>
      </c>
      <c r="P35" s="2">
        <v>-4.9899439664370501E-5</v>
      </c>
      <c r="Q35" s="2">
        <v>1.23425511466627E-5</v>
      </c>
      <c r="R35">
        <v>2.0215629228565901</v>
      </c>
      <c r="S35" s="2">
        <v>-2.91318471361552E-15</v>
      </c>
      <c r="T35">
        <v>6.2387981973408401E-3</v>
      </c>
      <c r="U35">
        <v>2.0197188124658201</v>
      </c>
      <c r="V35">
        <v>0.28272049700093999</v>
      </c>
      <c r="W35">
        <v>2.78414205210431E-4</v>
      </c>
      <c r="X35">
        <v>0.17151026573268499</v>
      </c>
      <c r="Y35" s="1">
        <f>+L35</f>
        <v>0.1</v>
      </c>
      <c r="Z35" s="1">
        <f>+(U35-J35)/J35</f>
        <v>9.8594062329100396E-3</v>
      </c>
      <c r="AA35">
        <f>+(R35-J35)/J35</f>
        <v>1.0781461428295058E-2</v>
      </c>
      <c r="AC35">
        <f>+(W35-L35)/L35</f>
        <v>-0.99721585794789569</v>
      </c>
    </row>
    <row r="36" spans="1:29" x14ac:dyDescent="0.2">
      <c r="A36" t="b">
        <v>0</v>
      </c>
      <c r="B36">
        <v>1000</v>
      </c>
      <c r="C36" t="s">
        <v>41</v>
      </c>
      <c r="D36" t="b">
        <v>1</v>
      </c>
      <c r="E36" t="s">
        <v>42</v>
      </c>
      <c r="F36">
        <v>7.4999999999999997E-2</v>
      </c>
      <c r="G36">
        <v>0.5</v>
      </c>
      <c r="H36">
        <v>1E-4</v>
      </c>
      <c r="I36" t="b">
        <v>1</v>
      </c>
      <c r="J36">
        <v>2</v>
      </c>
      <c r="K36">
        <v>1500</v>
      </c>
      <c r="L36">
        <v>0.1</v>
      </c>
      <c r="M36">
        <v>0.154</v>
      </c>
      <c r="N36" t="s">
        <v>55</v>
      </c>
      <c r="O36" t="s">
        <v>57</v>
      </c>
      <c r="P36" s="2">
        <v>-5.1980135499485899E-5</v>
      </c>
      <c r="Q36" s="2">
        <v>1.28442108919504E-5</v>
      </c>
      <c r="R36">
        <v>2.0215663186033401</v>
      </c>
      <c r="S36" s="2">
        <v>-2.9143569681925398E-15</v>
      </c>
      <c r="T36">
        <v>6.2599139894652499E-3</v>
      </c>
      <c r="U36">
        <v>2.01972210800561</v>
      </c>
      <c r="V36">
        <v>0.28414532800604297</v>
      </c>
      <c r="W36">
        <v>2.7841430095262501E-4</v>
      </c>
      <c r="X36">
        <v>0.17696755472360201</v>
      </c>
      <c r="Y36" s="1">
        <f>+L36</f>
        <v>0.1</v>
      </c>
      <c r="Z36" s="1">
        <f>+(U36-J36)/J36</f>
        <v>9.8610540028050142E-3</v>
      </c>
      <c r="AA36">
        <f>+(R36-J36)/J36</f>
        <v>1.0783159301670064E-2</v>
      </c>
      <c r="AC36">
        <f>+(W36-L36)/L36</f>
        <v>-0.99721585699047377</v>
      </c>
    </row>
    <row r="37" spans="1:29" x14ac:dyDescent="0.2">
      <c r="A37" t="b">
        <v>0</v>
      </c>
      <c r="B37">
        <v>1000</v>
      </c>
      <c r="C37" t="s">
        <v>41</v>
      </c>
      <c r="D37" t="b">
        <v>1</v>
      </c>
      <c r="E37" t="s">
        <v>42</v>
      </c>
      <c r="F37">
        <v>7.4999999999999997E-2</v>
      </c>
      <c r="G37">
        <v>0.5</v>
      </c>
      <c r="H37">
        <v>1E-4</v>
      </c>
      <c r="I37" t="b">
        <v>1</v>
      </c>
      <c r="J37">
        <v>2</v>
      </c>
      <c r="K37">
        <v>1500</v>
      </c>
      <c r="L37">
        <v>0.01</v>
      </c>
      <c r="M37">
        <v>0.154</v>
      </c>
      <c r="N37" t="s">
        <v>53</v>
      </c>
      <c r="O37" t="s">
        <v>54</v>
      </c>
      <c r="P37" s="2">
        <v>-4.9941242440936598E-5</v>
      </c>
      <c r="Q37" s="2">
        <v>2.57001250250964E-6</v>
      </c>
      <c r="R37">
        <v>2.0021038511910199</v>
      </c>
      <c r="S37">
        <v>0</v>
      </c>
      <c r="T37">
        <v>9.5282670800211195E-4</v>
      </c>
      <c r="U37">
        <v>2.0021038511910199</v>
      </c>
      <c r="V37">
        <v>5.8426408504184901E-2</v>
      </c>
      <c r="W37">
        <v>2.5000000000000001E-4</v>
      </c>
      <c r="X37">
        <v>3.2116076664140299E-2</v>
      </c>
      <c r="Y37" s="1">
        <f>+L37</f>
        <v>0.01</v>
      </c>
      <c r="Z37" s="1">
        <f>+(U37-J37)/J37</f>
        <v>1.0519255955099283E-3</v>
      </c>
      <c r="AA37">
        <f>+(R37-J37)/J37</f>
        <v>1.0519255955099283E-3</v>
      </c>
      <c r="AC37">
        <f>+(W37-L37)/L37</f>
        <v>-0.97499999999999998</v>
      </c>
    </row>
    <row r="38" spans="1:29" x14ac:dyDescent="0.2">
      <c r="A38" t="b">
        <v>0</v>
      </c>
      <c r="B38">
        <v>1000</v>
      </c>
      <c r="C38" t="s">
        <v>41</v>
      </c>
      <c r="D38" t="b">
        <v>1</v>
      </c>
      <c r="E38" t="s">
        <v>42</v>
      </c>
      <c r="F38">
        <v>7.4999999999999997E-2</v>
      </c>
      <c r="G38">
        <v>0.5</v>
      </c>
      <c r="H38">
        <v>1E-4</v>
      </c>
      <c r="I38" t="b">
        <v>1</v>
      </c>
      <c r="J38">
        <v>2</v>
      </c>
      <c r="K38">
        <v>1500</v>
      </c>
      <c r="L38">
        <v>0.01</v>
      </c>
      <c r="M38">
        <v>0.154</v>
      </c>
      <c r="N38" t="s">
        <v>43</v>
      </c>
      <c r="O38" t="s">
        <v>54</v>
      </c>
      <c r="P38" s="2">
        <v>-5.20236677810422E-5</v>
      </c>
      <c r="Q38" s="2">
        <v>2.67968670654071E-6</v>
      </c>
      <c r="R38">
        <v>2.0021066943549202</v>
      </c>
      <c r="S38">
        <v>0</v>
      </c>
      <c r="T38">
        <v>9.3327647962128401E-4</v>
      </c>
      <c r="U38">
        <v>2.0021066943549202</v>
      </c>
      <c r="V38">
        <v>5.8321905368643803E-2</v>
      </c>
      <c r="W38">
        <v>2.5000000000000001E-4</v>
      </c>
      <c r="X38">
        <v>3.1432128031316599E-2</v>
      </c>
      <c r="Y38" s="1">
        <f>+L38</f>
        <v>0.01</v>
      </c>
      <c r="Z38" s="1">
        <f>+(U38-J38)/J38</f>
        <v>1.0533471774600844E-3</v>
      </c>
      <c r="AA38">
        <f>+(R38-J38)/J38</f>
        <v>1.0533471774600844E-3</v>
      </c>
      <c r="AC38">
        <f>+(W38-L38)/L38</f>
        <v>-0.97499999999999998</v>
      </c>
    </row>
    <row r="39" spans="1:29" x14ac:dyDescent="0.2">
      <c r="A39" t="b">
        <v>0</v>
      </c>
      <c r="B39">
        <v>1000</v>
      </c>
      <c r="C39" t="s">
        <v>41</v>
      </c>
      <c r="D39" t="b">
        <v>1</v>
      </c>
      <c r="E39" t="s">
        <v>42</v>
      </c>
      <c r="F39">
        <v>7.4999999999999997E-2</v>
      </c>
      <c r="G39">
        <v>0.5</v>
      </c>
      <c r="H39">
        <v>1E-4</v>
      </c>
      <c r="I39" t="b">
        <v>1</v>
      </c>
      <c r="J39">
        <v>2</v>
      </c>
      <c r="K39">
        <v>1500</v>
      </c>
      <c r="L39">
        <v>0.01</v>
      </c>
      <c r="M39">
        <v>0.154</v>
      </c>
      <c r="N39" t="s">
        <v>43</v>
      </c>
      <c r="O39" t="s">
        <v>53</v>
      </c>
      <c r="P39" s="2">
        <v>-2.0824253628202498E-6</v>
      </c>
      <c r="Q39" s="2">
        <v>1.07548141236354E-7</v>
      </c>
      <c r="R39">
        <v>2.0021748676770299</v>
      </c>
      <c r="S39">
        <v>0</v>
      </c>
      <c r="T39">
        <v>1.0560862778636201E-3</v>
      </c>
      <c r="U39">
        <v>2.0021748676770299</v>
      </c>
      <c r="V39">
        <v>5.8671984292037099E-2</v>
      </c>
      <c r="W39">
        <v>2.5000000000000001E-4</v>
      </c>
      <c r="X39">
        <v>3.3235093370894198E-2</v>
      </c>
      <c r="Y39" s="1">
        <f>+L39</f>
        <v>0.01</v>
      </c>
      <c r="Z39" s="1">
        <f>+(U39-J39)/J39</f>
        <v>1.0874338385149507E-3</v>
      </c>
      <c r="AA39">
        <f>+(R39-J39)/J39</f>
        <v>1.0874338385149507E-3</v>
      </c>
      <c r="AC39">
        <f>+(W39-L39)/L39</f>
        <v>-0.97499999999999998</v>
      </c>
    </row>
    <row r="40" spans="1:29" x14ac:dyDescent="0.2">
      <c r="A40" t="b">
        <v>0</v>
      </c>
      <c r="B40">
        <v>1000</v>
      </c>
      <c r="C40" t="s">
        <v>41</v>
      </c>
      <c r="D40" t="b">
        <v>1</v>
      </c>
      <c r="E40" t="s">
        <v>42</v>
      </c>
      <c r="F40">
        <v>7.4999999999999997E-2</v>
      </c>
      <c r="G40">
        <v>0.5</v>
      </c>
      <c r="H40">
        <v>1E-4</v>
      </c>
      <c r="I40" t="b">
        <v>1</v>
      </c>
      <c r="J40">
        <v>2</v>
      </c>
      <c r="K40">
        <v>1500</v>
      </c>
      <c r="L40">
        <v>0.4</v>
      </c>
      <c r="M40">
        <v>0.154</v>
      </c>
      <c r="N40" t="s">
        <v>65</v>
      </c>
      <c r="O40" t="s">
        <v>66</v>
      </c>
      <c r="P40" s="2">
        <v>-4.9020471626838801E-5</v>
      </c>
      <c r="Q40" s="2">
        <v>1.5332927766585801E-5</v>
      </c>
      <c r="R40">
        <v>2.0848579484688301</v>
      </c>
      <c r="S40" s="2">
        <v>-4.0136487002515199E-15</v>
      </c>
      <c r="T40">
        <v>4.9198636747218904E-3</v>
      </c>
      <c r="U40">
        <v>2.0364657536932498</v>
      </c>
      <c r="V40">
        <v>0.39717321006276002</v>
      </c>
      <c r="W40">
        <v>0.30928510011504301</v>
      </c>
      <c r="X40">
        <v>0.26082268561095301</v>
      </c>
      <c r="Y40" s="1">
        <f>+L40</f>
        <v>0.4</v>
      </c>
      <c r="Z40" s="1">
        <f>+(U40-J40)/J40</f>
        <v>1.823287684662489E-2</v>
      </c>
      <c r="AA40">
        <f>+(R40-J40)/J40</f>
        <v>4.2428974234415051E-2</v>
      </c>
      <c r="AC40">
        <f>+(W40-L40)/L40</f>
        <v>-0.22678724971239253</v>
      </c>
    </row>
    <row r="41" spans="1:29" x14ac:dyDescent="0.2">
      <c r="A41" t="b">
        <v>0</v>
      </c>
      <c r="B41">
        <v>1000</v>
      </c>
      <c r="C41" t="s">
        <v>41</v>
      </c>
      <c r="D41" t="b">
        <v>1</v>
      </c>
      <c r="E41" t="s">
        <v>42</v>
      </c>
      <c r="F41">
        <v>7.4999999999999997E-2</v>
      </c>
      <c r="G41">
        <v>0.5</v>
      </c>
      <c r="H41">
        <v>1E-4</v>
      </c>
      <c r="I41" t="b">
        <v>1</v>
      </c>
      <c r="J41">
        <v>2</v>
      </c>
      <c r="K41">
        <v>1500</v>
      </c>
      <c r="L41">
        <v>0.4</v>
      </c>
      <c r="M41">
        <v>0.154</v>
      </c>
      <c r="N41" t="s">
        <v>64</v>
      </c>
      <c r="O41" t="s">
        <v>66</v>
      </c>
      <c r="P41" s="2">
        <v>-5.1064549094229799E-5</v>
      </c>
      <c r="Q41" s="2">
        <v>1.5974730389528701E-5</v>
      </c>
      <c r="R41">
        <v>2.08486315939337</v>
      </c>
      <c r="S41" s="2">
        <v>-4.0123386997527097E-15</v>
      </c>
      <c r="T41">
        <v>5.0421594159810604E-3</v>
      </c>
      <c r="U41">
        <v>2.03646995644166</v>
      </c>
      <c r="V41">
        <v>0.39616585717715602</v>
      </c>
      <c r="W41">
        <v>0.30929172781625103</v>
      </c>
      <c r="X41">
        <v>0.25895185198498</v>
      </c>
      <c r="Y41" s="1">
        <f>+L41</f>
        <v>0.4</v>
      </c>
      <c r="Z41" s="1">
        <f>+(U41-J41)/J41</f>
        <v>1.8234978220829978E-2</v>
      </c>
      <c r="AA41">
        <f>+(R41-J41)/J41</f>
        <v>4.2431579696684985E-2</v>
      </c>
      <c r="AC41">
        <f>+(W41-L41)/L41</f>
        <v>-0.22677068045937249</v>
      </c>
    </row>
    <row r="42" spans="1:29" x14ac:dyDescent="0.2">
      <c r="A42" t="b">
        <v>0</v>
      </c>
      <c r="B42">
        <v>1000</v>
      </c>
      <c r="C42" t="s">
        <v>41</v>
      </c>
      <c r="D42" t="b">
        <v>1</v>
      </c>
      <c r="E42" t="s">
        <v>42</v>
      </c>
      <c r="F42">
        <v>7.4999999999999997E-2</v>
      </c>
      <c r="G42">
        <v>0.5</v>
      </c>
      <c r="H42">
        <v>1E-4</v>
      </c>
      <c r="I42" t="b">
        <v>1</v>
      </c>
      <c r="J42">
        <v>2</v>
      </c>
      <c r="K42">
        <v>1500</v>
      </c>
      <c r="L42">
        <v>0.3</v>
      </c>
      <c r="M42">
        <v>0.154</v>
      </c>
      <c r="N42" t="s">
        <v>62</v>
      </c>
      <c r="O42" t="s">
        <v>63</v>
      </c>
      <c r="P42" s="2">
        <v>-4.9163060614502197E-5</v>
      </c>
      <c r="Q42" s="2">
        <v>8.1914911002139806E-6</v>
      </c>
      <c r="R42">
        <v>2.06401959987658</v>
      </c>
      <c r="S42" s="2">
        <v>-3.7897637748253E-15</v>
      </c>
      <c r="T42">
        <v>2.97515670532305E-3</v>
      </c>
      <c r="U42">
        <v>2.02686845098297</v>
      </c>
      <c r="V42">
        <v>0.20589181000932999</v>
      </c>
      <c r="W42">
        <v>0.24189650101554699</v>
      </c>
      <c r="X42">
        <v>0.13249477066610399</v>
      </c>
      <c r="Y42" s="1">
        <f>+L42</f>
        <v>0.3</v>
      </c>
      <c r="Z42" s="1">
        <f>+(U42-J42)/J42</f>
        <v>1.3434225491484986E-2</v>
      </c>
      <c r="AA42">
        <f>+(R42-J42)/J42</f>
        <v>3.2009799938290007E-2</v>
      </c>
      <c r="AC42">
        <f>+(W42-L42)/L42</f>
        <v>-0.19367832994817666</v>
      </c>
    </row>
    <row r="43" spans="1:29" x14ac:dyDescent="0.2">
      <c r="A43" t="b">
        <v>0</v>
      </c>
      <c r="B43">
        <v>1000</v>
      </c>
      <c r="C43" t="s">
        <v>41</v>
      </c>
      <c r="D43" t="b">
        <v>1</v>
      </c>
      <c r="E43" t="s">
        <v>42</v>
      </c>
      <c r="F43">
        <v>7.4999999999999997E-2</v>
      </c>
      <c r="G43">
        <v>0.5</v>
      </c>
      <c r="H43">
        <v>1E-4</v>
      </c>
      <c r="I43" t="b">
        <v>1</v>
      </c>
      <c r="J43">
        <v>2</v>
      </c>
      <c r="K43">
        <v>1500</v>
      </c>
      <c r="L43">
        <v>0.3</v>
      </c>
      <c r="M43">
        <v>0.154</v>
      </c>
      <c r="N43" t="s">
        <v>61</v>
      </c>
      <c r="O43" t="s">
        <v>63</v>
      </c>
      <c r="P43" s="2">
        <v>-5.1213070100638699E-5</v>
      </c>
      <c r="Q43" s="2">
        <v>8.5319375333371904E-6</v>
      </c>
      <c r="R43">
        <v>2.0640242100647601</v>
      </c>
      <c r="S43" s="2">
        <v>-3.7897907565507201E-15</v>
      </c>
      <c r="T43">
        <v>2.9918115556452698E-3</v>
      </c>
      <c r="U43">
        <v>2.02687225898493</v>
      </c>
      <c r="V43">
        <v>0.206130921004199</v>
      </c>
      <c r="W43">
        <v>0.24190180480336801</v>
      </c>
      <c r="X43">
        <v>0.133604875299246</v>
      </c>
      <c r="Y43" s="1">
        <f>+L43</f>
        <v>0.3</v>
      </c>
      <c r="Z43" s="1">
        <f>+(U43-J43)/J43</f>
        <v>1.3436129492464977E-2</v>
      </c>
      <c r="AA43">
        <f>+(R43-J43)/J43</f>
        <v>3.2012105032380056E-2</v>
      </c>
      <c r="AC43">
        <f>+(W43-L43)/L43</f>
        <v>-0.19366065065543994</v>
      </c>
    </row>
    <row r="44" spans="1:29" x14ac:dyDescent="0.2">
      <c r="A44" t="b">
        <v>0</v>
      </c>
      <c r="B44">
        <v>1000</v>
      </c>
      <c r="C44" t="s">
        <v>41</v>
      </c>
      <c r="D44" t="b">
        <v>1</v>
      </c>
      <c r="E44" t="s">
        <v>42</v>
      </c>
      <c r="F44">
        <v>7.4999999999999997E-2</v>
      </c>
      <c r="G44">
        <v>0.5</v>
      </c>
      <c r="H44">
        <v>1E-4</v>
      </c>
      <c r="I44" t="b">
        <v>1</v>
      </c>
      <c r="J44">
        <v>2</v>
      </c>
      <c r="K44">
        <v>1500</v>
      </c>
      <c r="L44">
        <v>1</v>
      </c>
      <c r="M44">
        <v>0.154</v>
      </c>
      <c r="N44" t="s">
        <v>77</v>
      </c>
      <c r="O44" t="s">
        <v>78</v>
      </c>
      <c r="P44" s="2">
        <v>-4.7870248038870097E-5</v>
      </c>
      <c r="Q44" s="2">
        <v>5.33479573696898E-5</v>
      </c>
      <c r="R44">
        <v>2.2287375680597199</v>
      </c>
      <c r="S44" s="2">
        <v>-5.9379818327384699E-15</v>
      </c>
      <c r="T44">
        <v>6.7237146616362696E-3</v>
      </c>
      <c r="U44">
        <v>2.1048349258766201</v>
      </c>
      <c r="V44">
        <v>1.7071679930399399</v>
      </c>
      <c r="W44">
        <v>0.84338802135677104</v>
      </c>
      <c r="X44">
        <v>1.3477063340902999</v>
      </c>
      <c r="Y44" s="1">
        <f>+L44</f>
        <v>1</v>
      </c>
      <c r="Z44" s="1">
        <f>+(U44-J44)/J44</f>
        <v>5.2417462938310067E-2</v>
      </c>
      <c r="AA44">
        <f>+(R44-J44)/J44</f>
        <v>0.11436878402985995</v>
      </c>
      <c r="AC44">
        <f>+(W44-L44)/L44</f>
        <v>-0.15661197864322896</v>
      </c>
    </row>
    <row r="45" spans="1:29" x14ac:dyDescent="0.2">
      <c r="A45" t="b">
        <v>0</v>
      </c>
      <c r="B45">
        <v>1000</v>
      </c>
      <c r="C45" t="s">
        <v>41</v>
      </c>
      <c r="D45" t="b">
        <v>1</v>
      </c>
      <c r="E45" t="s">
        <v>42</v>
      </c>
      <c r="F45">
        <v>7.4999999999999997E-2</v>
      </c>
      <c r="G45">
        <v>0.5</v>
      </c>
      <c r="H45">
        <v>1E-4</v>
      </c>
      <c r="I45" t="b">
        <v>1</v>
      </c>
      <c r="J45">
        <v>2</v>
      </c>
      <c r="K45">
        <v>1500</v>
      </c>
      <c r="L45">
        <v>1</v>
      </c>
      <c r="M45">
        <v>0.154</v>
      </c>
      <c r="N45" t="s">
        <v>76</v>
      </c>
      <c r="O45" t="s">
        <v>78</v>
      </c>
      <c r="P45" s="2">
        <v>-4.9866418090045203E-5</v>
      </c>
      <c r="Q45" s="2">
        <v>5.5573110446141902E-5</v>
      </c>
      <c r="R45">
        <v>2.2287463336067299</v>
      </c>
      <c r="S45" s="2">
        <v>-5.9368826771490999E-15</v>
      </c>
      <c r="T45">
        <v>6.9023025492268002E-3</v>
      </c>
      <c r="U45">
        <v>2.1048403981178399</v>
      </c>
      <c r="V45">
        <v>1.70383849527571</v>
      </c>
      <c r="W45">
        <v>0.84341231426673602</v>
      </c>
      <c r="X45">
        <v>1.3361869716100401</v>
      </c>
      <c r="Y45" s="1">
        <f>+L45</f>
        <v>1</v>
      </c>
      <c r="Z45" s="1">
        <f>+(U45-J45)/J45</f>
        <v>5.2420199058919925E-2</v>
      </c>
      <c r="AA45">
        <f>+(R45-J45)/J45</f>
        <v>0.11437316680336496</v>
      </c>
      <c r="AC45">
        <f>+(W45-L45)/L45</f>
        <v>-0.15658768573326398</v>
      </c>
    </row>
    <row r="46" spans="1:29" x14ac:dyDescent="0.2">
      <c r="A46" t="b">
        <v>0</v>
      </c>
      <c r="B46">
        <v>1000</v>
      </c>
      <c r="C46" t="s">
        <v>41</v>
      </c>
      <c r="D46" t="b">
        <v>1</v>
      </c>
      <c r="E46" t="s">
        <v>42</v>
      </c>
      <c r="F46">
        <v>7.4999999999999997E-2</v>
      </c>
      <c r="G46">
        <v>0.5</v>
      </c>
      <c r="H46">
        <v>1E-4</v>
      </c>
      <c r="I46" t="b">
        <v>1</v>
      </c>
      <c r="J46">
        <v>2</v>
      </c>
      <c r="K46">
        <v>1500</v>
      </c>
      <c r="L46">
        <v>0.2</v>
      </c>
      <c r="M46">
        <v>0.154</v>
      </c>
      <c r="N46" t="s">
        <v>59</v>
      </c>
      <c r="O46" t="s">
        <v>60</v>
      </c>
      <c r="P46" s="2">
        <v>-4.9332537520887699E-5</v>
      </c>
      <c r="Q46" s="2">
        <v>3.4925872455701599E-6</v>
      </c>
      <c r="R46">
        <v>2.0429239911280699</v>
      </c>
      <c r="S46" s="2">
        <v>-3.52990604228047E-15</v>
      </c>
      <c r="T46">
        <v>1.3847228806746501E-3</v>
      </c>
      <c r="U46">
        <v>2.01796953513972</v>
      </c>
      <c r="V46">
        <v>8.5629927469391506E-2</v>
      </c>
      <c r="W46">
        <v>0.16877702266050701</v>
      </c>
      <c r="X46">
        <v>5.4918888061216399E-2</v>
      </c>
      <c r="Y46" s="1">
        <f>+L46</f>
        <v>0.2</v>
      </c>
      <c r="Z46" s="1">
        <f>+(U46-J46)/J46</f>
        <v>8.9847675698599971E-3</v>
      </c>
      <c r="AA46">
        <f>+(R46-J46)/J46</f>
        <v>2.1461995564034941E-2</v>
      </c>
      <c r="AC46">
        <f>+(W46-L46)/L46</f>
        <v>-0.15611488669746501</v>
      </c>
    </row>
    <row r="47" spans="1:29" x14ac:dyDescent="0.2">
      <c r="A47" t="b">
        <v>0</v>
      </c>
      <c r="B47">
        <v>1000</v>
      </c>
      <c r="C47" t="s">
        <v>41</v>
      </c>
      <c r="D47" t="b">
        <v>1</v>
      </c>
      <c r="E47" t="s">
        <v>42</v>
      </c>
      <c r="F47">
        <v>7.4999999999999997E-2</v>
      </c>
      <c r="G47">
        <v>0.5</v>
      </c>
      <c r="H47">
        <v>1E-4</v>
      </c>
      <c r="I47" t="b">
        <v>1</v>
      </c>
      <c r="J47">
        <v>2</v>
      </c>
      <c r="K47">
        <v>1500</v>
      </c>
      <c r="L47">
        <v>0.2</v>
      </c>
      <c r="M47">
        <v>0.154</v>
      </c>
      <c r="N47" t="s">
        <v>58</v>
      </c>
      <c r="O47" t="s">
        <v>60</v>
      </c>
      <c r="P47" s="2">
        <v>-5.1389600006970702E-5</v>
      </c>
      <c r="Q47" s="2">
        <v>3.6378073611643702E-6</v>
      </c>
      <c r="R47">
        <v>2.0429279963444702</v>
      </c>
      <c r="S47" s="2">
        <v>-3.5298000270774201E-15</v>
      </c>
      <c r="T47">
        <v>1.38086213522717E-3</v>
      </c>
      <c r="U47">
        <v>2.01797294071085</v>
      </c>
      <c r="V47">
        <v>8.5187659068936897E-2</v>
      </c>
      <c r="W47">
        <v>0.168781019765328</v>
      </c>
      <c r="X47">
        <v>5.3492595330801397E-2</v>
      </c>
      <c r="Y47" s="1">
        <f>+L47</f>
        <v>0.2</v>
      </c>
      <c r="Z47" s="1">
        <f>+(U47-J47)/J47</f>
        <v>8.9864703554249914E-3</v>
      </c>
      <c r="AA47">
        <f>+(R47-J47)/J47</f>
        <v>2.1463998172235099E-2</v>
      </c>
      <c r="AC47">
        <f>+(W47-L47)/L47</f>
        <v>-0.15609490117336006</v>
      </c>
    </row>
    <row r="48" spans="1:29" x14ac:dyDescent="0.2">
      <c r="A48" t="b">
        <v>0</v>
      </c>
      <c r="B48">
        <v>1000</v>
      </c>
      <c r="C48" t="s">
        <v>41</v>
      </c>
      <c r="D48" t="b">
        <v>1</v>
      </c>
      <c r="E48" t="s">
        <v>42</v>
      </c>
      <c r="F48">
        <v>7.4999999999999997E-2</v>
      </c>
      <c r="G48">
        <v>0.5</v>
      </c>
      <c r="H48">
        <v>1E-4</v>
      </c>
      <c r="I48" t="b">
        <v>1</v>
      </c>
      <c r="J48">
        <v>2</v>
      </c>
      <c r="K48">
        <v>1500</v>
      </c>
      <c r="L48">
        <v>0.8</v>
      </c>
      <c r="M48">
        <v>0.154</v>
      </c>
      <c r="N48" t="s">
        <v>74</v>
      </c>
      <c r="O48" t="s">
        <v>75</v>
      </c>
      <c r="P48" s="2">
        <v>-4.80941819540824E-5</v>
      </c>
      <c r="Q48">
        <v>2.8674937003537299E-4</v>
      </c>
      <c r="R48">
        <v>2.1782474003949099</v>
      </c>
      <c r="S48" s="2">
        <v>-5.5997172903920803E-15</v>
      </c>
      <c r="T48">
        <v>4.0777051567734597E-3</v>
      </c>
      <c r="U48">
        <v>2.07407196182784</v>
      </c>
      <c r="V48">
        <v>8.63448678046141</v>
      </c>
      <c r="W48">
        <v>0.70031649956787301</v>
      </c>
      <c r="X48">
        <v>5.9961800580975204</v>
      </c>
      <c r="Y48" s="1">
        <f>+L48</f>
        <v>0.8</v>
      </c>
      <c r="Z48" s="1">
        <f>+(U48-J48)/J48</f>
        <v>3.7035980913920019E-2</v>
      </c>
      <c r="AA48">
        <f>+(R48-J48)/J48</f>
        <v>8.9123700197454969E-2</v>
      </c>
      <c r="AC48">
        <f>+(W48-L48)/L48</f>
        <v>-0.1246043755401588</v>
      </c>
    </row>
    <row r="49" spans="1:29" x14ac:dyDescent="0.2">
      <c r="A49" t="b">
        <v>0</v>
      </c>
      <c r="B49">
        <v>1000</v>
      </c>
      <c r="C49" t="s">
        <v>41</v>
      </c>
      <c r="D49" t="b">
        <v>1</v>
      </c>
      <c r="E49" t="s">
        <v>42</v>
      </c>
      <c r="F49">
        <v>7.4999999999999997E-2</v>
      </c>
      <c r="G49">
        <v>0.5</v>
      </c>
      <c r="H49">
        <v>1E-4</v>
      </c>
      <c r="I49" t="b">
        <v>1</v>
      </c>
      <c r="J49">
        <v>2</v>
      </c>
      <c r="K49">
        <v>1500</v>
      </c>
      <c r="L49">
        <v>0.8</v>
      </c>
      <c r="M49">
        <v>0.154</v>
      </c>
      <c r="N49" t="s">
        <v>73</v>
      </c>
      <c r="O49" t="s">
        <v>75</v>
      </c>
      <c r="P49" s="2">
        <v>-5.0099668771333399E-5</v>
      </c>
      <c r="Q49">
        <v>2.9910341085325203E-4</v>
      </c>
      <c r="R49">
        <v>2.1782549839302598</v>
      </c>
      <c r="S49" s="2">
        <v>-5.5988225457552097E-15</v>
      </c>
      <c r="T49">
        <v>4.046578770728E-3</v>
      </c>
      <c r="U49">
        <v>2.0740769180860799</v>
      </c>
      <c r="V49">
        <v>8.6457926796543205</v>
      </c>
      <c r="W49">
        <v>0.70033560653583704</v>
      </c>
      <c r="X49">
        <v>6.0032671221103904</v>
      </c>
      <c r="Y49" s="1">
        <f>+L49</f>
        <v>0.8</v>
      </c>
      <c r="Z49" s="1">
        <f>+(U49-J49)/J49</f>
        <v>3.7038459043039929E-2</v>
      </c>
      <c r="AA49">
        <f>+(R49-J49)/J49</f>
        <v>8.9127491965129924E-2</v>
      </c>
      <c r="AC49">
        <f>+(W49-L49)/L49</f>
        <v>-0.12458049183020375</v>
      </c>
    </row>
    <row r="50" spans="1:29" x14ac:dyDescent="0.2">
      <c r="A50" t="b">
        <v>0</v>
      </c>
      <c r="B50">
        <v>1000</v>
      </c>
      <c r="C50" t="s">
        <v>41</v>
      </c>
      <c r="D50" t="b">
        <v>1</v>
      </c>
      <c r="E50" t="s">
        <v>42</v>
      </c>
      <c r="F50">
        <v>7.4999999999999997E-2</v>
      </c>
      <c r="G50">
        <v>0.5</v>
      </c>
      <c r="H50">
        <v>1E-4</v>
      </c>
      <c r="I50" t="b">
        <v>1</v>
      </c>
      <c r="J50">
        <v>2</v>
      </c>
      <c r="K50">
        <v>1500</v>
      </c>
      <c r="L50">
        <v>0.7</v>
      </c>
      <c r="M50">
        <v>0.154</v>
      </c>
      <c r="N50" t="s">
        <v>71</v>
      </c>
      <c r="O50" t="s">
        <v>72</v>
      </c>
      <c r="P50" s="2">
        <v>-4.8232098856651003E-5</v>
      </c>
      <c r="Q50" s="2">
        <v>3.6477768475550803E-5</v>
      </c>
      <c r="R50">
        <v>2.1536269344204899</v>
      </c>
      <c r="S50" s="2">
        <v>-5.3850818701363901E-15</v>
      </c>
      <c r="T50">
        <v>2.9092171848995501E-3</v>
      </c>
      <c r="U50">
        <v>2.06022264065663</v>
      </c>
      <c r="V50">
        <v>1.06439667201666</v>
      </c>
      <c r="W50">
        <v>0.62469715241785595</v>
      </c>
      <c r="X50">
        <v>0.71237578335407503</v>
      </c>
      <c r="Y50" s="1">
        <f>+L50</f>
        <v>0.7</v>
      </c>
      <c r="Z50" s="1">
        <f>+(U50-J50)/J50</f>
        <v>3.0111320328314983E-2</v>
      </c>
      <c r="AA50">
        <f>+(R50-J50)/J50</f>
        <v>7.6813467210244957E-2</v>
      </c>
      <c r="AC50">
        <f>+(W50-L50)/L50</f>
        <v>-0.10757549654592001</v>
      </c>
    </row>
    <row r="51" spans="1:29" x14ac:dyDescent="0.2">
      <c r="A51" t="b">
        <v>0</v>
      </c>
      <c r="B51">
        <v>1000</v>
      </c>
      <c r="C51" t="s">
        <v>41</v>
      </c>
      <c r="D51" t="b">
        <v>1</v>
      </c>
      <c r="E51" t="s">
        <v>42</v>
      </c>
      <c r="F51">
        <v>7.4999999999999997E-2</v>
      </c>
      <c r="G51">
        <v>0.5</v>
      </c>
      <c r="H51">
        <v>1E-4</v>
      </c>
      <c r="I51" t="b">
        <v>1</v>
      </c>
      <c r="J51">
        <v>2</v>
      </c>
      <c r="K51">
        <v>1500</v>
      </c>
      <c r="L51">
        <v>0.7</v>
      </c>
      <c r="M51">
        <v>0.154</v>
      </c>
      <c r="N51" t="s">
        <v>70</v>
      </c>
      <c r="O51" t="s">
        <v>72</v>
      </c>
      <c r="P51" s="2">
        <v>-5.0243325904113998E-5</v>
      </c>
      <c r="Q51" s="2">
        <v>3.7998690791596198E-5</v>
      </c>
      <c r="R51">
        <v>2.1536339270549498</v>
      </c>
      <c r="S51" s="2">
        <v>-5.3848927781259301E-15</v>
      </c>
      <c r="T51">
        <v>2.9087525176059799E-3</v>
      </c>
      <c r="U51">
        <v>2.0602272974160898</v>
      </c>
      <c r="V51">
        <v>1.0649109939375501</v>
      </c>
      <c r="W51">
        <v>0.62471397075266599</v>
      </c>
      <c r="X51">
        <v>0.71445677738740299</v>
      </c>
      <c r="Y51" s="1">
        <f>+L51</f>
        <v>0.7</v>
      </c>
      <c r="Z51" s="1">
        <f>+(U51-J51)/J51</f>
        <v>3.0113648708044893E-2</v>
      </c>
      <c r="AA51">
        <f>+(R51-J51)/J51</f>
        <v>7.6816963527474913E-2</v>
      </c>
      <c r="AC51">
        <f>+(W51-L51)/L51</f>
        <v>-0.10755147035333423</v>
      </c>
    </row>
    <row r="52" spans="1:29" x14ac:dyDescent="0.2">
      <c r="A52" t="b">
        <v>0</v>
      </c>
      <c r="B52">
        <v>1000</v>
      </c>
      <c r="C52" t="s">
        <v>41</v>
      </c>
      <c r="D52" t="b">
        <v>1</v>
      </c>
      <c r="E52" t="s">
        <v>42</v>
      </c>
      <c r="F52">
        <v>7.4999999999999997E-2</v>
      </c>
      <c r="G52">
        <v>0.5</v>
      </c>
      <c r="H52">
        <v>1E-4</v>
      </c>
      <c r="I52" t="b">
        <v>1</v>
      </c>
      <c r="J52">
        <v>2</v>
      </c>
      <c r="K52">
        <v>1500</v>
      </c>
      <c r="L52">
        <v>0.5</v>
      </c>
      <c r="M52">
        <v>0.154</v>
      </c>
      <c r="N52" t="s">
        <v>68</v>
      </c>
      <c r="O52" t="s">
        <v>69</v>
      </c>
      <c r="P52" s="2">
        <v>-4.8572135354980799E-5</v>
      </c>
      <c r="Q52" s="2">
        <v>5.4674866126384696E-6</v>
      </c>
      <c r="R52">
        <v>2.1065116444595802</v>
      </c>
      <c r="S52" s="2">
        <v>-4.8282314795357803E-15</v>
      </c>
      <c r="T52">
        <v>1.12277240614054E-3</v>
      </c>
      <c r="U52">
        <v>2.0369055919627499</v>
      </c>
      <c r="V52">
        <v>0.14968498799702601</v>
      </c>
      <c r="W52">
        <v>0.462753823492357</v>
      </c>
      <c r="X52">
        <v>9.7763491155273094E-2</v>
      </c>
      <c r="Y52" s="1">
        <f>+L52</f>
        <v>0.5</v>
      </c>
      <c r="Z52" s="1">
        <f>+(U52-J52)/J52</f>
        <v>1.8452795981374948E-2</v>
      </c>
      <c r="AA52">
        <f>+(R52-J52)/J52</f>
        <v>5.3255822229790084E-2</v>
      </c>
      <c r="AC52">
        <f>+(W52-L52)/L52</f>
        <v>-7.4492353015286006E-2</v>
      </c>
    </row>
    <row r="53" spans="1:29" x14ac:dyDescent="0.2">
      <c r="A53" t="b">
        <v>0</v>
      </c>
      <c r="B53">
        <v>1000</v>
      </c>
      <c r="C53" t="s">
        <v>41</v>
      </c>
      <c r="D53" t="b">
        <v>1</v>
      </c>
      <c r="E53" t="s">
        <v>42</v>
      </c>
      <c r="F53">
        <v>7.4999999999999997E-2</v>
      </c>
      <c r="G53">
        <v>0.5</v>
      </c>
      <c r="H53">
        <v>1E-4</v>
      </c>
      <c r="I53" t="b">
        <v>1</v>
      </c>
      <c r="J53">
        <v>2</v>
      </c>
      <c r="K53">
        <v>1500</v>
      </c>
      <c r="L53">
        <v>0.5</v>
      </c>
      <c r="M53">
        <v>0.154</v>
      </c>
      <c r="N53" t="s">
        <v>67</v>
      </c>
      <c r="O53" t="s">
        <v>69</v>
      </c>
      <c r="P53" s="2">
        <v>-5.05975205639544E-5</v>
      </c>
      <c r="Q53" s="2">
        <v>5.6961780740547197E-6</v>
      </c>
      <c r="R53">
        <v>2.1065174519571799</v>
      </c>
      <c r="S53" s="2">
        <v>-4.8273581078129596E-15</v>
      </c>
      <c r="T53">
        <v>1.1220435226413901E-3</v>
      </c>
      <c r="U53">
        <v>2.03690971806994</v>
      </c>
      <c r="V53">
        <v>0.149731197444463</v>
      </c>
      <c r="W53">
        <v>0.46276568599019802</v>
      </c>
      <c r="X53">
        <v>9.7862401950919498E-2</v>
      </c>
      <c r="Y53" s="1">
        <f>+L53</f>
        <v>0.5</v>
      </c>
      <c r="Z53" s="1">
        <f>+(U53-J53)/J53</f>
        <v>1.8454859034970017E-2</v>
      </c>
      <c r="AA53">
        <f>+(R53-J53)/J53</f>
        <v>5.3258725978589938E-2</v>
      </c>
      <c r="AC53">
        <f>+(W53-L53)/L53</f>
        <v>-7.4468628019603966E-2</v>
      </c>
    </row>
  </sheetData>
  <autoFilter ref="A26:AC26" xr:uid="{3A39FE06-2BC9-BD4E-A878-3F311465B3A4}">
    <sortState xmlns:xlrd2="http://schemas.microsoft.com/office/spreadsheetml/2017/richdata2" ref="A27:AC53">
      <sortCondition ref="AC26:AC53"/>
    </sortState>
  </autoFilter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Sheet2</vt:lpstr>
      <vt:lpstr>Sheet1</vt:lpstr>
      <vt:lpstr>Sheet1!fitting_results</vt:lpstr>
      <vt:lpstr>Sheet1!fitting_results_1</vt:lpstr>
      <vt:lpstr>Sheet2!fitting_results_1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Roy Beck- Barkai</dc:creator>
  <cp:lastModifiedBy>Roy Beck- Barkai</cp:lastModifiedBy>
  <dcterms:created xsi:type="dcterms:W3CDTF">2025-03-12T06:50:11Z</dcterms:created>
  <dcterms:modified xsi:type="dcterms:W3CDTF">2025-03-19T12:58:14Z</dcterms:modified>
</cp:coreProperties>
</file>